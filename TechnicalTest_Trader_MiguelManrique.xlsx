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henra/Downloads/"/>
    </mc:Choice>
  </mc:AlternateContent>
  <xr:revisionPtr revIDLastSave="1987" documentId="13_ncr:1_{A2575BA4-73C8-EB4C-9FE1-6CE7680FE9FE}" xr6:coauthVersionLast="47" xr6:coauthVersionMax="47" xr10:uidLastSave="{06DDB5C6-03C0-4792-B774-F2501094CBB0}"/>
  <bookViews>
    <workbookView xWindow="0" yWindow="660" windowWidth="30240" windowHeight="18980" firstSheet="5" activeTab="5" xr2:uid="{82744AA3-0255-2844-9D99-34B75B0BB272}"/>
  </bookViews>
  <sheets>
    <sheet name="1. Trading" sheetId="16" r:id="rId1"/>
    <sheet name="1. Trading - DataClean" sheetId="18" r:id="rId2"/>
    <sheet name="2. README" sheetId="11" r:id="rId3"/>
    <sheet name="2.1 FX Hedge" sheetId="12" r:id="rId4"/>
    <sheet name="2.2 Reserve Trust" sheetId="13" r:id="rId5"/>
    <sheet name="2.3 Cross - Chain Arb" sheetId="14" r:id="rId6"/>
    <sheet name="Data" sheetId="17" r:id="rId7"/>
  </sheets>
  <definedNames>
    <definedName name="_xlnm._FilterDatabase" localSheetId="6" hidden="1">Data!$E$1:$E$3445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4" l="1"/>
  <c r="M16" i="14"/>
  <c r="M17" i="14"/>
  <c r="M14" i="14"/>
  <c r="H15" i="14"/>
  <c r="H16" i="14"/>
  <c r="H17" i="14"/>
  <c r="H14" i="14"/>
  <c r="G15" i="14"/>
  <c r="G16" i="14"/>
  <c r="G17" i="14"/>
  <c r="G14" i="14"/>
  <c r="D71" i="12"/>
  <c r="D55" i="12"/>
  <c r="D67" i="12"/>
  <c r="AD16" i="14"/>
  <c r="AD17" i="14" s="1"/>
  <c r="AD18" i="14" s="1"/>
  <c r="AD19" i="14" s="1"/>
  <c r="AD20" i="14" s="1"/>
  <c r="AD21" i="14" s="1"/>
  <c r="AD22" i="14" s="1"/>
  <c r="AD23" i="14" s="1"/>
  <c r="AD24" i="14" s="1"/>
  <c r="AD25" i="14" s="1"/>
  <c r="AD26" i="14" s="1"/>
  <c r="AD27" i="14" s="1"/>
  <c r="AD28" i="14" s="1"/>
  <c r="AD29" i="14" s="1"/>
  <c r="AD30" i="14" s="1"/>
  <c r="AD31" i="14" s="1"/>
  <c r="AD32" i="14" s="1"/>
  <c r="AD33" i="14" s="1"/>
  <c r="AD34" i="14" s="1"/>
  <c r="AD35" i="14" s="1"/>
  <c r="AH16" i="14"/>
  <c r="AH15" i="14"/>
  <c r="AG16" i="14"/>
  <c r="AG15" i="14"/>
  <c r="AF16" i="14"/>
  <c r="AF15" i="14"/>
  <c r="AE15" i="14"/>
  <c r="V14" i="14"/>
  <c r="W14" i="14"/>
  <c r="C33" i="14"/>
  <c r="D33" i="14"/>
  <c r="E33" i="14"/>
  <c r="F33" i="14"/>
  <c r="C34" i="14"/>
  <c r="D34" i="14"/>
  <c r="E34" i="14"/>
  <c r="F34" i="14"/>
  <c r="C35" i="14"/>
  <c r="D35" i="14"/>
  <c r="E35" i="14"/>
  <c r="F35" i="14"/>
  <c r="D32" i="14"/>
  <c r="E32" i="14"/>
  <c r="F32" i="14"/>
  <c r="C32" i="14"/>
  <c r="G32" i="14" s="1"/>
  <c r="I32" i="14" s="1"/>
  <c r="D28" i="14"/>
  <c r="D27" i="14"/>
  <c r="D29" i="14"/>
  <c r="C28" i="14"/>
  <c r="C27" i="14"/>
  <c r="E27" i="14"/>
  <c r="F27" i="14"/>
  <c r="E28" i="14"/>
  <c r="F28" i="14"/>
  <c r="E29" i="14"/>
  <c r="F29" i="14"/>
  <c r="C29" i="14"/>
  <c r="G29" i="14" s="1"/>
  <c r="H29" i="14" s="1"/>
  <c r="B27" i="14"/>
  <c r="B33" i="14" s="1"/>
  <c r="B28" i="14"/>
  <c r="B34" i="14" s="1"/>
  <c r="B29" i="14"/>
  <c r="B35" i="14" s="1"/>
  <c r="C26" i="14"/>
  <c r="E26" i="14"/>
  <c r="F26" i="14"/>
  <c r="D26" i="14"/>
  <c r="B26" i="14"/>
  <c r="B32" i="14" s="1"/>
  <c r="S30" i="13"/>
  <c r="S29" i="13"/>
  <c r="S28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14" i="13"/>
  <c r="T10" i="13"/>
  <c r="S10" i="13"/>
  <c r="V10" i="13" s="1"/>
  <c r="G45" i="12" a="1"/>
  <c r="G45" i="12"/>
  <c r="F45" i="12" a="1"/>
  <c r="F45" i="12"/>
  <c r="E45" i="12" a="1"/>
  <c r="E45" i="12"/>
  <c r="D45" i="12" a="1"/>
  <c r="D45" i="12"/>
  <c r="G44" i="12" a="1"/>
  <c r="G44" i="12"/>
  <c r="F44" i="12" a="1"/>
  <c r="F44" i="12"/>
  <c r="E44" i="12" a="1"/>
  <c r="E44" i="12"/>
  <c r="D44" i="12" a="1"/>
  <c r="D44" i="12"/>
  <c r="G43" i="12"/>
  <c r="F43" i="12"/>
  <c r="E43" i="12"/>
  <c r="D43" i="12"/>
  <c r="G42" i="12"/>
  <c r="F42" i="12"/>
  <c r="E42" i="12"/>
  <c r="D42" i="12"/>
  <c r="AB27" i="12"/>
  <c r="AB28" i="12"/>
  <c r="AB29" i="12"/>
  <c r="AB30" i="12"/>
  <c r="AB31" i="12"/>
  <c r="AB32" i="12"/>
  <c r="AB33" i="12"/>
  <c r="AB26" i="12"/>
  <c r="AA27" i="12"/>
  <c r="AA28" i="12"/>
  <c r="AA29" i="12"/>
  <c r="AA30" i="12"/>
  <c r="AA31" i="12"/>
  <c r="AA32" i="12"/>
  <c r="AA33" i="12"/>
  <c r="AA26" i="12"/>
  <c r="K43" i="12" a="1"/>
  <c r="K43" i="12"/>
  <c r="L43" i="12" s="1"/>
  <c r="J43" i="12" a="1"/>
  <c r="J43" i="12"/>
  <c r="K42" i="12" a="1"/>
  <c r="K42" i="12"/>
  <c r="L42" i="12" s="1"/>
  <c r="J42" i="12" a="1"/>
  <c r="J42" i="12"/>
  <c r="K41" i="12" a="1"/>
  <c r="K41" i="12"/>
  <c r="L41" i="12" s="1"/>
  <c r="J41" i="12" a="1"/>
  <c r="J41" i="12"/>
  <c r="L36" i="12"/>
  <c r="M36" i="12" s="1"/>
  <c r="L37" i="12"/>
  <c r="M37" i="12" s="1"/>
  <c r="L38" i="12"/>
  <c r="M38" i="12" s="1"/>
  <c r="K27" i="12"/>
  <c r="J27" i="12"/>
  <c r="L28" i="12"/>
  <c r="N28" i="12" s="1"/>
  <c r="L29" i="12"/>
  <c r="N29" i="12" s="1"/>
  <c r="L30" i="12"/>
  <c r="N30" i="12" s="1"/>
  <c r="L31" i="12"/>
  <c r="N31" i="12" s="1"/>
  <c r="L32" i="12"/>
  <c r="N32" i="12" s="1"/>
  <c r="L33" i="12"/>
  <c r="N33" i="12" s="1"/>
  <c r="L34" i="12"/>
  <c r="N34" i="12" s="1"/>
  <c r="L35" i="12"/>
  <c r="M35" i="12" s="1"/>
  <c r="L27" i="12"/>
  <c r="N27" i="12" s="1"/>
  <c r="L14" i="12"/>
  <c r="K14" i="12"/>
  <c r="J26" i="14" l="1"/>
  <c r="K26" i="14" s="1"/>
  <c r="G26" i="14"/>
  <c r="H26" i="14" s="1"/>
  <c r="G27" i="14"/>
  <c r="H27" i="14" s="1"/>
  <c r="G28" i="14"/>
  <c r="H28" i="14" s="1"/>
  <c r="J29" i="14"/>
  <c r="K29" i="14" s="1"/>
  <c r="I29" i="14"/>
  <c r="J27" i="14"/>
  <c r="K27" i="14" s="1"/>
  <c r="I27" i="14"/>
  <c r="J28" i="14"/>
  <c r="K28" i="14" s="1"/>
  <c r="I28" i="14"/>
  <c r="J32" i="14"/>
  <c r="H32" i="14"/>
  <c r="G35" i="14"/>
  <c r="G34" i="14"/>
  <c r="G33" i="14"/>
  <c r="AH35" i="14"/>
  <c r="AG35" i="14"/>
  <c r="AF35" i="14"/>
  <c r="AH34" i="14"/>
  <c r="AG34" i="14"/>
  <c r="AF34" i="14"/>
  <c r="AH33" i="14"/>
  <c r="AG33" i="14"/>
  <c r="AF33" i="14"/>
  <c r="AH32" i="14"/>
  <c r="AG32" i="14"/>
  <c r="AF32" i="14"/>
  <c r="AH31" i="14"/>
  <c r="AG31" i="14"/>
  <c r="AF31" i="14"/>
  <c r="AH30" i="14"/>
  <c r="AG30" i="14"/>
  <c r="AF30" i="14"/>
  <c r="AH29" i="14"/>
  <c r="AG29" i="14"/>
  <c r="AF29" i="14"/>
  <c r="AH28" i="14"/>
  <c r="AG28" i="14"/>
  <c r="AF28" i="14"/>
  <c r="AH27" i="14"/>
  <c r="AG27" i="14"/>
  <c r="AF27" i="14"/>
  <c r="AH26" i="14"/>
  <c r="AG26" i="14"/>
  <c r="AF26" i="14"/>
  <c r="AH25" i="14"/>
  <c r="AG25" i="14"/>
  <c r="AF25" i="14"/>
  <c r="AH24" i="14"/>
  <c r="AG24" i="14"/>
  <c r="AF24" i="14"/>
  <c r="AH23" i="14"/>
  <c r="AG23" i="14"/>
  <c r="AF23" i="14"/>
  <c r="AH22" i="14"/>
  <c r="AG22" i="14"/>
  <c r="AF22" i="14"/>
  <c r="AH21" i="14"/>
  <c r="AG21" i="14"/>
  <c r="AF21" i="14"/>
  <c r="AH20" i="14"/>
  <c r="AG20" i="14"/>
  <c r="AF20" i="14"/>
  <c r="AH19" i="14"/>
  <c r="AG19" i="14"/>
  <c r="AF19" i="14"/>
  <c r="AH18" i="14"/>
  <c r="AG18" i="14"/>
  <c r="AF18" i="14"/>
  <c r="AH17" i="14"/>
  <c r="AG17" i="14"/>
  <c r="AF17" i="14"/>
  <c r="AE16" i="14"/>
  <c r="R30" i="13"/>
  <c r="R29" i="13"/>
  <c r="R28" i="13"/>
  <c r="R27" i="13"/>
  <c r="R26" i="13"/>
  <c r="Q22" i="12"/>
  <c r="N35" i="12"/>
  <c r="Q25" i="12"/>
  <c r="N38" i="12"/>
  <c r="Q24" i="12"/>
  <c r="N37" i="12"/>
  <c r="Q23" i="12"/>
  <c r="N36" i="12"/>
  <c r="Y17" i="14"/>
  <c r="Z17" i="14" s="1"/>
  <c r="V17" i="14"/>
  <c r="W17" i="14" s="1"/>
  <c r="R17" i="14"/>
  <c r="Y16" i="14"/>
  <c r="Z16" i="14" s="1"/>
  <c r="V16" i="14"/>
  <c r="W16" i="14" s="1"/>
  <c r="R16" i="14"/>
  <c r="Y15" i="14"/>
  <c r="Z15" i="14" s="1"/>
  <c r="V15" i="14"/>
  <c r="W15" i="14" s="1"/>
  <c r="R15" i="14"/>
  <c r="Y14" i="14"/>
  <c r="Z14" i="14" s="1"/>
  <c r="R14" i="14"/>
  <c r="J14" i="14"/>
  <c r="I14" i="14"/>
  <c r="S20" i="13"/>
  <c r="S19" i="13"/>
  <c r="S18" i="13"/>
  <c r="N19" i="13"/>
  <c r="M19" i="13"/>
  <c r="N18" i="13"/>
  <c r="M18" i="13"/>
  <c r="N17" i="13"/>
  <c r="M17" i="13"/>
  <c r="N16" i="13"/>
  <c r="M16" i="13"/>
  <c r="N15" i="13"/>
  <c r="M15" i="13"/>
  <c r="M14" i="13"/>
  <c r="AB21" i="12"/>
  <c r="Z21" i="12"/>
  <c r="AB20" i="12"/>
  <c r="Z20" i="12"/>
  <c r="AB19" i="12"/>
  <c r="Z19" i="12"/>
  <c r="AB18" i="12"/>
  <c r="Z18" i="12"/>
  <c r="AB17" i="12"/>
  <c r="Z17" i="12"/>
  <c r="AB16" i="12"/>
  <c r="Z16" i="12"/>
  <c r="AB15" i="12"/>
  <c r="Z15" i="12"/>
  <c r="AB14" i="12"/>
  <c r="Z14" i="12"/>
  <c r="J22" i="12"/>
  <c r="I22" i="12"/>
  <c r="H22" i="12"/>
  <c r="G22" i="12"/>
  <c r="F22" i="12"/>
  <c r="E22" i="12"/>
  <c r="D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I33" i="14" l="1"/>
  <c r="H33" i="14"/>
  <c r="I34" i="14"/>
  <c r="H34" i="14"/>
  <c r="I35" i="14"/>
  <c r="H35" i="14"/>
  <c r="N14" i="14"/>
  <c r="M29" i="14"/>
  <c r="L29" i="14"/>
  <c r="M28" i="14"/>
  <c r="L28" i="14"/>
  <c r="M27" i="14"/>
  <c r="L27" i="14"/>
  <c r="M26" i="14"/>
  <c r="L26" i="14"/>
  <c r="I26" i="14"/>
  <c r="AE17" i="14"/>
  <c r="R16" i="13"/>
  <c r="AD17" i="12"/>
  <c r="AD20" i="12"/>
  <c r="R19" i="13"/>
  <c r="T19" i="13" s="1"/>
  <c r="L22" i="12"/>
  <c r="K22" i="12"/>
  <c r="M14" i="12"/>
  <c r="M17" i="12"/>
  <c r="M20" i="12"/>
  <c r="AA20" i="12" s="1"/>
  <c r="AC20" i="12" s="1"/>
  <c r="M16" i="12"/>
  <c r="M19" i="12"/>
  <c r="T16" i="13"/>
  <c r="AD14" i="12"/>
  <c r="R18" i="13"/>
  <c r="T18" i="13" s="1"/>
  <c r="R20" i="13"/>
  <c r="T20" i="13" s="1"/>
  <c r="M15" i="12"/>
  <c r="M18" i="12"/>
  <c r="M21" i="12"/>
  <c r="R17" i="13"/>
  <c r="AD21" i="12"/>
  <c r="N14" i="12"/>
  <c r="AD16" i="12"/>
  <c r="AD19" i="12"/>
  <c r="AD15" i="12"/>
  <c r="AD18" i="12"/>
  <c r="J35" i="14" l="1"/>
  <c r="J17" i="14" s="1"/>
  <c r="J34" i="14"/>
  <c r="J16" i="14" s="1"/>
  <c r="J33" i="14"/>
  <c r="J15" i="14" s="1"/>
  <c r="AE18" i="14"/>
  <c r="G41" i="12" a="1"/>
  <c r="G41" i="12" s="1"/>
  <c r="F41" i="12" a="1"/>
  <c r="F41" i="12" s="1"/>
  <c r="E41" i="12" a="1"/>
  <c r="E41" i="12" s="1"/>
  <c r="D41" i="12" a="1"/>
  <c r="D41" i="12" s="1"/>
  <c r="AA15" i="12"/>
  <c r="AC15" i="12" s="1"/>
  <c r="N15" i="12"/>
  <c r="AP15" i="12"/>
  <c r="AD27" i="12" s="1"/>
  <c r="AM15" i="12"/>
  <c r="AJ15" i="12"/>
  <c r="AC27" i="12" s="1"/>
  <c r="AO15" i="12"/>
  <c r="AN15" i="12"/>
  <c r="AL15" i="12"/>
  <c r="AK15" i="12"/>
  <c r="AJ20" i="12"/>
  <c r="AC32" i="12" s="1"/>
  <c r="AP20" i="12"/>
  <c r="AD32" i="12" s="1"/>
  <c r="AM20" i="12"/>
  <c r="AO20" i="12"/>
  <c r="AN20" i="12"/>
  <c r="AL20" i="12"/>
  <c r="AK20" i="12"/>
  <c r="AI15" i="12"/>
  <c r="AE15" i="12"/>
  <c r="AH15" i="12"/>
  <c r="AE20" i="12"/>
  <c r="AI20" i="12"/>
  <c r="AH20" i="12"/>
  <c r="AA21" i="12"/>
  <c r="AC21" i="12" s="1"/>
  <c r="N21" i="12"/>
  <c r="AA18" i="12"/>
  <c r="AC18" i="12" s="1"/>
  <c r="N18" i="12"/>
  <c r="AA17" i="12"/>
  <c r="AC17" i="12" s="1"/>
  <c r="N17" i="12"/>
  <c r="N19" i="12"/>
  <c r="AA19" i="12"/>
  <c r="AC19" i="12" s="1"/>
  <c r="N16" i="12"/>
  <c r="AA16" i="12"/>
  <c r="AC16" i="12" s="1"/>
  <c r="N20" i="12"/>
  <c r="AG20" i="12"/>
  <c r="AG21" i="12"/>
  <c r="AF21" i="12"/>
  <c r="AG18" i="12"/>
  <c r="AF18" i="12"/>
  <c r="AG15" i="12"/>
  <c r="AF15" i="12"/>
  <c r="AA14" i="12"/>
  <c r="AC14" i="12" s="1"/>
  <c r="M22" i="12"/>
  <c r="AF20" i="12"/>
  <c r="N15" i="14" l="1"/>
  <c r="I15" i="14"/>
  <c r="N16" i="14"/>
  <c r="I16" i="14"/>
  <c r="N17" i="14"/>
  <c r="I17" i="14"/>
  <c r="AE19" i="14"/>
  <c r="K48" i="12"/>
  <c r="J48" i="12"/>
  <c r="AP14" i="12"/>
  <c r="AD26" i="12" s="1"/>
  <c r="AM14" i="12"/>
  <c r="AN14" i="12"/>
  <c r="AJ14" i="12"/>
  <c r="AC26" i="12" s="1"/>
  <c r="AO14" i="12"/>
  <c r="AL14" i="12"/>
  <c r="AK14" i="12"/>
  <c r="AP16" i="12"/>
  <c r="AD28" i="12" s="1"/>
  <c r="AM16" i="12"/>
  <c r="AJ16" i="12"/>
  <c r="AC28" i="12" s="1"/>
  <c r="AO16" i="12"/>
  <c r="AN16" i="12"/>
  <c r="AL16" i="12"/>
  <c r="AK16" i="12"/>
  <c r="AP19" i="12"/>
  <c r="AD31" i="12" s="1"/>
  <c r="AM19" i="12"/>
  <c r="AJ19" i="12"/>
  <c r="AC31" i="12" s="1"/>
  <c r="AO19" i="12"/>
  <c r="AN19" i="12"/>
  <c r="AL19" i="12"/>
  <c r="AK19" i="12"/>
  <c r="AP17" i="12"/>
  <c r="AD29" i="12" s="1"/>
  <c r="AM17" i="12"/>
  <c r="AJ17" i="12"/>
  <c r="AC29" i="12" s="1"/>
  <c r="AO17" i="12"/>
  <c r="AN17" i="12"/>
  <c r="AL17" i="12"/>
  <c r="AK17" i="12"/>
  <c r="AP18" i="12"/>
  <c r="AD30" i="12" s="1"/>
  <c r="AM18" i="12"/>
  <c r="AJ18" i="12"/>
  <c r="AC30" i="12" s="1"/>
  <c r="AO18" i="12"/>
  <c r="AN18" i="12"/>
  <c r="AL18" i="12"/>
  <c r="AK18" i="12"/>
  <c r="AJ21" i="12"/>
  <c r="AC33" i="12" s="1"/>
  <c r="AP21" i="12"/>
  <c r="AD33" i="12" s="1"/>
  <c r="AM21" i="12"/>
  <c r="AO21" i="12"/>
  <c r="AN21" i="12"/>
  <c r="AL21" i="12"/>
  <c r="AK21" i="12"/>
  <c r="AI14" i="12"/>
  <c r="AE14" i="12"/>
  <c r="AH14" i="12"/>
  <c r="AI16" i="12"/>
  <c r="AH16" i="12"/>
  <c r="AI19" i="12"/>
  <c r="AH19" i="12"/>
  <c r="AI17" i="12"/>
  <c r="AH17" i="12"/>
  <c r="AE18" i="12"/>
  <c r="AI18" i="12"/>
  <c r="AH18" i="12"/>
  <c r="AE21" i="12"/>
  <c r="AI21" i="12"/>
  <c r="AH21" i="12"/>
  <c r="AE17" i="12"/>
  <c r="AF17" i="12"/>
  <c r="AG17" i="12"/>
  <c r="N22" i="12"/>
  <c r="AG14" i="12"/>
  <c r="AF14" i="12"/>
  <c r="AE16" i="12"/>
  <c r="AG16" i="12"/>
  <c r="AF16" i="12"/>
  <c r="AG19" i="12"/>
  <c r="AF19" i="12"/>
  <c r="AE19" i="12"/>
  <c r="AC34" i="12" l="1"/>
  <c r="AD34" i="12"/>
  <c r="C21" i="14"/>
  <c r="AE20" i="14"/>
  <c r="J50" i="12"/>
  <c r="J49" i="12"/>
  <c r="K50" i="12"/>
  <c r="K49" i="12"/>
  <c r="AK22" i="12"/>
  <c r="AL22" i="12"/>
  <c r="AO22" i="12"/>
  <c r="AJ22" i="12"/>
  <c r="AN22" i="12"/>
  <c r="AM22" i="12"/>
  <c r="AP22" i="12"/>
  <c r="AH22" i="12"/>
  <c r="AI22" i="12"/>
  <c r="AF22" i="12"/>
  <c r="AG22" i="12"/>
  <c r="AE22" i="12"/>
  <c r="AE21" i="14" l="1"/>
  <c r="Q9" i="12" a="1"/>
  <c r="Q9" i="12" s="1"/>
  <c r="S9" i="12" a="1"/>
  <c r="S9" i="12" s="1"/>
  <c r="R9" i="12" a="1"/>
  <c r="R9" i="12" s="1"/>
  <c r="AE22" i="14" l="1"/>
  <c r="AE23" i="14" l="1"/>
  <c r="AE25" i="14" l="1"/>
  <c r="AE24" i="14"/>
  <c r="AE26" i="14" l="1"/>
  <c r="AE27" i="14" l="1"/>
  <c r="AE28" i="14" l="1"/>
  <c r="AE29" i="14" l="1"/>
  <c r="AE30" i="14" l="1"/>
  <c r="AE31" i="14" l="1"/>
  <c r="AE32" i="14" l="1"/>
  <c r="AE33" i="14" l="1"/>
  <c r="AE34" i="14" l="1"/>
  <c r="AE35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tc={00B4C4FE-E57F-4E52-824D-1E09058AEBA2}</author>
    <author>tc={D0850123-FE8B-4232-AD10-9761560FF093}</author>
    <author>OpenAI</author>
  </authors>
  <commentList>
    <comment ref="AI13" authorId="0" shapeId="0" xr:uid="{00B4C4FE-E57F-4E52-824D-1E09058AEBA2}">
      <text>
        <t>[Threaded comment]
Your version of Excel allows you to read this threaded comment; however, any edits to it will get removed if the file is opened in a newer version of Excel. Learn more: https://go.microsoft.com/fwlink/?linkid=870924
Comment:
    I subdivided the hedge into 0.25 increments to layer the risk over four weeks (or one month), based on the current NDF levels.</t>
      </text>
    </comment>
    <comment ref="AJ13" authorId="1" shapeId="0" xr:uid="{D0850123-FE8B-4232-AD10-9761560FF0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Given a NDF curve trading at a forward premium (contango) we could optimize our hedging by yielding our shorts in COP while minimizing the cost of carry on our longs </t>
      </text>
    </comment>
    <comment ref="AB14" authorId="2" shapeId="0" xr:uid="{56B23BC2-5157-3E46-9525-085C4767432F}">
      <text>
        <r>
          <rPr>
            <sz val="11"/>
            <color rgb="FF000000"/>
            <rFont val="Calibri"/>
            <family val="2"/>
          </rPr>
          <t>Starter ratio only. Candidates may replace with a layered or dynamic hedge logic.</t>
        </r>
      </text>
    </comment>
    <comment ref="AB15" authorId="2" shapeId="0" xr:uid="{2BC49B31-BF76-104E-8D48-0DA3B4BFE2D0}">
      <text>
        <r>
          <rPr>
            <sz val="11"/>
            <color rgb="FF000000"/>
            <rFont val="Calibri"/>
            <family val="2"/>
          </rPr>
          <t>Starter ratio only. Candidates may replace with a layered or dynamic hedge logic.</t>
        </r>
      </text>
    </comment>
    <comment ref="AB16" authorId="2" shapeId="0" xr:uid="{52F27D5B-6120-FE41-BF4A-DF8B913B6548}">
      <text>
        <r>
          <rPr>
            <sz val="11"/>
            <color rgb="FF000000"/>
            <rFont val="Calibri"/>
            <family val="2"/>
          </rPr>
          <t>Starter ratio only. Candidates may replace with a layered or dynamic hedge logic.</t>
        </r>
      </text>
    </comment>
    <comment ref="AB17" authorId="2" shapeId="0" xr:uid="{9D236E75-33A4-124F-ADC2-17DFF09498D4}">
      <text>
        <r>
          <rPr>
            <sz val="11"/>
            <color theme="1"/>
            <rFont val="Calibri"/>
            <family val="2"/>
            <scheme val="minor"/>
          </rPr>
          <t>Starter ratio only. Candidates may replace with a layered or dynamic hedge logic.</t>
        </r>
      </text>
    </comment>
    <comment ref="AB18" authorId="2" shapeId="0" xr:uid="{C4E05036-32E8-464B-985F-C81A5C49F7AC}">
      <text>
        <r>
          <rPr>
            <sz val="11"/>
            <color theme="1"/>
            <rFont val="Calibri"/>
            <family val="2"/>
            <scheme val="minor"/>
          </rPr>
          <t>Starter ratio only. Candidates may replace with a layered or dynamic hedge logic.</t>
        </r>
      </text>
    </comment>
    <comment ref="AB19" authorId="2" shapeId="0" xr:uid="{787FE69D-F80D-D74B-B1E9-39D98122FA90}">
      <text>
        <r>
          <rPr>
            <sz val="11"/>
            <color theme="1"/>
            <rFont val="Calibri"/>
            <family val="2"/>
            <scheme val="minor"/>
          </rPr>
          <t>Starter ratio only. Candidates may replace with a layered or dynamic hedge logic.</t>
        </r>
      </text>
    </comment>
    <comment ref="AB20" authorId="2" shapeId="0" xr:uid="{B9E6E789-7E42-B843-A65A-0DFCFAAE4124}">
      <text>
        <r>
          <rPr>
            <sz val="11"/>
            <color theme="1"/>
            <rFont val="Calibri"/>
            <family val="2"/>
            <scheme val="minor"/>
          </rPr>
          <t>Starter ratio only. Candidates may replace with a layered or dynamic hedge logic.</t>
        </r>
      </text>
    </comment>
    <comment ref="AB21" authorId="2" shapeId="0" xr:uid="{E84AF6DE-03D3-F041-8627-D137B4B10853}">
      <text>
        <r>
          <rPr>
            <sz val="11"/>
            <color rgb="FF000000"/>
            <rFont val="Calibri"/>
            <family val="2"/>
          </rPr>
          <t>Starter ratio only. Candidates may replace with a layered or dynamic hedge logic.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L14" authorId="0" shapeId="0" xr:uid="{6BBB151C-E53C-A342-ACEF-BC14F8FB0554}">
      <text>
        <r>
          <rPr>
            <sz val="11"/>
            <color theme="1"/>
            <rFont val="Calibri"/>
            <family val="2"/>
            <scheme val="minor"/>
          </rPr>
          <t>Starter weights only. Candidate should rebalance or redesign the reserve mix.</t>
        </r>
      </text>
    </comment>
    <comment ref="L23" authorId="0" shapeId="0" xr:uid="{7B03BC0D-3894-4714-923A-7D8C03DCEE98}">
      <text>
        <r>
          <rPr>
            <sz val="11"/>
            <color theme="1"/>
            <rFont val="Calibri"/>
            <family val="2"/>
            <scheme val="minor"/>
          </rPr>
          <t>Starter weights only. Candidate should rebalance or redesign the reserve mix.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U14" authorId="0" shapeId="0" xr:uid="{D56CB564-A20F-1049-A46D-F3D4C7571117}">
      <text>
        <r>
          <rPr>
            <sz val="11"/>
            <color rgb="FF000000"/>
            <rFont val="Calibri"/>
            <family val="2"/>
          </rPr>
          <t>Starter notional only. Candidate should resize trades using slippage, inventory, and bridge constraints.</t>
        </r>
      </text>
    </comment>
    <comment ref="X14" authorId="0" shapeId="0" xr:uid="{5F330D69-79D3-904B-9B00-97A75F08F3A9}">
      <text>
        <r>
          <rPr>
            <sz val="11"/>
            <color rgb="FF000000"/>
            <rFont val="Calibri"/>
            <family val="2"/>
          </rPr>
          <t>Starter notional only. Candidate should resize trades using slippage, inventory, and bridge constraints.</t>
        </r>
      </text>
    </comment>
    <comment ref="U15" authorId="0" shapeId="0" xr:uid="{DCF8F11A-92E9-4145-92C7-FC6E163690A7}">
      <text>
        <r>
          <rPr>
            <sz val="11"/>
            <color rgb="FF000000"/>
            <rFont val="Calibri"/>
            <family val="2"/>
          </rPr>
          <t>Starter notional only. Candidate should resize trades using slippage, inventory, and bridge constraints.</t>
        </r>
      </text>
    </comment>
    <comment ref="X15" authorId="0" shapeId="0" xr:uid="{FA0BB807-9C01-2A4B-9500-423B2F159679}">
      <text>
        <r>
          <rPr>
            <sz val="11"/>
            <color theme="1"/>
            <rFont val="Calibri"/>
            <family val="2"/>
            <scheme val="minor"/>
          </rPr>
          <t>Starter notional only. Candidate should resize trades using slippage, inventory, and bridge constraints.</t>
        </r>
      </text>
    </comment>
    <comment ref="U16" authorId="0" shapeId="0" xr:uid="{0F98F0A0-8F7B-E74F-89E4-E2CB22E38C29}">
      <text>
        <r>
          <rPr>
            <sz val="11"/>
            <color theme="1"/>
            <rFont val="Calibri"/>
            <family val="2"/>
            <scheme val="minor"/>
          </rPr>
          <t>Starter notional only. Candidate should resize trades using slippage, inventory, and bridge constraints.</t>
        </r>
      </text>
    </comment>
    <comment ref="X16" authorId="0" shapeId="0" xr:uid="{4C42B7FD-CC7F-4B47-BB6A-04A6A2CE603B}">
      <text>
        <r>
          <rPr>
            <sz val="11"/>
            <color theme="1"/>
            <rFont val="Calibri"/>
            <family val="2"/>
            <scheme val="minor"/>
          </rPr>
          <t>Starter notional only. Candidate should resize trades using slippage, inventory, and bridge constraints.</t>
        </r>
      </text>
    </comment>
    <comment ref="U17" authorId="0" shapeId="0" xr:uid="{B2F6277F-87D4-9242-BF89-4F0AEBF143DC}">
      <text>
        <r>
          <rPr>
            <sz val="11"/>
            <color theme="1"/>
            <rFont val="Calibri"/>
            <family val="2"/>
            <scheme val="minor"/>
          </rPr>
          <t>Starter notional only. Candidate should resize trades using slippage, inventory, and bridge constraints.</t>
        </r>
      </text>
    </comment>
    <comment ref="X17" authorId="0" shapeId="0" xr:uid="{48B5CBC1-D93C-4A41-A6F6-951B47FEDDD5}">
      <text>
        <r>
          <rPr>
            <sz val="11"/>
            <color rgb="FF000000"/>
            <rFont val="Calibri"/>
            <family val="2"/>
          </rPr>
          <t>Starter notional only. Candidate should resize trades using slippage, inventory, and bridge constraints.</t>
        </r>
      </text>
    </comment>
    <comment ref="C21" authorId="0" shapeId="0" xr:uid="{02825BF4-8993-A842-844B-07E1F7235883}">
      <text>
        <r>
          <rPr>
            <sz val="11"/>
            <color rgb="FF000000"/>
            <rFont val="Calibri"/>
            <family val="2"/>
          </rPr>
          <t>This helper treats any non-zero transfer on a chain as incurring the fixed bridge charge once.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<sst xmlns="http://schemas.openxmlformats.org/spreadsheetml/2006/main" count="19721" uniqueCount="9758">
  <si>
    <t xml:space="preserve">Trader TEST </t>
  </si>
  <si>
    <t>Please include any necessary assumptions to ensure that the exercise makes sense.</t>
  </si>
  <si>
    <t>Please use Python/R to solve the problems and attach your code in a .zip file to the email along with the solutions. Additionally, provide a PDF document containing the solutions to the questions.</t>
  </si>
  <si>
    <t>For the following questions, utilize the information provided in the 'Data' sheet.</t>
  </si>
  <si>
    <t>1. Organize, normalize, and construct a well-structured dataset.</t>
  </si>
  <si>
    <t>2. Provide a grpah with as many technical indicators you concider important, analyse it and provide an explanation regarding the prices.</t>
  </si>
  <si>
    <t>3. Create a trading algorithm using only price information (without considering other asset prices). Display the cumulative P&amp;L (profit and loss), which may not necessarily be positive.</t>
  </si>
  <si>
    <t>4. Briefly explain what blockchain is and why it is important in today's world.</t>
  </si>
  <si>
    <t>Backtest</t>
  </si>
  <si>
    <t>Bollinger (GBM+GARCH)</t>
  </si>
  <si>
    <t>SVM (Lags Matrix)</t>
  </si>
  <si>
    <t>Total Return</t>
  </si>
  <si>
    <t>Sharpe Ratio</t>
  </si>
  <si>
    <t>Max Drawdown</t>
  </si>
  <si>
    <t>Date</t>
  </si>
  <si>
    <t>Open</t>
  </si>
  <si>
    <t>High</t>
  </si>
  <si>
    <t>Low</t>
  </si>
  <si>
    <t>Close</t>
  </si>
  <si>
    <t>Adj Close</t>
  </si>
  <si>
    <t>10619.82</t>
  </si>
  <si>
    <t>10657.84</t>
  </si>
  <si>
    <t>10416.69</t>
  </si>
  <si>
    <t>10575.97</t>
  </si>
  <si>
    <t>10575.1</t>
  </si>
  <si>
    <t>10598.94</t>
  </si>
  <si>
    <t>10511.13</t>
  </si>
  <si>
    <t>10549.33</t>
  </si>
  <si>
    <t>10550.44</t>
  </si>
  <si>
    <t>10686.0</t>
  </si>
  <si>
    <t>10534.39</t>
  </si>
  <si>
    <t>10669.58</t>
  </si>
  <si>
    <t>10676.53</t>
  </si>
  <si>
    <t>10793.51</t>
  </si>
  <si>
    <t>10634.6</t>
  </si>
  <si>
    <t>10793.34</t>
  </si>
  <si>
    <t>10796.31</t>
  </si>
  <si>
    <t>10797.58</t>
  </si>
  <si>
    <t>10528.89</t>
  </si>
  <si>
    <t>10604.41</t>
  </si>
  <si>
    <t>10603.36</t>
  </si>
  <si>
    <t>10680.51</t>
  </si>
  <si>
    <t>10562.51</t>
  </si>
  <si>
    <t>10668.97</t>
  </si>
  <si>
    <t>10927.91</t>
  </si>
  <si>
    <t>11102.67</t>
  </si>
  <si>
    <t>10846.85</t>
  </si>
  <si>
    <t>11064.46</t>
  </si>
  <si>
    <t>11059.14</t>
  </si>
  <si>
    <t>11442.21</t>
  </si>
  <si>
    <t>11056.94</t>
  </si>
  <si>
    <t>11296.36</t>
  </si>
  <si>
    <t>11296.08</t>
  </si>
  <si>
    <t>11428.81</t>
  </si>
  <si>
    <t>11288.63</t>
  </si>
  <si>
    <t>11384.18</t>
  </si>
  <si>
    <t>11392.64</t>
  </si>
  <si>
    <t>11698.47</t>
  </si>
  <si>
    <t>11240.69</t>
  </si>
  <si>
    <t>11555.36</t>
  </si>
  <si>
    <t>11548.72</t>
  </si>
  <si>
    <t>11548.98</t>
  </si>
  <si>
    <t>11321.22</t>
  </si>
  <si>
    <t>11425.9</t>
  </si>
  <si>
    <t>11429.05</t>
  </si>
  <si>
    <t>11539.98</t>
  </si>
  <si>
    <t>11307.83</t>
  </si>
  <si>
    <t>11429.51</t>
  </si>
  <si>
    <t>11426.6</t>
  </si>
  <si>
    <t>11569.91</t>
  </si>
  <si>
    <t>11303.6</t>
  </si>
  <si>
    <t>11495.35</t>
  </si>
  <si>
    <t>11502.83</t>
  </si>
  <si>
    <t>11540.06</t>
  </si>
  <si>
    <t>11223.01</t>
  </si>
  <si>
    <t>11322.12</t>
  </si>
  <si>
    <t>11386.26</t>
  </si>
  <si>
    <t>11285.35</t>
  </si>
  <si>
    <t>11358.1</t>
  </si>
  <si>
    <t>11355.98</t>
  </si>
  <si>
    <t>11483.36</t>
  </si>
  <si>
    <t>11347.58</t>
  </si>
  <si>
    <t>11495.04</t>
  </si>
  <si>
    <t>11799.09</t>
  </si>
  <si>
    <t>11408.29</t>
  </si>
  <si>
    <t>11742.04</t>
  </si>
  <si>
    <t>11745.97</t>
  </si>
  <si>
    <t>11999.92</t>
  </si>
  <si>
    <t>11681.48</t>
  </si>
  <si>
    <t>11916.33</t>
  </si>
  <si>
    <t>12801.64</t>
  </si>
  <si>
    <t>13161.59</t>
  </si>
  <si>
    <t>12717.09</t>
  </si>
  <si>
    <t>12965.89</t>
  </si>
  <si>
    <t>12971.55</t>
  </si>
  <si>
    <t>13015.96</t>
  </si>
  <si>
    <t>12752.65</t>
  </si>
  <si>
    <t>12931.54</t>
  </si>
  <si>
    <t>13108.06</t>
  </si>
  <si>
    <t>13329.18</t>
  </si>
  <si>
    <t>12910.06</t>
  </si>
  <si>
    <t>13031.17</t>
  </si>
  <si>
    <t>13075.24</t>
  </si>
  <si>
    <t>13759.67</t>
  </si>
  <si>
    <t>13060.84</t>
  </si>
  <si>
    <t>13654.22</t>
  </si>
  <si>
    <t>13654.21</t>
  </si>
  <si>
    <t>13837.7</t>
  </si>
  <si>
    <t>12932.25</t>
  </si>
  <si>
    <t>13271.29</t>
  </si>
  <si>
    <t>13271.3</t>
  </si>
  <si>
    <t>13612.05</t>
  </si>
  <si>
    <t>12980.06</t>
  </si>
  <si>
    <t>13437.88</t>
  </si>
  <si>
    <t>13437.87</t>
  </si>
  <si>
    <t>13651.52</t>
  </si>
  <si>
    <t>13136.2</t>
  </si>
  <si>
    <t>13546.52</t>
  </si>
  <si>
    <t>13546.53</t>
  </si>
  <si>
    <t>14028.21</t>
  </si>
  <si>
    <t>13457.53</t>
  </si>
  <si>
    <t>13781.0</t>
  </si>
  <si>
    <t>13862.03</t>
  </si>
  <si>
    <t>13628.38</t>
  </si>
  <si>
    <t>13737.11</t>
  </si>
  <si>
    <t>13737.03</t>
  </si>
  <si>
    <t>13808.32</t>
  </si>
  <si>
    <t>13243.16</t>
  </si>
  <si>
    <t>13550.49</t>
  </si>
  <si>
    <t>13550.45</t>
  </si>
  <si>
    <t>13984.98</t>
  </si>
  <si>
    <t>13325.44</t>
  </si>
  <si>
    <t>13950.3</t>
  </si>
  <si>
    <t>13950.49</t>
  </si>
  <si>
    <t>14218.77</t>
  </si>
  <si>
    <t>13580.47</t>
  </si>
  <si>
    <t>14133.71</t>
  </si>
  <si>
    <t>14133.73</t>
  </si>
  <si>
    <t>15706.4</t>
  </si>
  <si>
    <t>14102.09</t>
  </si>
  <si>
    <t>15579.85</t>
  </si>
  <si>
    <t>15579.73</t>
  </si>
  <si>
    <t>15903.44</t>
  </si>
  <si>
    <t>15226.84</t>
  </si>
  <si>
    <t>15565.88</t>
  </si>
  <si>
    <t>15737.1</t>
  </si>
  <si>
    <t>14423.2</t>
  </si>
  <si>
    <t>14833.75</t>
  </si>
  <si>
    <t>15637.32</t>
  </si>
  <si>
    <t>14744.11</t>
  </si>
  <si>
    <t>15479.57</t>
  </si>
  <si>
    <t>15479.6</t>
  </si>
  <si>
    <t>15785.14</t>
  </si>
  <si>
    <t>14865.53</t>
  </si>
  <si>
    <t>15332.32</t>
  </si>
  <si>
    <t>15332.35</t>
  </si>
  <si>
    <t>15450.33</t>
  </si>
  <si>
    <t>15124.96</t>
  </si>
  <si>
    <t>15290.9</t>
  </si>
  <si>
    <t>15290.91</t>
  </si>
  <si>
    <t>15916.26</t>
  </si>
  <si>
    <t>15290.01</t>
  </si>
  <si>
    <t>15701.34</t>
  </si>
  <si>
    <t>15701.3</t>
  </si>
  <si>
    <t>16305.0</t>
  </si>
  <si>
    <t>15534.77</t>
  </si>
  <si>
    <t>16276.34</t>
  </si>
  <si>
    <t>16276.44</t>
  </si>
  <si>
    <t>16463.18</t>
  </si>
  <si>
    <t>15992.15</t>
  </si>
  <si>
    <t>16317.81</t>
  </si>
  <si>
    <t>15749.19</t>
  </si>
  <si>
    <t>16068.14</t>
  </si>
  <si>
    <t>16123.11</t>
  </si>
  <si>
    <t>15793.53</t>
  </si>
  <si>
    <t>15955.59</t>
  </si>
  <si>
    <t>15955.58</t>
  </si>
  <si>
    <t>16816.18</t>
  </si>
  <si>
    <t>15880.71</t>
  </si>
  <si>
    <t>16716.11</t>
  </si>
  <si>
    <t>16685.69</t>
  </si>
  <si>
    <t>17782.92</t>
  </si>
  <si>
    <t>16564.54</t>
  </si>
  <si>
    <t>17645.41</t>
  </si>
  <si>
    <t>17645.19</t>
  </si>
  <si>
    <t>18393.95</t>
  </si>
  <si>
    <t>17352.91</t>
  </si>
  <si>
    <t>17804.01</t>
  </si>
  <si>
    <t>17803.86</t>
  </si>
  <si>
    <t>18119.55</t>
  </si>
  <si>
    <t>17382.55</t>
  </si>
  <si>
    <t>17817.09</t>
  </si>
  <si>
    <t>17817.08</t>
  </si>
  <si>
    <t>18773.23</t>
  </si>
  <si>
    <t>17765.79</t>
  </si>
  <si>
    <t>18621.31</t>
  </si>
  <si>
    <t>18621.32</t>
  </si>
  <si>
    <t>18936.62</t>
  </si>
  <si>
    <t>18444.36</t>
  </si>
  <si>
    <t>18642.23</t>
  </si>
  <si>
    <t>18688.97</t>
  </si>
  <si>
    <t>17671.38</t>
  </si>
  <si>
    <t>18370.0</t>
  </si>
  <si>
    <t>18370.02</t>
  </si>
  <si>
    <t>18711.43</t>
  </si>
  <si>
    <t>18000.8</t>
  </si>
  <si>
    <t>18364.12</t>
  </si>
  <si>
    <t>18365.02</t>
  </si>
  <si>
    <t>19348.27</t>
  </si>
  <si>
    <t>18128.66</t>
  </si>
  <si>
    <t>19107.46</t>
  </si>
  <si>
    <t>19104.41</t>
  </si>
  <si>
    <t>19390.96</t>
  </si>
  <si>
    <t>18581.15</t>
  </si>
  <si>
    <t>18732.12</t>
  </si>
  <si>
    <t>18729.84</t>
  </si>
  <si>
    <t>18866.29</t>
  </si>
  <si>
    <t>16351.04</t>
  </si>
  <si>
    <t>17150.62</t>
  </si>
  <si>
    <t>17153.91</t>
  </si>
  <si>
    <t>17445.02</t>
  </si>
  <si>
    <t>16526.42</t>
  </si>
  <si>
    <t>17108.4</t>
  </si>
  <si>
    <t>17112.93</t>
  </si>
  <si>
    <t>17853.94</t>
  </si>
  <si>
    <t>16910.65</t>
  </si>
  <si>
    <t>17717.41</t>
  </si>
  <si>
    <t>17719.63</t>
  </si>
  <si>
    <t>18283.63</t>
  </si>
  <si>
    <t>17559.12</t>
  </si>
  <si>
    <t>18177.48</t>
  </si>
  <si>
    <t>18178.32</t>
  </si>
  <si>
    <t>19749.26</t>
  </si>
  <si>
    <t>19625.84</t>
  </si>
  <si>
    <t>19633.77</t>
  </si>
  <si>
    <t>19845.97</t>
  </si>
  <si>
    <t>18321.92</t>
  </si>
  <si>
    <t>18803.0</t>
  </si>
  <si>
    <t>18801.74</t>
  </si>
  <si>
    <t>19308.33</t>
  </si>
  <si>
    <t>18347.72</t>
  </si>
  <si>
    <t>19201.09</t>
  </si>
  <si>
    <t>19205.93</t>
  </si>
  <si>
    <t>19566.19</t>
  </si>
  <si>
    <t>18925.79</t>
  </si>
  <si>
    <t>19445.4</t>
  </si>
  <si>
    <t>19446.97</t>
  </si>
  <si>
    <t>19511.4</t>
  </si>
  <si>
    <t>18697.19</t>
  </si>
  <si>
    <t>18699.77</t>
  </si>
  <si>
    <t>18698.38</t>
  </si>
  <si>
    <t>19160.45</t>
  </si>
  <si>
    <t>18590.19</t>
  </si>
  <si>
    <t>19154.23</t>
  </si>
  <si>
    <t>19154.18</t>
  </si>
  <si>
    <t>19390.5</t>
  </si>
  <si>
    <t>18897.89</t>
  </si>
  <si>
    <t>19345.12</t>
  </si>
  <si>
    <t>19343.13</t>
  </si>
  <si>
    <t>19411.83</t>
  </si>
  <si>
    <t>18931.14</t>
  </si>
  <si>
    <t>19191.63</t>
  </si>
  <si>
    <t>19191.53</t>
  </si>
  <si>
    <t>19283.48</t>
  </si>
  <si>
    <t>18269.95</t>
  </si>
  <si>
    <t>18321.14</t>
  </si>
  <si>
    <t>18320.88</t>
  </si>
  <si>
    <t>18626.29</t>
  </si>
  <si>
    <t>17935.55</t>
  </si>
  <si>
    <t>18553.92</t>
  </si>
  <si>
    <t>18553.3</t>
  </si>
  <si>
    <t>17957.06</t>
  </si>
  <si>
    <t>18264.99</t>
  </si>
  <si>
    <t>18263.93</t>
  </si>
  <si>
    <t>18268.45</t>
  </si>
  <si>
    <t>17619.53</t>
  </si>
  <si>
    <t>18058.9</t>
  </si>
  <si>
    <t>18051.32</t>
  </si>
  <si>
    <t>18919.55</t>
  </si>
  <si>
    <t>18046.04</t>
  </si>
  <si>
    <t>18803.66</t>
  </si>
  <si>
    <t>18806.77</t>
  </si>
  <si>
    <t>19381.54</t>
  </si>
  <si>
    <t>18734.33</t>
  </si>
  <si>
    <t>19142.38</t>
  </si>
  <si>
    <t>19144.49</t>
  </si>
  <si>
    <t>19305.1</t>
  </si>
  <si>
    <t>19012.71</t>
  </si>
  <si>
    <t>19246.64</t>
  </si>
  <si>
    <t>19246.92</t>
  </si>
  <si>
    <t>19525.01</t>
  </si>
  <si>
    <t>19079.84</t>
  </si>
  <si>
    <t>19417.08</t>
  </si>
  <si>
    <t>19418.82</t>
  </si>
  <si>
    <t>21458.91</t>
  </si>
  <si>
    <t>19298.32</t>
  </si>
  <si>
    <t>21310.6</t>
  </si>
  <si>
    <t>21308.35</t>
  </si>
  <si>
    <t>23642.66</t>
  </si>
  <si>
    <t>21234.68</t>
  </si>
  <si>
    <t>22805.16</t>
  </si>
  <si>
    <t>22806.8</t>
  </si>
  <si>
    <t>23238.6</t>
  </si>
  <si>
    <t>22399.81</t>
  </si>
  <si>
    <t>23137.96</t>
  </si>
  <si>
    <t>23132.87</t>
  </si>
  <si>
    <t>24085.86</t>
  </si>
  <si>
    <t>22826.47</t>
  </si>
  <si>
    <t>23869.83</t>
  </si>
  <si>
    <t>23861.77</t>
  </si>
  <si>
    <t>24209.66</t>
  </si>
  <si>
    <t>23147.71</t>
  </si>
  <si>
    <t>23477.29</t>
  </si>
  <si>
    <t>23474.46</t>
  </si>
  <si>
    <t>24059.98</t>
  </si>
  <si>
    <t>22159.37</t>
  </si>
  <si>
    <t>22803.08</t>
  </si>
  <si>
    <t>22794.04</t>
  </si>
  <si>
    <t>23789.9</t>
  </si>
  <si>
    <t>22430.61</t>
  </si>
  <si>
    <t>23783.03</t>
  </si>
  <si>
    <t>23781.97</t>
  </si>
  <si>
    <t>24024.49</t>
  </si>
  <si>
    <t>22802.65</t>
  </si>
  <si>
    <t>23241.35</t>
  </si>
  <si>
    <t>23240.2</t>
  </si>
  <si>
    <t>23768.34</t>
  </si>
  <si>
    <t>22777.6</t>
  </si>
  <si>
    <t>23735.95</t>
  </si>
  <si>
    <t>23733.57</t>
  </si>
  <si>
    <t>24710.1</t>
  </si>
  <si>
    <t>23463.67</t>
  </si>
  <si>
    <t>24664.79</t>
  </si>
  <si>
    <t>26439.37</t>
  </si>
  <si>
    <t>28288.84</t>
  </si>
  <si>
    <t>25922.77</t>
  </si>
  <si>
    <t>26272.29</t>
  </si>
  <si>
    <t>26280.82</t>
  </si>
  <si>
    <t>27389.11</t>
  </si>
  <si>
    <t>26207.64</t>
  </si>
  <si>
    <t>27084.81</t>
  </si>
  <si>
    <t>27081.81</t>
  </si>
  <si>
    <t>27370.72</t>
  </si>
  <si>
    <t>25987.3</t>
  </si>
  <si>
    <t>27362.44</t>
  </si>
  <si>
    <t>27360.09</t>
  </si>
  <si>
    <t>28937.74</t>
  </si>
  <si>
    <t>28840.95</t>
  </si>
  <si>
    <t>28841.57</t>
  </si>
  <si>
    <t>29244.88</t>
  </si>
  <si>
    <t>28201.99</t>
  </si>
  <si>
    <t>29001.72</t>
  </si>
  <si>
    <t>28994.01</t>
  </si>
  <si>
    <t>29600.63</t>
  </si>
  <si>
    <t>28803.59</t>
  </si>
  <si>
    <t>29374.15</t>
  </si>
  <si>
    <t>32129.41</t>
  </si>
  <si>
    <t>34608.56</t>
  </si>
  <si>
    <t>32052.32</t>
  </si>
  <si>
    <t>32782.02</t>
  </si>
  <si>
    <t>32810.95</t>
  </si>
  <si>
    <t>33440.22</t>
  </si>
  <si>
    <t>28722.76</t>
  </si>
  <si>
    <t>31971.91</t>
  </si>
  <si>
    <t>31977.04</t>
  </si>
  <si>
    <t>34437.59</t>
  </si>
  <si>
    <t>30221.19</t>
  </si>
  <si>
    <t>33992.43</t>
  </si>
  <si>
    <t>34013.61</t>
  </si>
  <si>
    <t>36879.7</t>
  </si>
  <si>
    <t>33514.04</t>
  </si>
  <si>
    <t>36824.36</t>
  </si>
  <si>
    <t>36833.88</t>
  </si>
  <si>
    <t>40180.37</t>
  </si>
  <si>
    <t>36491.19</t>
  </si>
  <si>
    <t>39371.04</t>
  </si>
  <si>
    <t>39381.77</t>
  </si>
  <si>
    <t>41946.74</t>
  </si>
  <si>
    <t>36838.64</t>
  </si>
  <si>
    <t>40797.61</t>
  </si>
  <si>
    <t>40788.64</t>
  </si>
  <si>
    <t>41436.35</t>
  </si>
  <si>
    <t>38980.88</t>
  </si>
  <si>
    <t>40254.55</t>
  </si>
  <si>
    <t>40254.22</t>
  </si>
  <si>
    <t>41420.19</t>
  </si>
  <si>
    <t>35984.63</t>
  </si>
  <si>
    <t>38356.44</t>
  </si>
  <si>
    <t>38346.53</t>
  </si>
  <si>
    <t>30549.6</t>
  </si>
  <si>
    <t>35566.66</t>
  </si>
  <si>
    <t>35516.36</t>
  </si>
  <si>
    <t>36568.53</t>
  </si>
  <si>
    <t>32697.98</t>
  </si>
  <si>
    <t>33922.96</t>
  </si>
  <si>
    <t>33915.12</t>
  </si>
  <si>
    <t>37599.96</t>
  </si>
  <si>
    <t>32584.67</t>
  </si>
  <si>
    <t>37316.36</t>
  </si>
  <si>
    <t>37325.11</t>
  </si>
  <si>
    <t>39966.41</t>
  </si>
  <si>
    <t>36868.56</t>
  </si>
  <si>
    <t>39187.33</t>
  </si>
  <si>
    <t>39156.71</t>
  </si>
  <si>
    <t>39577.71</t>
  </si>
  <si>
    <t>34659.59</t>
  </si>
  <si>
    <t>36825.37</t>
  </si>
  <si>
    <t>36821.65</t>
  </si>
  <si>
    <t>37864.37</t>
  </si>
  <si>
    <t>35633.55</t>
  </si>
  <si>
    <t>36178.14</t>
  </si>
  <si>
    <t>36163.65</t>
  </si>
  <si>
    <t>36722.35</t>
  </si>
  <si>
    <t>34069.32</t>
  </si>
  <si>
    <t>35791.28</t>
  </si>
  <si>
    <t>35792.24</t>
  </si>
  <si>
    <t>37299.29</t>
  </si>
  <si>
    <t>34883.84</t>
  </si>
  <si>
    <t>36630.07</t>
  </si>
  <si>
    <t>36642.23</t>
  </si>
  <si>
    <t>37755.89</t>
  </si>
  <si>
    <t>36069.8</t>
  </si>
  <si>
    <t>36050.11</t>
  </si>
  <si>
    <t>36378.33</t>
  </si>
  <si>
    <t>33570.48</t>
  </si>
  <si>
    <t>35547.75</t>
  </si>
  <si>
    <t>35549.4</t>
  </si>
  <si>
    <t>35552.68</t>
  </si>
  <si>
    <t>30250.75</t>
  </si>
  <si>
    <t>30825.7</t>
  </si>
  <si>
    <t>30817.63</t>
  </si>
  <si>
    <t>33811.85</t>
  </si>
  <si>
    <t>28953.37</t>
  </si>
  <si>
    <t>33005.76</t>
  </si>
  <si>
    <t>32985.76</t>
  </si>
  <si>
    <t>33360.98</t>
  </si>
  <si>
    <t>31493.16</t>
  </si>
  <si>
    <t>32067.64</t>
  </si>
  <si>
    <t>32064.38</t>
  </si>
  <si>
    <t>32944.01</t>
  </si>
  <si>
    <t>31106.69</t>
  </si>
  <si>
    <t>32289.38</t>
  </si>
  <si>
    <t>32285.8</t>
  </si>
  <si>
    <t>34802.74</t>
  </si>
  <si>
    <t>32087.79</t>
  </si>
  <si>
    <t>32366.39</t>
  </si>
  <si>
    <t>32358.61</t>
  </si>
  <si>
    <t>32794.55</t>
  </si>
  <si>
    <t>31030.27</t>
  </si>
  <si>
    <t>32569.85</t>
  </si>
  <si>
    <t>32564.03</t>
  </si>
  <si>
    <t>29367.14</t>
  </si>
  <si>
    <t>30432.55</t>
  </si>
  <si>
    <t>30441.04</t>
  </si>
  <si>
    <t>33858.31</t>
  </si>
  <si>
    <t>30023.21</t>
  </si>
  <si>
    <t>33466.1</t>
  </si>
  <si>
    <t>34318.67</t>
  </si>
  <si>
    <t>38406.26</t>
  </si>
  <si>
    <t>32064.81</t>
  </si>
  <si>
    <t>34316.39</t>
  </si>
  <si>
    <t>34295.93</t>
  </si>
  <si>
    <t>34834.71</t>
  </si>
  <si>
    <t>32940.19</t>
  </si>
  <si>
    <t>34269.52</t>
  </si>
  <si>
    <t>34270.88</t>
  </si>
  <si>
    <t>34288.33</t>
  </si>
  <si>
    <t>32270.18</t>
  </si>
  <si>
    <t>33114.36</t>
  </si>
  <si>
    <t>35510.82</t>
  </si>
  <si>
    <t>37480.19</t>
  </si>
  <si>
    <t>35443.98</t>
  </si>
  <si>
    <t>37472.09</t>
  </si>
  <si>
    <t>37475.11</t>
  </si>
  <si>
    <t>38592.18</t>
  </si>
  <si>
    <t>36317.5</t>
  </si>
  <si>
    <t>36926.07</t>
  </si>
  <si>
    <t>36931.55</t>
  </si>
  <si>
    <t>38225.91</t>
  </si>
  <si>
    <t>36658.76</t>
  </si>
  <si>
    <t>38144.31</t>
  </si>
  <si>
    <t>38138.39</t>
  </si>
  <si>
    <t>40846.55</t>
  </si>
  <si>
    <t>39266.01</t>
  </si>
  <si>
    <t>39250.19</t>
  </si>
  <si>
    <t>39621.84</t>
  </si>
  <si>
    <t>37446.15</t>
  </si>
  <si>
    <t>38903.44</t>
  </si>
  <si>
    <t>38886.83</t>
  </si>
  <si>
    <t>46203.93</t>
  </si>
  <si>
    <t>38076.32</t>
  </si>
  <si>
    <t>46196.46</t>
  </si>
  <si>
    <t>46184.99</t>
  </si>
  <si>
    <t>48003.72</t>
  </si>
  <si>
    <t>45166.96</t>
  </si>
  <si>
    <t>46481.11</t>
  </si>
  <si>
    <t>46469.76</t>
  </si>
  <si>
    <t>47145.57</t>
  </si>
  <si>
    <t>43881.15</t>
  </si>
  <si>
    <t>44918.18</t>
  </si>
  <si>
    <t>44898.71</t>
  </si>
  <si>
    <t>48463.47</t>
  </si>
  <si>
    <t>44187.76</t>
  </si>
  <si>
    <t>47909.33</t>
  </si>
  <si>
    <t>47877.04</t>
  </si>
  <si>
    <t>48745.73</t>
  </si>
  <si>
    <t>46424.98</t>
  </si>
  <si>
    <t>47504.85</t>
  </si>
  <si>
    <t>47114.51</t>
  </si>
  <si>
    <t>49487.64</t>
  </si>
  <si>
    <t>48717.29</t>
  </si>
  <si>
    <t>48696.54</t>
  </si>
  <si>
    <t>48875.57</t>
  </si>
  <si>
    <t>46347.48</t>
  </si>
  <si>
    <t>47945.06</t>
  </si>
  <si>
    <t>47944.46</t>
  </si>
  <si>
    <t>50341.1</t>
  </si>
  <si>
    <t>47201.3</t>
  </si>
  <si>
    <t>49199.87</t>
  </si>
  <si>
    <t>49207.28</t>
  </si>
  <si>
    <t>52533.91</t>
  </si>
  <si>
    <t>49072.38</t>
  </si>
  <si>
    <t>52149.01</t>
  </si>
  <si>
    <t>52140.97</t>
  </si>
  <si>
    <t>52474.11</t>
  </si>
  <si>
    <t>51015.77</t>
  </si>
  <si>
    <t>51679.8</t>
  </si>
  <si>
    <t>51675.98</t>
  </si>
  <si>
    <t>56113.65</t>
  </si>
  <si>
    <t>50937.28</t>
  </si>
  <si>
    <t>55888.13</t>
  </si>
  <si>
    <t>55887.34</t>
  </si>
  <si>
    <t>57505.23</t>
  </si>
  <si>
    <t>54626.56</t>
  </si>
  <si>
    <t>56099.52</t>
  </si>
  <si>
    <t>56068.57</t>
  </si>
  <si>
    <t>58330.57</t>
  </si>
  <si>
    <t>55672.61</t>
  </si>
  <si>
    <t>57539.95</t>
  </si>
  <si>
    <t>57532.74</t>
  </si>
  <si>
    <t>57533.39</t>
  </si>
  <si>
    <t>48967.57</t>
  </si>
  <si>
    <t>54207.32</t>
  </si>
  <si>
    <t>54204.93</t>
  </si>
  <si>
    <t>45290.59</t>
  </si>
  <si>
    <t>48824.43</t>
  </si>
  <si>
    <t>48835.09</t>
  </si>
  <si>
    <t>51290.14</t>
  </si>
  <si>
    <t>47213.5</t>
  </si>
  <si>
    <t>49705.33</t>
  </si>
  <si>
    <t>49709.08</t>
  </si>
  <si>
    <t>51948.97</t>
  </si>
  <si>
    <t>47093.85</t>
  </si>
  <si>
    <t>47180.46</t>
  </si>
  <si>
    <t>48370.79</t>
  </si>
  <si>
    <t>44454.84</t>
  </si>
  <si>
    <t>46339.76</t>
  </si>
  <si>
    <t>46344.77</t>
  </si>
  <si>
    <t>48253.27</t>
  </si>
  <si>
    <t>45269.03</t>
  </si>
  <si>
    <t>46188.45</t>
  </si>
  <si>
    <t>46194.02</t>
  </si>
  <si>
    <t>46716.43</t>
  </si>
  <si>
    <t>43241.62</t>
  </si>
  <si>
    <t>45137.77</t>
  </si>
  <si>
    <t>45159.5</t>
  </si>
  <si>
    <t>49784.02</t>
  </si>
  <si>
    <t>45115.09</t>
  </si>
  <si>
    <t>49631.24</t>
  </si>
  <si>
    <t>49612.11</t>
  </si>
  <si>
    <t>50127.51</t>
  </si>
  <si>
    <t>47228.84</t>
  </si>
  <si>
    <t>48378.99</t>
  </si>
  <si>
    <t>48415.82</t>
  </si>
  <si>
    <t>52535.14</t>
  </si>
  <si>
    <t>48274.32</t>
  </si>
  <si>
    <t>50538.24</t>
  </si>
  <si>
    <t>50522.3</t>
  </si>
  <si>
    <t>51735.09</t>
  </si>
  <si>
    <t>47656.93</t>
  </si>
  <si>
    <t>48561.17</t>
  </si>
  <si>
    <t>48527.03</t>
  </si>
  <si>
    <t>49396.43</t>
  </si>
  <si>
    <t>46542.52</t>
  </si>
  <si>
    <t>48927.3</t>
  </si>
  <si>
    <t>48899.23</t>
  </si>
  <si>
    <t>49147.22</t>
  </si>
  <si>
    <t>47257.53</t>
  </si>
  <si>
    <t>48912.38</t>
  </si>
  <si>
    <t>48918.68</t>
  </si>
  <si>
    <t>51384.37</t>
  </si>
  <si>
    <t>51206.69</t>
  </si>
  <si>
    <t>51174.12</t>
  </si>
  <si>
    <t>52314.07</t>
  </si>
  <si>
    <t>49506.05</t>
  </si>
  <si>
    <t>52246.52</t>
  </si>
  <si>
    <t>52272.97</t>
  </si>
  <si>
    <t>54824.12</t>
  </si>
  <si>
    <t>51981.83</t>
  </si>
  <si>
    <t>54824.01</t>
  </si>
  <si>
    <t>57258.25</t>
  </si>
  <si>
    <t>53290.89</t>
  </si>
  <si>
    <t>56008.55</t>
  </si>
  <si>
    <t>55963.18</t>
  </si>
  <si>
    <t>58091.06</t>
  </si>
  <si>
    <t>54484.59</t>
  </si>
  <si>
    <t>57805.12</t>
  </si>
  <si>
    <t>57343.37</t>
  </si>
  <si>
    <t>61683.86</t>
  </si>
  <si>
    <t>56217.97</t>
  </si>
  <si>
    <t>61243.09</t>
  </si>
  <si>
    <t>61221.13</t>
  </si>
  <si>
    <t>61597.92</t>
  </si>
  <si>
    <t>59302.32</t>
  </si>
  <si>
    <t>59267.43</t>
  </si>
  <si>
    <t>60540.99</t>
  </si>
  <si>
    <t>55393.16</t>
  </si>
  <si>
    <t>55907.2</t>
  </si>
  <si>
    <t>55840.79</t>
  </si>
  <si>
    <t>56833.18</t>
  </si>
  <si>
    <t>53555.03</t>
  </si>
  <si>
    <t>56804.9</t>
  </si>
  <si>
    <t>56825.83</t>
  </si>
  <si>
    <t>58969.82</t>
  </si>
  <si>
    <t>54528.63</t>
  </si>
  <si>
    <t>58870.89</t>
  </si>
  <si>
    <t>58893.08</t>
  </si>
  <si>
    <t>60116.25</t>
  </si>
  <si>
    <t>54253.58</t>
  </si>
  <si>
    <t>57858.92</t>
  </si>
  <si>
    <t>57850.44</t>
  </si>
  <si>
    <t>59498.38</t>
  </si>
  <si>
    <t>56643.7</t>
  </si>
  <si>
    <t>58346.65</t>
  </si>
  <si>
    <t>58332.26</t>
  </si>
  <si>
    <t>60031.29</t>
  </si>
  <si>
    <t>58213.3</t>
  </si>
  <si>
    <t>58313.64</t>
  </si>
  <si>
    <t>58309.91</t>
  </si>
  <si>
    <t>58767.9</t>
  </si>
  <si>
    <t>56005.62</t>
  </si>
  <si>
    <t>57523.42</t>
  </si>
  <si>
    <t>57517.89</t>
  </si>
  <si>
    <t>58471.48</t>
  </si>
  <si>
    <t>54288.16</t>
  </si>
  <si>
    <t>54529.14</t>
  </si>
  <si>
    <t>54511.66</t>
  </si>
  <si>
    <t>55985.44</t>
  </si>
  <si>
    <t>53470.7</t>
  </si>
  <si>
    <t>54738.95</t>
  </si>
  <si>
    <t>54710.49</t>
  </si>
  <si>
    <t>57262.38</t>
  </si>
  <si>
    <t>52514.33</t>
  </si>
  <si>
    <t>52774.27</t>
  </si>
  <si>
    <t>52726.75</t>
  </si>
  <si>
    <t>53392.39</t>
  </si>
  <si>
    <t>50856.57</t>
  </si>
  <si>
    <t>51704.16</t>
  </si>
  <si>
    <t>51683.01</t>
  </si>
  <si>
    <t>55137.31</t>
  </si>
  <si>
    <t>51579.86</t>
  </si>
  <si>
    <t>55137.57</t>
  </si>
  <si>
    <t>56568.21</t>
  </si>
  <si>
    <t>54242.91</t>
  </si>
  <si>
    <t>55973.51</t>
  </si>
  <si>
    <t>55974.94</t>
  </si>
  <si>
    <t>56610.31</t>
  </si>
  <si>
    <t>55071.11</t>
  </si>
  <si>
    <t>55950.75</t>
  </si>
  <si>
    <t>55947.9</t>
  </si>
  <si>
    <t>58342.1</t>
  </si>
  <si>
    <t>55139.34</t>
  </si>
  <si>
    <t>57750.2</t>
  </si>
  <si>
    <t>57750.13</t>
  </si>
  <si>
    <t>59447.22</t>
  </si>
  <si>
    <t>57251.55</t>
  </si>
  <si>
    <t>58917.69</t>
  </si>
  <si>
    <t>58930.28</t>
  </si>
  <si>
    <t>59930.03</t>
  </si>
  <si>
    <t>57726.42</t>
  </si>
  <si>
    <t>58918.83</t>
  </si>
  <si>
    <t>58926.56</t>
  </si>
  <si>
    <t>59586.07</t>
  </si>
  <si>
    <t>58505.28</t>
  </si>
  <si>
    <t>59095.81</t>
  </si>
  <si>
    <t>59098.88</t>
  </si>
  <si>
    <t>60267.19</t>
  </si>
  <si>
    <t>58869.28</t>
  </si>
  <si>
    <t>59384.31</t>
  </si>
  <si>
    <t>59397.41</t>
  </si>
  <si>
    <t>60110.27</t>
  </si>
  <si>
    <t>57603.89</t>
  </si>
  <si>
    <t>57604.84</t>
  </si>
  <si>
    <t>58913.75</t>
  </si>
  <si>
    <t>57168.68</t>
  </si>
  <si>
    <t>58758.55</t>
  </si>
  <si>
    <t>58760.88</t>
  </si>
  <si>
    <t>59891.3</t>
  </si>
  <si>
    <t>57694.82</t>
  </si>
  <si>
    <t>59057.88</t>
  </si>
  <si>
    <t>59171.93</t>
  </si>
  <si>
    <t>59479.58</t>
  </si>
  <si>
    <t>57646.81</t>
  </si>
  <si>
    <t>58192.36</t>
  </si>
  <si>
    <t>58186.51</t>
  </si>
  <si>
    <t>58731.14</t>
  </si>
  <si>
    <t>55604.02</t>
  </si>
  <si>
    <t>56048.94</t>
  </si>
  <si>
    <t>56099.91</t>
  </si>
  <si>
    <t>58338.74</t>
  </si>
  <si>
    <t>55879.09</t>
  </si>
  <si>
    <t>58323.95</t>
  </si>
  <si>
    <t>58326.56</t>
  </si>
  <si>
    <t>58937.05</t>
  </si>
  <si>
    <t>57807.86</t>
  </si>
  <si>
    <t>58245.0</t>
  </si>
  <si>
    <t>58253.78</t>
  </si>
  <si>
    <t>61276.66</t>
  </si>
  <si>
    <t>58038.71</t>
  </si>
  <si>
    <t>59793.23</t>
  </si>
  <si>
    <t>60175.95</t>
  </si>
  <si>
    <t>61253.04</t>
  </si>
  <si>
    <t>59589.88</t>
  </si>
  <si>
    <t>59893.45</t>
  </si>
  <si>
    <t>59890.02</t>
  </si>
  <si>
    <t>63742.29</t>
  </si>
  <si>
    <t>59869.96</t>
  </si>
  <si>
    <t>63503.46</t>
  </si>
  <si>
    <t>63075.2</t>
  </si>
  <si>
    <t>63821.67</t>
  </si>
  <si>
    <t>62208.96</t>
  </si>
  <si>
    <t>63314.01</t>
  </si>
  <si>
    <t>63258.5</t>
  </si>
  <si>
    <t>63594.72</t>
  </si>
  <si>
    <t>60222.53</t>
  </si>
  <si>
    <t>61572.79</t>
  </si>
  <si>
    <t>61529.92</t>
  </si>
  <si>
    <t>62572.18</t>
  </si>
  <si>
    <t>60361.35</t>
  </si>
  <si>
    <t>60683.82</t>
  </si>
  <si>
    <t>60701.89</t>
  </si>
  <si>
    <t>61057.46</t>
  </si>
  <si>
    <t>52829.54</t>
  </si>
  <si>
    <t>56216.18</t>
  </si>
  <si>
    <t>56191.59</t>
  </si>
  <si>
    <t>57520.05</t>
  </si>
  <si>
    <t>54368.59</t>
  </si>
  <si>
    <t>55724.27</t>
  </si>
  <si>
    <t>55681.79</t>
  </si>
  <si>
    <t>57062.15</t>
  </si>
  <si>
    <t>53448.05</t>
  </si>
  <si>
    <t>56473.03</t>
  </si>
  <si>
    <t>56471.13</t>
  </si>
  <si>
    <t>56757.97</t>
  </si>
  <si>
    <t>53695.47</t>
  </si>
  <si>
    <t>53906.09</t>
  </si>
  <si>
    <t>53857.11</t>
  </si>
  <si>
    <t>55410.23</t>
  </si>
  <si>
    <t>50583.81</t>
  </si>
  <si>
    <t>51762.27</t>
  </si>
  <si>
    <t>51739.81</t>
  </si>
  <si>
    <t>52120.79</t>
  </si>
  <si>
    <t>47714.66</t>
  </si>
  <si>
    <t>51093.65</t>
  </si>
  <si>
    <t>51143.23</t>
  </si>
  <si>
    <t>51167.56</t>
  </si>
  <si>
    <t>48805.29</t>
  </si>
  <si>
    <t>50050.87</t>
  </si>
  <si>
    <t>50052.83</t>
  </si>
  <si>
    <t>50506.02</t>
  </si>
  <si>
    <t>47159.48</t>
  </si>
  <si>
    <t>49004.25</t>
  </si>
  <si>
    <t>49077.79</t>
  </si>
  <si>
    <t>54288.0</t>
  </si>
  <si>
    <t>48852.8</t>
  </si>
  <si>
    <t>54021.75</t>
  </si>
  <si>
    <t>54030.3</t>
  </si>
  <si>
    <t>55416.96</t>
  </si>
  <si>
    <t>53319.19</t>
  </si>
  <si>
    <t>55033.12</t>
  </si>
  <si>
    <t>55036.64</t>
  </si>
  <si>
    <t>56227.21</t>
  </si>
  <si>
    <t>53887.92</t>
  </si>
  <si>
    <t>54824.7</t>
  </si>
  <si>
    <t>54858.09</t>
  </si>
  <si>
    <t>55115.84</t>
  </si>
  <si>
    <t>52418.03</t>
  </si>
  <si>
    <t>53555.11</t>
  </si>
  <si>
    <t>57714.66</t>
  </si>
  <si>
    <t>58448.34</t>
  </si>
  <si>
    <t>57052.27</t>
  </si>
  <si>
    <t>57828.05</t>
  </si>
  <si>
    <t>57825.86</t>
  </si>
  <si>
    <t>57902.59</t>
  </si>
  <si>
    <t>56141.91</t>
  </si>
  <si>
    <t>56631.08</t>
  </si>
  <si>
    <t>56620.27</t>
  </si>
  <si>
    <t>58973.31</t>
  </si>
  <si>
    <t>56590.87</t>
  </si>
  <si>
    <t>57200.29</t>
  </si>
  <si>
    <t>57214.18</t>
  </si>
  <si>
    <t>53191.43</t>
  </si>
  <si>
    <t>53333.54</t>
  </si>
  <si>
    <t>53252.16</t>
  </si>
  <si>
    <t>57911.36</t>
  </si>
  <si>
    <t>52969.05</t>
  </si>
  <si>
    <t>57424.01</t>
  </si>
  <si>
    <t>57441.31</t>
  </si>
  <si>
    <t>58363.32</t>
  </si>
  <si>
    <t>55382.51</t>
  </si>
  <si>
    <t>56396.52</t>
  </si>
  <si>
    <t>56413.95</t>
  </si>
  <si>
    <t>58606.63</t>
  </si>
  <si>
    <t>55321.85</t>
  </si>
  <si>
    <t>57356.4</t>
  </si>
  <si>
    <t>57352.77</t>
  </si>
  <si>
    <t>59464.61</t>
  </si>
  <si>
    <t>56975.21</t>
  </si>
  <si>
    <t>58803.78</t>
  </si>
  <si>
    <t>58877.39</t>
  </si>
  <si>
    <t>59210.88</t>
  </si>
  <si>
    <t>56482.0</t>
  </si>
  <si>
    <t>58232.32</t>
  </si>
  <si>
    <t>58250.87</t>
  </si>
  <si>
    <t>59519.36</t>
  </si>
  <si>
    <t>54071.46</t>
  </si>
  <si>
    <t>55859.8</t>
  </si>
  <si>
    <t>55847.24</t>
  </si>
  <si>
    <t>56872.54</t>
  </si>
  <si>
    <t>54608.65</t>
  </si>
  <si>
    <t>56704.57</t>
  </si>
  <si>
    <t>49735.43</t>
  </si>
  <si>
    <t>51330.84</t>
  </si>
  <si>
    <t>46980.02</t>
  </si>
  <si>
    <t>49716.19</t>
  </si>
  <si>
    <t>49682.98</t>
  </si>
  <si>
    <t>51438.12</t>
  </si>
  <si>
    <t>48868.58</t>
  </si>
  <si>
    <t>49880.54</t>
  </si>
  <si>
    <t>49855.5</t>
  </si>
  <si>
    <t>50639.66</t>
  </si>
  <si>
    <t>46664.14</t>
  </si>
  <si>
    <t>46760.19</t>
  </si>
  <si>
    <t>46716.64</t>
  </si>
  <si>
    <t>49720.04</t>
  </si>
  <si>
    <t>43963.35</t>
  </si>
  <si>
    <t>46456.06</t>
  </si>
  <si>
    <t>46415.9</t>
  </si>
  <si>
    <t>46623.56</t>
  </si>
  <si>
    <t>42207.29</t>
  </si>
  <si>
    <t>43537.51</t>
  </si>
  <si>
    <t>43488.06</t>
  </si>
  <si>
    <t>45812.46</t>
  </si>
  <si>
    <t>42367.83</t>
  </si>
  <si>
    <t>42909.4</t>
  </si>
  <si>
    <t>36753.67</t>
  </si>
  <si>
    <t>42462.98</t>
  </si>
  <si>
    <t>35050.62</t>
  </si>
  <si>
    <t>40782.74</t>
  </si>
  <si>
    <t>37371.03</t>
  </si>
  <si>
    <t>38831.05</t>
  </si>
  <si>
    <t>35383.68</t>
  </si>
  <si>
    <t>37536.63</t>
  </si>
  <si>
    <t>37531.45</t>
  </si>
  <si>
    <t>38289.22</t>
  </si>
  <si>
    <t>31227.34</t>
  </si>
  <si>
    <t>34770.58</t>
  </si>
  <si>
    <t>34700.36</t>
  </si>
  <si>
    <t>39835.14</t>
  </si>
  <si>
    <t>34551.08</t>
  </si>
  <si>
    <t>38705.98</t>
  </si>
  <si>
    <t>38795.78</t>
  </si>
  <si>
    <t>39776.35</t>
  </si>
  <si>
    <t>36581.43</t>
  </si>
  <si>
    <t>38402.22</t>
  </si>
  <si>
    <t>38392.63</t>
  </si>
  <si>
    <t>40782.08</t>
  </si>
  <si>
    <t>37905.84</t>
  </si>
  <si>
    <t>39294.2</t>
  </si>
  <si>
    <t>39316.89</t>
  </si>
  <si>
    <t>40379.62</t>
  </si>
  <si>
    <t>37247.9</t>
  </si>
  <si>
    <t>38436.97</t>
  </si>
  <si>
    <t>38507.08</t>
  </si>
  <si>
    <t>38856.97</t>
  </si>
  <si>
    <t>34779.04</t>
  </si>
  <si>
    <t>35697.61</t>
  </si>
  <si>
    <t>35684.16</t>
  </si>
  <si>
    <t>37234.5</t>
  </si>
  <si>
    <t>33693.93</t>
  </si>
  <si>
    <t>34616.07</t>
  </si>
  <si>
    <t>34607.41</t>
  </si>
  <si>
    <t>36400.67</t>
  </si>
  <si>
    <t>33520.74</t>
  </si>
  <si>
    <t>35678.13</t>
  </si>
  <si>
    <t>35658.59</t>
  </si>
  <si>
    <t>37468.25</t>
  </si>
  <si>
    <t>34241.95</t>
  </si>
  <si>
    <t>37332.86</t>
  </si>
  <si>
    <t>37293.79</t>
  </si>
  <si>
    <t>37896.73</t>
  </si>
  <si>
    <t>35787.09</t>
  </si>
  <si>
    <t>36684.93</t>
  </si>
  <si>
    <t>36699.92</t>
  </si>
  <si>
    <t>38231.34</t>
  </si>
  <si>
    <t>35966.31</t>
  </si>
  <si>
    <t>37575.18</t>
  </si>
  <si>
    <t>37599.41</t>
  </si>
  <si>
    <t>39478.95</t>
  </si>
  <si>
    <t>37243.97</t>
  </si>
  <si>
    <t>39208.77</t>
  </si>
  <si>
    <t>39242.48</t>
  </si>
  <si>
    <t>35717.72</t>
  </si>
  <si>
    <t>36894.41</t>
  </si>
  <si>
    <t>36880.16</t>
  </si>
  <si>
    <t>37917.71</t>
  </si>
  <si>
    <t>34900.41</t>
  </si>
  <si>
    <t>35551.96</t>
  </si>
  <si>
    <t>35538.61</t>
  </si>
  <si>
    <t>36436.42</t>
  </si>
  <si>
    <t>35304.58</t>
  </si>
  <si>
    <t>35862.38</t>
  </si>
  <si>
    <t>35835.27</t>
  </si>
  <si>
    <t>36790.57</t>
  </si>
  <si>
    <t>33480.64</t>
  </si>
  <si>
    <t>33560.71</t>
  </si>
  <si>
    <t>33589.52</t>
  </si>
  <si>
    <t>34017.39</t>
  </si>
  <si>
    <t>31114.44</t>
  </si>
  <si>
    <t>33472.63</t>
  </si>
  <si>
    <t>33416.98</t>
  </si>
  <si>
    <t>37537.37</t>
  </si>
  <si>
    <t>32475.87</t>
  </si>
  <si>
    <t>37345.12</t>
  </si>
  <si>
    <t>37389.52</t>
  </si>
  <si>
    <t>38334.32</t>
  </si>
  <si>
    <t>35847.59</t>
  </si>
  <si>
    <t>36702.6</t>
  </si>
  <si>
    <t>36697.03</t>
  </si>
  <si>
    <t>37608.7</t>
  </si>
  <si>
    <t>36044.45</t>
  </si>
  <si>
    <t>37334.4</t>
  </si>
  <si>
    <t>37340.14</t>
  </si>
  <si>
    <t>37408.93</t>
  </si>
  <si>
    <t>34728.19</t>
  </si>
  <si>
    <t>35552.52</t>
  </si>
  <si>
    <t>35555.79</t>
  </si>
  <si>
    <t>39322.78</t>
  </si>
  <si>
    <t>34864.11</t>
  </si>
  <si>
    <t>39097.86</t>
  </si>
  <si>
    <t>39016.97</t>
  </si>
  <si>
    <t>40978.36</t>
  </si>
  <si>
    <t>38757.29</t>
  </si>
  <si>
    <t>40218.48</t>
  </si>
  <si>
    <t>40168.69</t>
  </si>
  <si>
    <t>40516.78</t>
  </si>
  <si>
    <t>38176.04</t>
  </si>
  <si>
    <t>38347.06</t>
  </si>
  <si>
    <t>38341.42</t>
  </si>
  <si>
    <t>39513.67</t>
  </si>
  <si>
    <t>37439.68</t>
  </si>
  <si>
    <t>38053.5</t>
  </si>
  <si>
    <t>38099.48</t>
  </si>
  <si>
    <t>38187.26</t>
  </si>
  <si>
    <t>35255.86</t>
  </si>
  <si>
    <t>35787.25</t>
  </si>
  <si>
    <t>35854.53</t>
  </si>
  <si>
    <t>36457.8</t>
  </si>
  <si>
    <t>34933.06</t>
  </si>
  <si>
    <t>35615.87</t>
  </si>
  <si>
    <t>35563.14</t>
  </si>
  <si>
    <t>36059.48</t>
  </si>
  <si>
    <t>33432.07</t>
  </si>
  <si>
    <t>35698.3</t>
  </si>
  <si>
    <t>35641.14</t>
  </si>
  <si>
    <t>35721.64</t>
  </si>
  <si>
    <t>31295.94</t>
  </si>
  <si>
    <t>31676.69</t>
  </si>
  <si>
    <t>31622.38</t>
  </si>
  <si>
    <t>33292.45</t>
  </si>
  <si>
    <t>28893.62</t>
  </si>
  <si>
    <t>32505.66</t>
  </si>
  <si>
    <t>32515.71</t>
  </si>
  <si>
    <t>34753.41</t>
  </si>
  <si>
    <t>31772.63</t>
  </si>
  <si>
    <t>33723.03</t>
  </si>
  <si>
    <t>33682.8</t>
  </si>
  <si>
    <t>35228.85</t>
  </si>
  <si>
    <t>32385.21</t>
  </si>
  <si>
    <t>34662.44</t>
  </si>
  <si>
    <t>34659.11</t>
  </si>
  <si>
    <t>35487.25</t>
  </si>
  <si>
    <t>31350.88</t>
  </si>
  <si>
    <t>31637.78</t>
  </si>
  <si>
    <t>31594.66</t>
  </si>
  <si>
    <t>32637.59</t>
  </si>
  <si>
    <t>30184.5</t>
  </si>
  <si>
    <t>32186.28</t>
  </si>
  <si>
    <t>32287.52</t>
  </si>
  <si>
    <t>34656.13</t>
  </si>
  <si>
    <t>32071.76</t>
  </si>
  <si>
    <t>34649.64</t>
  </si>
  <si>
    <t>34679.12</t>
  </si>
  <si>
    <t>35219.89</t>
  </si>
  <si>
    <t>33902.07</t>
  </si>
  <si>
    <t>34434.34</t>
  </si>
  <si>
    <t>34475.56</t>
  </si>
  <si>
    <t>36542.11</t>
  </si>
  <si>
    <t>34252.48</t>
  </si>
  <si>
    <t>35867.78</t>
  </si>
  <si>
    <t>35908.39</t>
  </si>
  <si>
    <t>36074.76</t>
  </si>
  <si>
    <t>34086.15</t>
  </si>
  <si>
    <t>35040.84</t>
  </si>
  <si>
    <t>35035.98</t>
  </si>
  <si>
    <t>32883.78</t>
  </si>
  <si>
    <t>33572.12</t>
  </si>
  <si>
    <t>33549.6</t>
  </si>
  <si>
    <t>33939.59</t>
  </si>
  <si>
    <t>32770.68</t>
  </si>
  <si>
    <t>33897.05</t>
  </si>
  <si>
    <t>33854.42</t>
  </si>
  <si>
    <t>34909.26</t>
  </si>
  <si>
    <t>33402.7</t>
  </si>
  <si>
    <t>34668.55</t>
  </si>
  <si>
    <t>34665.57</t>
  </si>
  <si>
    <t>35937.57</t>
  </si>
  <si>
    <t>34396.48</t>
  </si>
  <si>
    <t>35287.78</t>
  </si>
  <si>
    <t>33723.51</t>
  </si>
  <si>
    <t>35038.54</t>
  </si>
  <si>
    <t>33599.92</t>
  </si>
  <si>
    <t>34235.2</t>
  </si>
  <si>
    <t>34225.68</t>
  </si>
  <si>
    <t>34997.66</t>
  </si>
  <si>
    <t>33839.29</t>
  </si>
  <si>
    <t>33855.33</t>
  </si>
  <si>
    <t>33889.61</t>
  </si>
  <si>
    <t>33907.91</t>
  </si>
  <si>
    <t>32133.18</t>
  </si>
  <si>
    <t>32877.37</t>
  </si>
  <si>
    <t>32861.67</t>
  </si>
  <si>
    <t>34042.29</t>
  </si>
  <si>
    <t>32318.88</t>
  </si>
  <si>
    <t>33798.01</t>
  </si>
  <si>
    <t>33811.24</t>
  </si>
  <si>
    <t>34209.07</t>
  </si>
  <si>
    <t>33116.01</t>
  </si>
  <si>
    <t>33520.52</t>
  </si>
  <si>
    <t>33509.08</t>
  </si>
  <si>
    <t>34584.7</t>
  </si>
  <si>
    <t>33346.74</t>
  </si>
  <si>
    <t>34240.19</t>
  </si>
  <si>
    <t>34254.02</t>
  </si>
  <si>
    <t>34592.16</t>
  </si>
  <si>
    <t>32697.31</t>
  </si>
  <si>
    <t>33155.85</t>
  </si>
  <si>
    <t>33125.47</t>
  </si>
  <si>
    <t>33327.1</t>
  </si>
  <si>
    <t>32261.42</t>
  </si>
  <si>
    <t>32702.03</t>
  </si>
  <si>
    <t>32723.85</t>
  </si>
  <si>
    <t>33061.4</t>
  </si>
  <si>
    <t>31639.13</t>
  </si>
  <si>
    <t>32822.35</t>
  </si>
  <si>
    <t>32827.88</t>
  </si>
  <si>
    <t>33159.64</t>
  </si>
  <si>
    <t>31175.71</t>
  </si>
  <si>
    <t>31780.73</t>
  </si>
  <si>
    <t>31841.55</t>
  </si>
  <si>
    <t>32218.41</t>
  </si>
  <si>
    <t>31100.67</t>
  </si>
  <si>
    <t>31421.54</t>
  </si>
  <si>
    <t>31533.88</t>
  </si>
  <si>
    <t>32399.0</t>
  </si>
  <si>
    <t>31215.49</t>
  </si>
  <si>
    <t>31796.81</t>
  </si>
  <si>
    <t>31800.01</t>
  </si>
  <si>
    <t>31885.86</t>
  </si>
  <si>
    <t>30563.73</t>
  </si>
  <si>
    <t>30817.83</t>
  </si>
  <si>
    <t>30838.29</t>
  </si>
  <si>
    <t>31006.19</t>
  </si>
  <si>
    <t>29360.96</t>
  </si>
  <si>
    <t>29807.35</t>
  </si>
  <si>
    <t>29796.29</t>
  </si>
  <si>
    <t>32752.33</t>
  </si>
  <si>
    <t>29526.18</t>
  </si>
  <si>
    <t>32110.69</t>
  </si>
  <si>
    <t>32138.87</t>
  </si>
  <si>
    <t>32576.4</t>
  </si>
  <si>
    <t>31745.3</t>
  </si>
  <si>
    <t>32313.11</t>
  </si>
  <si>
    <t>32305.96</t>
  </si>
  <si>
    <t>33581.55</t>
  </si>
  <si>
    <t>32057.89</t>
  </si>
  <si>
    <t>33593.73</t>
  </si>
  <si>
    <t>34490.39</t>
  </si>
  <si>
    <t>33424.86</t>
  </si>
  <si>
    <t>34292.45</t>
  </si>
  <si>
    <t>34290.29</t>
  </si>
  <si>
    <t>35364.93</t>
  </si>
  <si>
    <t>33881.84</t>
  </si>
  <si>
    <t>35350.19</t>
  </si>
  <si>
    <t>35384.03</t>
  </si>
  <si>
    <t>40499.68</t>
  </si>
  <si>
    <t>35287.31</t>
  </si>
  <si>
    <t>37337.54</t>
  </si>
  <si>
    <t>37276.04</t>
  </si>
  <si>
    <t>39406.94</t>
  </si>
  <si>
    <t>36441.73</t>
  </si>
  <si>
    <t>39503.19</t>
  </si>
  <si>
    <t>40816.07</t>
  </si>
  <si>
    <t>38862.44</t>
  </si>
  <si>
    <t>39995.91</t>
  </si>
  <si>
    <t>39995.45</t>
  </si>
  <si>
    <t>40593.07</t>
  </si>
  <si>
    <t>39352.06</t>
  </si>
  <si>
    <t>40008.42</t>
  </si>
  <si>
    <t>40027.48</t>
  </si>
  <si>
    <t>42235.55</t>
  </si>
  <si>
    <t>38397.36</t>
  </si>
  <si>
    <t>42196.3</t>
  </si>
  <si>
    <t>42231.45</t>
  </si>
  <si>
    <t>41110.83</t>
  </si>
  <si>
    <t>41626.2</t>
  </si>
  <si>
    <t>39907.26</t>
  </si>
  <si>
    <t>40419.18</t>
  </si>
  <si>
    <t>38746.35</t>
  </si>
  <si>
    <t>39201.95</t>
  </si>
  <si>
    <t>39178.4</t>
  </si>
  <si>
    <t>39750.03</t>
  </si>
  <si>
    <t>37782.05</t>
  </si>
  <si>
    <t>38152.98</t>
  </si>
  <si>
    <t>38213.33</t>
  </si>
  <si>
    <t>39952.3</t>
  </si>
  <si>
    <t>37589.16</t>
  </si>
  <si>
    <t>39747.5</t>
  </si>
  <si>
    <t>39744.52</t>
  </si>
  <si>
    <t>41341.93</t>
  </si>
  <si>
    <t>37458.0</t>
  </si>
  <si>
    <t>40869.55</t>
  </si>
  <si>
    <t>40865.87</t>
  </si>
  <si>
    <t>43271.66</t>
  </si>
  <si>
    <t>39932.18</t>
  </si>
  <si>
    <t>42816.5</t>
  </si>
  <si>
    <t>42832.8</t>
  </si>
  <si>
    <t>44689.86</t>
  </si>
  <si>
    <t>42618.57</t>
  </si>
  <si>
    <t>44555.8</t>
  </si>
  <si>
    <t>43791.93</t>
  </si>
  <si>
    <t>46456.83</t>
  </si>
  <si>
    <t>42848.69</t>
  </si>
  <si>
    <t>46365.4</t>
  </si>
  <si>
    <t>46280.85</t>
  </si>
  <si>
    <t>46637.99</t>
  </si>
  <si>
    <t>44705.55</t>
  </si>
  <si>
    <t>45585.03</t>
  </si>
  <si>
    <t>45599.7</t>
  </si>
  <si>
    <t>46735.63</t>
  </si>
  <si>
    <t>45351.71</t>
  </si>
  <si>
    <t>45593.64</t>
  </si>
  <si>
    <t>45576.88</t>
  </si>
  <si>
    <t>46228.91</t>
  </si>
  <si>
    <t>43861.45</t>
  </si>
  <si>
    <t>44428.29</t>
  </si>
  <si>
    <t>44439.69</t>
  </si>
  <si>
    <t>47831.98</t>
  </si>
  <si>
    <t>44282.42</t>
  </si>
  <si>
    <t>47793.32</t>
  </si>
  <si>
    <t>47810.69</t>
  </si>
  <si>
    <t>48098.68</t>
  </si>
  <si>
    <t>46177.63</t>
  </si>
  <si>
    <t>47096.95</t>
  </si>
  <si>
    <t>47096.67</t>
  </si>
  <si>
    <t>47357.11</t>
  </si>
  <si>
    <t>45579.59</t>
  </si>
  <si>
    <t>47047.0</t>
  </si>
  <si>
    <t>47019.96</t>
  </si>
  <si>
    <t>47998.1</t>
  </si>
  <si>
    <t>45700.32</t>
  </si>
  <si>
    <t>46004.48</t>
  </si>
  <si>
    <t>45936.46</t>
  </si>
  <si>
    <t>47139.57</t>
  </si>
  <si>
    <t>44512.42</t>
  </si>
  <si>
    <t>44695.36</t>
  </si>
  <si>
    <t>44741.88</t>
  </si>
  <si>
    <t>46970.76</t>
  </si>
  <si>
    <t>43998.32</t>
  </si>
  <si>
    <t>46717.58</t>
  </si>
  <si>
    <t>46723.12</t>
  </si>
  <si>
    <t>49342.15</t>
  </si>
  <si>
    <t>46650.71</t>
  </si>
  <si>
    <t>49339.18</t>
  </si>
  <si>
    <t>49327.07</t>
  </si>
  <si>
    <t>49717.02</t>
  </si>
  <si>
    <t>48312.2</t>
  </si>
  <si>
    <t>48905.49</t>
  </si>
  <si>
    <t>48869.11</t>
  </si>
  <si>
    <t>49471.61</t>
  </si>
  <si>
    <t>48199.94</t>
  </si>
  <si>
    <t>49321.65</t>
  </si>
  <si>
    <t>49562.35</t>
  </si>
  <si>
    <t>49878.77</t>
  </si>
  <si>
    <t>47687.12</t>
  </si>
  <si>
    <t>47706.12</t>
  </si>
  <si>
    <t>47727.26</t>
  </si>
  <si>
    <t>49202.88</t>
  </si>
  <si>
    <t>47163.61</t>
  </si>
  <si>
    <t>48960.79</t>
  </si>
  <si>
    <t>49002.64</t>
  </si>
  <si>
    <t>49347.58</t>
  </si>
  <si>
    <t>46405.78</t>
  </si>
  <si>
    <t>46942.22</t>
  </si>
  <si>
    <t>46894.55</t>
  </si>
  <si>
    <t>49112.79</t>
  </si>
  <si>
    <t>46394.28</t>
  </si>
  <si>
    <t>49058.67</t>
  </si>
  <si>
    <t>49072.59</t>
  </si>
  <si>
    <t>49283.5</t>
  </si>
  <si>
    <t>48499.24</t>
  </si>
  <si>
    <t>48902.4</t>
  </si>
  <si>
    <t>48911.25</t>
  </si>
  <si>
    <t>49644.11</t>
  </si>
  <si>
    <t>47925.86</t>
  </si>
  <si>
    <t>48829.83</t>
  </si>
  <si>
    <t>48834.85</t>
  </si>
  <si>
    <t>48925.61</t>
  </si>
  <si>
    <t>46950.27</t>
  </si>
  <si>
    <t>47054.98</t>
  </si>
  <si>
    <t>47024.34</t>
  </si>
  <si>
    <t>48189.55</t>
  </si>
  <si>
    <t>46750.09</t>
  </si>
  <si>
    <t>47166.69</t>
  </si>
  <si>
    <t>47099.77</t>
  </si>
  <si>
    <t>49111.09</t>
  </si>
  <si>
    <t>46562.44</t>
  </si>
  <si>
    <t>48847.03</t>
  </si>
  <si>
    <t>48807.85</t>
  </si>
  <si>
    <t>50343.42</t>
  </si>
  <si>
    <t>48652.32</t>
  </si>
  <si>
    <t>49327.72</t>
  </si>
  <si>
    <t>49288.25</t>
  </si>
  <si>
    <t>50982.27</t>
  </si>
  <si>
    <t>48386.09</t>
  </si>
  <si>
    <t>50025.38</t>
  </si>
  <si>
    <t>50009.32</t>
  </si>
  <si>
    <t>50545.58</t>
  </si>
  <si>
    <t>49548.78</t>
  </si>
  <si>
    <t>49944.63</t>
  </si>
  <si>
    <t>51769.0</t>
  </si>
  <si>
    <t>52700.94</t>
  </si>
  <si>
    <t>51053.68</t>
  </si>
  <si>
    <t>52633.54</t>
  </si>
  <si>
    <t>46827.76</t>
  </si>
  <si>
    <t>47334.05</t>
  </si>
  <si>
    <t>44561.39</t>
  </si>
  <si>
    <t>46091.39</t>
  </si>
  <si>
    <t>45774.74</t>
  </si>
  <si>
    <t>47261.95</t>
  </si>
  <si>
    <t>45669.74</t>
  </si>
  <si>
    <t>46391.42</t>
  </si>
  <si>
    <t>46396.66</t>
  </si>
  <si>
    <t>47031.74</t>
  </si>
  <si>
    <t>44344.48</t>
  </si>
  <si>
    <t>44883.91</t>
  </si>
  <si>
    <t>45206.63</t>
  </si>
  <si>
    <t>46364.88</t>
  </si>
  <si>
    <t>44790.46</t>
  </si>
  <si>
    <t>46063.27</t>
  </si>
  <si>
    <t>46057.21</t>
  </si>
  <si>
    <t>46598.68</t>
  </si>
  <si>
    <t>43591.32</t>
  </si>
  <si>
    <t>44963.07</t>
  </si>
  <si>
    <t>44960.05</t>
  </si>
  <si>
    <t>47218.13</t>
  </si>
  <si>
    <t>44752.33</t>
  </si>
  <si>
    <t>47092.49</t>
  </si>
  <si>
    <t>47098.0</t>
  </si>
  <si>
    <t>48450.47</t>
  </si>
  <si>
    <t>46773.33</t>
  </si>
  <si>
    <t>48176.35</t>
  </si>
  <si>
    <t>48158.91</t>
  </si>
  <si>
    <t>48486.83</t>
  </si>
  <si>
    <t>47079.56</t>
  </si>
  <si>
    <t>47783.36</t>
  </si>
  <si>
    <t>47771.0</t>
  </si>
  <si>
    <t>48160.92</t>
  </si>
  <si>
    <t>46832.52</t>
  </si>
  <si>
    <t>47267.52</t>
  </si>
  <si>
    <t>47273.53</t>
  </si>
  <si>
    <t>48791.78</t>
  </si>
  <si>
    <t>47087.29</t>
  </si>
  <si>
    <t>48278.36</t>
  </si>
  <si>
    <t>48268.86</t>
  </si>
  <si>
    <t>48328.37</t>
  </si>
  <si>
    <t>46919.8</t>
  </si>
  <si>
    <t>47260.22</t>
  </si>
  <si>
    <t>47261.41</t>
  </si>
  <si>
    <t>47328.2</t>
  </si>
  <si>
    <t>42598.91</t>
  </si>
  <si>
    <t>42843.8</t>
  </si>
  <si>
    <t>43012.23</t>
  </si>
  <si>
    <t>43607.61</t>
  </si>
  <si>
    <t>39787.61</t>
  </si>
  <si>
    <t>40693.68</t>
  </si>
  <si>
    <t>40677.95</t>
  </si>
  <si>
    <t>43978.62</t>
  </si>
  <si>
    <t>40625.63</t>
  </si>
  <si>
    <t>43574.51</t>
  </si>
  <si>
    <t>43560.3</t>
  </si>
  <si>
    <t>44942.18</t>
  </si>
  <si>
    <t>43109.34</t>
  </si>
  <si>
    <t>44895.1</t>
  </si>
  <si>
    <t>44894.3</t>
  </si>
  <si>
    <t>45080.49</t>
  </si>
  <si>
    <t>40936.56</t>
  </si>
  <si>
    <t>42839.75</t>
  </si>
  <si>
    <t>42840.89</t>
  </si>
  <si>
    <t>42996.26</t>
  </si>
  <si>
    <t>41759.92</t>
  </si>
  <si>
    <t>42716.59</t>
  </si>
  <si>
    <t>42721.63</t>
  </si>
  <si>
    <t>43919.3</t>
  </si>
  <si>
    <t>40848.46</t>
  </si>
  <si>
    <t>43208.54</t>
  </si>
  <si>
    <t>43234.18</t>
  </si>
  <si>
    <t>44313.25</t>
  </si>
  <si>
    <t>42190.63</t>
  </si>
  <si>
    <t>42235.73</t>
  </si>
  <si>
    <t>42200.9</t>
  </si>
  <si>
    <t>42775.14</t>
  </si>
  <si>
    <t>40931.66</t>
  </si>
  <si>
    <t>41034.54</t>
  </si>
  <si>
    <t>41064.98</t>
  </si>
  <si>
    <t>42545.26</t>
  </si>
  <si>
    <t>40829.67</t>
  </si>
  <si>
    <t>41564.36</t>
  </si>
  <si>
    <t>41551.27</t>
  </si>
  <si>
    <t>44092.6</t>
  </si>
  <si>
    <t>41444.58</t>
  </si>
  <si>
    <t>43790.89</t>
  </si>
  <si>
    <t>43816.74</t>
  </si>
  <si>
    <t>48436.01</t>
  </si>
  <si>
    <t>43320.02</t>
  </si>
  <si>
    <t>48116.94</t>
  </si>
  <si>
    <t>48137.47</t>
  </si>
  <si>
    <t>48282.06</t>
  </si>
  <si>
    <t>47465.5</t>
  </si>
  <si>
    <t>47711.49</t>
  </si>
  <si>
    <t>47680.03</t>
  </si>
  <si>
    <t>49130.69</t>
  </si>
  <si>
    <t>47157.29</t>
  </si>
  <si>
    <t>48199.95</t>
  </si>
  <si>
    <t>48208.91</t>
  </si>
  <si>
    <t>49456.78</t>
  </si>
  <si>
    <t>47045.0</t>
  </si>
  <si>
    <t>49112.9</t>
  </si>
  <si>
    <t>49174.96</t>
  </si>
  <si>
    <t>51839.98</t>
  </si>
  <si>
    <t>49072.84</t>
  </si>
  <si>
    <t>51514.81</t>
  </si>
  <si>
    <t>51486.66</t>
  </si>
  <si>
    <t>55568.46</t>
  </si>
  <si>
    <t>50488.19</t>
  </si>
  <si>
    <t>55361.45</t>
  </si>
  <si>
    <t>55338.63</t>
  </si>
  <si>
    <t>53525.47</t>
  </si>
  <si>
    <t>53805.98</t>
  </si>
  <si>
    <t>53802.14</t>
  </si>
  <si>
    <t>55922.98</t>
  </si>
  <si>
    <t>53688.05</t>
  </si>
  <si>
    <t>53967.85</t>
  </si>
  <si>
    <t>54952.82</t>
  </si>
  <si>
    <t>56401.3</t>
  </si>
  <si>
    <t>54264.26</t>
  </si>
  <si>
    <t>54771.58</t>
  </si>
  <si>
    <t>54734.13</t>
  </si>
  <si>
    <t>57793.04</t>
  </si>
  <si>
    <t>54519.77</t>
  </si>
  <si>
    <t>57484.79</t>
  </si>
  <si>
    <t>57526.83</t>
  </si>
  <si>
    <t>57627.88</t>
  </si>
  <si>
    <t>54477.97</t>
  </si>
  <si>
    <t>56041.06</t>
  </si>
  <si>
    <t>56038.26</t>
  </si>
  <si>
    <t>57688.66</t>
  </si>
  <si>
    <t>54370.97</t>
  </si>
  <si>
    <t>57401.1</t>
  </si>
  <si>
    <t>57372.83</t>
  </si>
  <si>
    <t>58478.73</t>
  </si>
  <si>
    <t>56957.07</t>
  </si>
  <si>
    <t>57321.52</t>
  </si>
  <si>
    <t>57345.9</t>
  </si>
  <si>
    <t>62757.13</t>
  </si>
  <si>
    <t>56868.14</t>
  </si>
  <si>
    <t>61593.95</t>
  </si>
  <si>
    <t>61609.53</t>
  </si>
  <si>
    <t>62274.48</t>
  </si>
  <si>
    <t>60206.12</t>
  </si>
  <si>
    <t>60892.18</t>
  </si>
  <si>
    <t>60887.65</t>
  </si>
  <si>
    <t>61645.52</t>
  </si>
  <si>
    <t>59164.47</t>
  </si>
  <si>
    <t>61553.62</t>
  </si>
  <si>
    <t>61548.8</t>
  </si>
  <si>
    <t>62614.66</t>
  </si>
  <si>
    <t>60012.76</t>
  </si>
  <si>
    <t>62026.08</t>
  </si>
  <si>
    <t>62043.16</t>
  </si>
  <si>
    <t>64434.54</t>
  </si>
  <si>
    <t>61622.93</t>
  </si>
  <si>
    <t>64261.99</t>
  </si>
  <si>
    <t>64284.59</t>
  </si>
  <si>
    <t>66930.39</t>
  </si>
  <si>
    <t>63610.68</t>
  </si>
  <si>
    <t>65992.84</t>
  </si>
  <si>
    <t>66002.23</t>
  </si>
  <si>
    <t>66600.55</t>
  </si>
  <si>
    <t>62117.41</t>
  </si>
  <si>
    <t>62210.17</t>
  </si>
  <si>
    <t>60694.63</t>
  </si>
  <si>
    <t>61743.88</t>
  </si>
  <si>
    <t>59826.52</t>
  </si>
  <si>
    <t>61393.62</t>
  </si>
  <si>
    <t>61368.34</t>
  </si>
  <si>
    <t>61505.8</t>
  </si>
  <si>
    <t>59643.34</t>
  </si>
  <si>
    <t>60930.84</t>
  </si>
  <si>
    <t>60893.93</t>
  </si>
  <si>
    <t>63729.32</t>
  </si>
  <si>
    <t>60691.8</t>
  </si>
  <si>
    <t>63039.82</t>
  </si>
  <si>
    <t>63032.76</t>
  </si>
  <si>
    <t>63229.03</t>
  </si>
  <si>
    <t>59991.16</t>
  </si>
  <si>
    <t>60363.79</t>
  </si>
  <si>
    <t>60352.0</t>
  </si>
  <si>
    <t>61435.18</t>
  </si>
  <si>
    <t>58208.19</t>
  </si>
  <si>
    <t>58482.39</t>
  </si>
  <si>
    <t>58470.73</t>
  </si>
  <si>
    <t>62128.63</t>
  </si>
  <si>
    <t>58206.92</t>
  </si>
  <si>
    <t>60622.14</t>
  </si>
  <si>
    <t>60624.87</t>
  </si>
  <si>
    <t>62927.61</t>
  </si>
  <si>
    <t>60329.96</t>
  </si>
  <si>
    <t>62227.96</t>
  </si>
  <si>
    <t>61850.49</t>
  </si>
  <si>
    <t>62406.17</t>
  </si>
  <si>
    <t>60074.33</t>
  </si>
  <si>
    <t>61318.96</t>
  </si>
  <si>
    <t>61320.45</t>
  </si>
  <si>
    <t>62419.0</t>
  </si>
  <si>
    <t>59695.18</t>
  </si>
  <si>
    <t>61004.41</t>
  </si>
  <si>
    <t>60963.25</t>
  </si>
  <si>
    <t>64242.79</t>
  </si>
  <si>
    <t>60673.05</t>
  </si>
  <si>
    <t>63226.4</t>
  </si>
  <si>
    <t>63254.34</t>
  </si>
  <si>
    <t>63516.94</t>
  </si>
  <si>
    <t>61184.24</t>
  </si>
  <si>
    <t>62970.05</t>
  </si>
  <si>
    <t>61068.88</t>
  </si>
  <si>
    <t>61590.68</t>
  </si>
  <si>
    <t>60163.78</t>
  </si>
  <si>
    <t>61527.48</t>
  </si>
  <si>
    <t>61554.92</t>
  </si>
  <si>
    <t>63326.99</t>
  </si>
  <si>
    <t>61432.49</t>
  </si>
  <si>
    <t>63344.07</t>
  </si>
  <si>
    <t>67673.74</t>
  </si>
  <si>
    <t>67566.83</t>
  </si>
  <si>
    <t>67549.73</t>
  </si>
  <si>
    <t>68530.34</t>
  </si>
  <si>
    <t>66382.06</t>
  </si>
  <si>
    <t>66971.83</t>
  </si>
  <si>
    <t>66953.34</t>
  </si>
  <si>
    <t>68789.63</t>
  </si>
  <si>
    <t>63208.11</t>
  </si>
  <si>
    <t>64995.23</t>
  </si>
  <si>
    <t>64863.98</t>
  </si>
  <si>
    <t>65460.82</t>
  </si>
  <si>
    <t>62333.91</t>
  </si>
  <si>
    <t>64155.94</t>
  </si>
  <si>
    <t>64158.12</t>
  </si>
  <si>
    <t>64915.68</t>
  </si>
  <si>
    <t>63303.73</t>
  </si>
  <si>
    <t>64469.53</t>
  </si>
  <si>
    <t>64455.37</t>
  </si>
  <si>
    <t>65495.18</t>
  </si>
  <si>
    <t>63647.81</t>
  </si>
  <si>
    <t>65466.84</t>
  </si>
  <si>
    <t>65521.29</t>
  </si>
  <si>
    <t>66281.57</t>
  </si>
  <si>
    <t>63548.14</t>
  </si>
  <si>
    <t>63557.87</t>
  </si>
  <si>
    <t>63721.2</t>
  </si>
  <si>
    <t>59016.34</t>
  </si>
  <si>
    <t>60161.25</t>
  </si>
  <si>
    <t>60139.62</t>
  </si>
  <si>
    <t>60823.61</t>
  </si>
  <si>
    <t>58515.41</t>
  </si>
  <si>
    <t>60368.01</t>
  </si>
  <si>
    <t>60360.14</t>
  </si>
  <si>
    <t>60948.5</t>
  </si>
  <si>
    <t>56550.79</t>
  </si>
  <si>
    <t>56942.14</t>
  </si>
  <si>
    <t>56896.13</t>
  </si>
  <si>
    <t>58351.11</t>
  </si>
  <si>
    <t>55705.18</t>
  </si>
  <si>
    <t>58119.58</t>
  </si>
  <si>
    <t>58115.08</t>
  </si>
  <si>
    <t>59859.88</t>
  </si>
  <si>
    <t>57469.73</t>
  </si>
  <si>
    <t>59697.2</t>
  </si>
  <si>
    <t>59730.51</t>
  </si>
  <si>
    <t>60004.43</t>
  </si>
  <si>
    <t>58618.93</t>
  </si>
  <si>
    <t>58730.48</t>
  </si>
  <si>
    <t>58706.85</t>
  </si>
  <si>
    <t>59266.36</t>
  </si>
  <si>
    <t>55679.84</t>
  </si>
  <si>
    <t>56289.29</t>
  </si>
  <si>
    <t>56304.55</t>
  </si>
  <si>
    <t>57875.52</t>
  </si>
  <si>
    <t>55632.76</t>
  </si>
  <si>
    <t>57569.07</t>
  </si>
  <si>
    <t>57565.85</t>
  </si>
  <si>
    <t>57803.07</t>
  </si>
  <si>
    <t>55964.22</t>
  </si>
  <si>
    <t>56280.43</t>
  </si>
  <si>
    <t>57165.42</t>
  </si>
  <si>
    <t>59367.97</t>
  </si>
  <si>
    <t>57146.68</t>
  </si>
  <si>
    <t>57274.68</t>
  </si>
  <si>
    <t>58960.29</t>
  </si>
  <si>
    <t>59183.48</t>
  </si>
  <si>
    <t>53569.77</t>
  </si>
  <si>
    <t>53736.43</t>
  </si>
  <si>
    <t>55329.26</t>
  </si>
  <si>
    <t>53668.36</t>
  </si>
  <si>
    <t>54815.08</t>
  </si>
  <si>
    <t>54813.02</t>
  </si>
  <si>
    <t>57393.84</t>
  </si>
  <si>
    <t>53576.73</t>
  </si>
  <si>
    <t>57248.46</t>
  </si>
  <si>
    <t>57291.91</t>
  </si>
  <si>
    <t>58872.88</t>
  </si>
  <si>
    <t>56792.53</t>
  </si>
  <si>
    <t>57806.57</t>
  </si>
  <si>
    <t>57217.37</t>
  </si>
  <si>
    <t>57349.23</t>
  </si>
  <si>
    <t>55895.13</t>
  </si>
  <si>
    <t>56477.82</t>
  </si>
  <si>
    <t>53727.88</t>
  </si>
  <si>
    <t>53904.68</t>
  </si>
  <si>
    <t>42874.62</t>
  </si>
  <si>
    <t>49200.7</t>
  </si>
  <si>
    <t>49201.52</t>
  </si>
  <si>
    <t>49768.15</t>
  </si>
  <si>
    <t>47857.5</t>
  </si>
  <si>
    <t>49368.85</t>
  </si>
  <si>
    <t>49413.48</t>
  </si>
  <si>
    <t>50929.52</t>
  </si>
  <si>
    <t>47281.04</t>
  </si>
  <si>
    <t>50582.63</t>
  </si>
  <si>
    <t>50581.83</t>
  </si>
  <si>
    <t>51934.78</t>
  </si>
  <si>
    <t>50175.81</t>
  </si>
  <si>
    <t>50700.09</t>
  </si>
  <si>
    <t>50667.65</t>
  </si>
  <si>
    <t>51171.38</t>
  </si>
  <si>
    <t>48765.99</t>
  </si>
  <si>
    <t>50504.8</t>
  </si>
  <si>
    <t>50450.08</t>
  </si>
  <si>
    <t>50797.16</t>
  </si>
  <si>
    <t>47358.35</t>
  </si>
  <si>
    <t>47672.12</t>
  </si>
  <si>
    <t>47642.14</t>
  </si>
  <si>
    <t>50015.25</t>
  </si>
  <si>
    <t>47023.7</t>
  </si>
  <si>
    <t>47243.3</t>
  </si>
  <si>
    <t>47264.63</t>
  </si>
  <si>
    <t>49458.21</t>
  </si>
  <si>
    <t>46942.35</t>
  </si>
  <si>
    <t>49362.51</t>
  </si>
  <si>
    <t>49354.86</t>
  </si>
  <si>
    <t>50724.87</t>
  </si>
  <si>
    <t>48725.85</t>
  </si>
  <si>
    <t>50098.34</t>
  </si>
  <si>
    <t>50114.74</t>
  </si>
  <si>
    <t>50205.0</t>
  </si>
  <si>
    <t>45894.85</t>
  </si>
  <si>
    <t>46737.48</t>
  </si>
  <si>
    <t>48379.75</t>
  </si>
  <si>
    <t>49473.96</t>
  </si>
  <si>
    <t>46671.96</t>
  </si>
  <si>
    <t>48896.72</t>
  </si>
  <si>
    <t>48900.46</t>
  </si>
  <si>
    <t>49425.57</t>
  </si>
  <si>
    <t>47529.88</t>
  </si>
  <si>
    <t>47665.43</t>
  </si>
  <si>
    <t>47653.73</t>
  </si>
  <si>
    <t>48004.89</t>
  </si>
  <si>
    <t>45618.21</t>
  </si>
  <si>
    <t>46202.14</t>
  </si>
  <si>
    <t>46219.25</t>
  </si>
  <si>
    <t>47313.83</t>
  </si>
  <si>
    <t>45598.44</t>
  </si>
  <si>
    <t>46848.78</t>
  </si>
  <si>
    <t>46853.87</t>
  </si>
  <si>
    <t>48089.66</t>
  </si>
  <si>
    <t>46502.95</t>
  </si>
  <si>
    <t>46707.02</t>
  </si>
  <si>
    <t>46707.06</t>
  </si>
  <si>
    <t>47401.72</t>
  </si>
  <si>
    <t>45579.81</t>
  </si>
  <si>
    <t>46880.28</t>
  </si>
  <si>
    <t>46886.08</t>
  </si>
  <si>
    <t>49300.92</t>
  </si>
  <si>
    <t>46698.77</t>
  </si>
  <si>
    <t>48936.61</t>
  </si>
  <si>
    <t>48937.1</t>
  </si>
  <si>
    <t>49544.8</t>
  </si>
  <si>
    <t>48450.94</t>
  </si>
  <si>
    <t>48628.51</t>
  </si>
  <si>
    <t>48626.34</t>
  </si>
  <si>
    <t>51332.34</t>
  </si>
  <si>
    <t>48065.84</t>
  </si>
  <si>
    <t>50784.54</t>
  </si>
  <si>
    <t>50806.05</t>
  </si>
  <si>
    <t>51814.03</t>
  </si>
  <si>
    <t>50514.5</t>
  </si>
  <si>
    <t>50822.2</t>
  </si>
  <si>
    <t>50854.92</t>
  </si>
  <si>
    <t>51176.6</t>
  </si>
  <si>
    <t>50236.71</t>
  </si>
  <si>
    <t>50429.86</t>
  </si>
  <si>
    <t>50802.61</t>
  </si>
  <si>
    <t>51956.33</t>
  </si>
  <si>
    <t>50499.47</t>
  </si>
  <si>
    <t>50640.42</t>
  </si>
  <si>
    <t>50679.86</t>
  </si>
  <si>
    <t>47414.21</t>
  </si>
  <si>
    <t>47588.86</t>
  </si>
  <si>
    <t>47623.87</t>
  </si>
  <si>
    <t>48119.74</t>
  </si>
  <si>
    <t>46201.5</t>
  </si>
  <si>
    <t>46444.71</t>
  </si>
  <si>
    <t>46490.61</t>
  </si>
  <si>
    <t>47879.96</t>
  </si>
  <si>
    <t>46060.31</t>
  </si>
  <si>
    <t>47178.13</t>
  </si>
  <si>
    <t>47169.37</t>
  </si>
  <si>
    <t>48472.53</t>
  </si>
  <si>
    <t>45819.95</t>
  </si>
  <si>
    <t>46306.45</t>
  </si>
  <si>
    <t>46311.75</t>
  </si>
  <si>
    <t>47827.31</t>
  </si>
  <si>
    <t>46288.48</t>
  </si>
  <si>
    <t>47686.81</t>
  </si>
  <si>
    <t>47680.93</t>
  </si>
  <si>
    <t>47881.41</t>
  </si>
  <si>
    <t>46856.94</t>
  </si>
  <si>
    <t>47345.22</t>
  </si>
  <si>
    <t>47343.54</t>
  </si>
  <si>
    <t>47510.73</t>
  </si>
  <si>
    <t>45835.96</t>
  </si>
  <si>
    <t>46458.12</t>
  </si>
  <si>
    <t>46458.85</t>
  </si>
  <si>
    <t>47406.55</t>
  </si>
  <si>
    <t>45752.46</t>
  </si>
  <si>
    <t>45897.57</t>
  </si>
  <si>
    <t>45899.36</t>
  </si>
  <si>
    <t>46929.05</t>
  </si>
  <si>
    <t>42798.22</t>
  </si>
  <si>
    <t>43569.0</t>
  </si>
  <si>
    <t>43565.51</t>
  </si>
  <si>
    <t>43748.72</t>
  </si>
  <si>
    <t>42645.54</t>
  </si>
  <si>
    <t>43160.93</t>
  </si>
  <si>
    <t>43153.57</t>
  </si>
  <si>
    <t>41077.45</t>
  </si>
  <si>
    <t>41557.9</t>
  </si>
  <si>
    <t>41561.46</t>
  </si>
  <si>
    <t>42228.94</t>
  </si>
  <si>
    <t>40672.28</t>
  </si>
  <si>
    <t>41733.94</t>
  </si>
  <si>
    <t>41734.73</t>
  </si>
  <si>
    <t>42663.95</t>
  </si>
  <si>
    <t>41338.16</t>
  </si>
  <si>
    <t>41911.6</t>
  </si>
  <si>
    <t>41910.23</t>
  </si>
  <si>
    <t>42199.48</t>
  </si>
  <si>
    <t>39796.57</t>
  </si>
  <si>
    <t>41821.26</t>
  </si>
  <si>
    <t>41819.51</t>
  </si>
  <si>
    <t>43001.16</t>
  </si>
  <si>
    <t>41407.75</t>
  </si>
  <si>
    <t>42735.86</t>
  </si>
  <si>
    <t>42742.18</t>
  </si>
  <si>
    <t>44135.37</t>
  </si>
  <si>
    <t>42528.99</t>
  </si>
  <si>
    <t>43949.1</t>
  </si>
  <si>
    <t>43946.74</t>
  </si>
  <si>
    <t>44278.42</t>
  </si>
  <si>
    <t>42447.04</t>
  </si>
  <si>
    <t>42591.57</t>
  </si>
  <si>
    <t>42598.87</t>
  </si>
  <si>
    <t>43346.69</t>
  </si>
  <si>
    <t>41982.62</t>
  </si>
  <si>
    <t>43099.7</t>
  </si>
  <si>
    <t>43101.9</t>
  </si>
  <si>
    <t>43724.67</t>
  </si>
  <si>
    <t>42669.04</t>
  </si>
  <si>
    <t>43177.4</t>
  </si>
  <si>
    <t>43172.04</t>
  </si>
  <si>
    <t>43436.81</t>
  </si>
  <si>
    <t>42691.02</t>
  </si>
  <si>
    <t>43113.88</t>
  </si>
  <si>
    <t>43118.12</t>
  </si>
  <si>
    <t>43179.39</t>
  </si>
  <si>
    <t>41680.32</t>
  </si>
  <si>
    <t>42250.55</t>
  </si>
  <si>
    <t>42250.07</t>
  </si>
  <si>
    <t>42534.4</t>
  </si>
  <si>
    <t>41392.21</t>
  </si>
  <si>
    <t>42375.63</t>
  </si>
  <si>
    <t>42374.04</t>
  </si>
  <si>
    <t>42478.3</t>
  </si>
  <si>
    <t>41242.91</t>
  </si>
  <si>
    <t>41744.33</t>
  </si>
  <si>
    <t>41744.03</t>
  </si>
  <si>
    <t>43413.02</t>
  </si>
  <si>
    <t>40672.82</t>
  </si>
  <si>
    <t>40680.42</t>
  </si>
  <si>
    <t>40699.61</t>
  </si>
  <si>
    <t>41060.53</t>
  </si>
  <si>
    <t>35791.43</t>
  </si>
  <si>
    <t>36457.32</t>
  </si>
  <si>
    <t>35047.36</t>
  </si>
  <si>
    <t>36433.31</t>
  </si>
  <si>
    <t>34784.97</t>
  </si>
  <si>
    <t>36276.8</t>
  </si>
  <si>
    <t>36275.73</t>
  </si>
  <si>
    <t>37247.52</t>
  </si>
  <si>
    <t>33184.06</t>
  </si>
  <si>
    <t>36654.33</t>
  </si>
  <si>
    <t>36654.8</t>
  </si>
  <si>
    <t>37444.57</t>
  </si>
  <si>
    <t>35779.43</t>
  </si>
  <si>
    <t>36954.0</t>
  </si>
  <si>
    <t>36950.52</t>
  </si>
  <si>
    <t>38825.41</t>
  </si>
  <si>
    <t>36374.91</t>
  </si>
  <si>
    <t>36852.12</t>
  </si>
  <si>
    <t>36841.88</t>
  </si>
  <si>
    <t>37148.32</t>
  </si>
  <si>
    <t>35629.28</t>
  </si>
  <si>
    <t>37138.23</t>
  </si>
  <si>
    <t>37128.45</t>
  </si>
  <si>
    <t>37952.88</t>
  </si>
  <si>
    <t>36211.11</t>
  </si>
  <si>
    <t>37784.33</t>
  </si>
  <si>
    <t>37780.71</t>
  </si>
  <si>
    <t>38576.26</t>
  </si>
  <si>
    <t>37406.47</t>
  </si>
  <si>
    <t>38138.18</t>
  </si>
  <si>
    <t>38151.92</t>
  </si>
  <si>
    <t>38266.34</t>
  </si>
  <si>
    <t>37437.71</t>
  </si>
  <si>
    <t>37917.6</t>
  </si>
  <si>
    <t>37920.28</t>
  </si>
  <si>
    <t>38647.26</t>
  </si>
  <si>
    <t>36733.57</t>
  </si>
  <si>
    <t>38483.13</t>
  </si>
  <si>
    <t>38481.77</t>
  </si>
  <si>
    <t>39115.13</t>
  </si>
  <si>
    <t>38113.66</t>
  </si>
  <si>
    <t>38743.27</t>
  </si>
  <si>
    <t>38743.71</t>
  </si>
  <si>
    <t>38834.62</t>
  </si>
  <si>
    <t>36832.73</t>
  </si>
  <si>
    <t>36952.98</t>
  </si>
  <si>
    <t>36944.8</t>
  </si>
  <si>
    <t>37154.6</t>
  </si>
  <si>
    <t>36375.54</t>
  </si>
  <si>
    <t>37149.27</t>
  </si>
  <si>
    <t>41527.79</t>
  </si>
  <si>
    <t>37093.63</t>
  </si>
  <si>
    <t>41500.88</t>
  </si>
  <si>
    <t>41501.48</t>
  </si>
  <si>
    <t>41847.16</t>
  </si>
  <si>
    <t>41038.1</t>
  </si>
  <si>
    <t>41441.16</t>
  </si>
  <si>
    <t>41441.12</t>
  </si>
  <si>
    <t>42500.79</t>
  </si>
  <si>
    <t>41244.91</t>
  </si>
  <si>
    <t>42412.43</t>
  </si>
  <si>
    <t>42406.78</t>
  </si>
  <si>
    <t>44401.86</t>
  </si>
  <si>
    <t>41748.16</t>
  </si>
  <si>
    <t>43840.29</t>
  </si>
  <si>
    <t>43854.65</t>
  </si>
  <si>
    <t>45293.87</t>
  </si>
  <si>
    <t>42807.84</t>
  </si>
  <si>
    <t>44118.45</t>
  </si>
  <si>
    <t>44096.7</t>
  </si>
  <si>
    <t>44727.8</t>
  </si>
  <si>
    <t>43232.97</t>
  </si>
  <si>
    <t>44338.8</t>
  </si>
  <si>
    <t>43571.13</t>
  </si>
  <si>
    <t>43810.83</t>
  </si>
  <si>
    <t>42114.54</t>
  </si>
  <si>
    <t>42407.94</t>
  </si>
  <si>
    <t>42412.3</t>
  </si>
  <si>
    <t>42992.55</t>
  </si>
  <si>
    <t>41852.57</t>
  </si>
  <si>
    <t>42244.47</t>
  </si>
  <si>
    <t>42236.57</t>
  </si>
  <si>
    <t>42693.05</t>
  </si>
  <si>
    <t>41950.94</t>
  </si>
  <si>
    <t>42197.52</t>
  </si>
  <si>
    <t>42157.4</t>
  </si>
  <si>
    <t>42775.78</t>
  </si>
  <si>
    <t>41681.96</t>
  </si>
  <si>
    <t>42586.92</t>
  </si>
  <si>
    <t>42586.46</t>
  </si>
  <si>
    <t>44667.22</t>
  </si>
  <si>
    <t>42491.04</t>
  </si>
  <si>
    <t>44575.2</t>
  </si>
  <si>
    <t>44578.28</t>
  </si>
  <si>
    <t>43456.69</t>
  </si>
  <si>
    <t>43961.86</t>
  </si>
  <si>
    <t>43937.07</t>
  </si>
  <si>
    <t>44132.97</t>
  </si>
  <si>
    <t>40249.37</t>
  </si>
  <si>
    <t>40538.01</t>
  </si>
  <si>
    <t>40552.13</t>
  </si>
  <si>
    <t>40929.15</t>
  </si>
  <si>
    <t>39637.62</t>
  </si>
  <si>
    <t>40030.98</t>
  </si>
  <si>
    <t>40026.02</t>
  </si>
  <si>
    <t>40418.88</t>
  </si>
  <si>
    <t>39713.06</t>
  </si>
  <si>
    <t>40122.16</t>
  </si>
  <si>
    <t>40118.1</t>
  </si>
  <si>
    <t>40119.89</t>
  </si>
  <si>
    <t>38112.81</t>
  </si>
  <si>
    <t>38431.38</t>
  </si>
  <si>
    <t>38423.21</t>
  </si>
  <si>
    <t>39394.44</t>
  </si>
  <si>
    <t>36950.48</t>
  </si>
  <si>
    <t>37075.28</t>
  </si>
  <si>
    <t>37068.77</t>
  </si>
  <si>
    <t>38359.86</t>
  </si>
  <si>
    <t>36488.93</t>
  </si>
  <si>
    <t>38286.03</t>
  </si>
  <si>
    <t>38285.28</t>
  </si>
  <si>
    <t>39122.39</t>
  </si>
  <si>
    <t>37201.82</t>
  </si>
  <si>
    <t>37296.57</t>
  </si>
  <si>
    <t>37278.57</t>
  </si>
  <si>
    <t>38968.84</t>
  </si>
  <si>
    <t>34459.22</t>
  </si>
  <si>
    <t>38332.61</t>
  </si>
  <si>
    <t>38333.75</t>
  </si>
  <si>
    <t>39630.32</t>
  </si>
  <si>
    <t>38111.34</t>
  </si>
  <si>
    <t>39214.22</t>
  </si>
  <si>
    <t>39213.08</t>
  </si>
  <si>
    <t>40005.35</t>
  </si>
  <si>
    <t>38702.54</t>
  </si>
  <si>
    <t>39105.15</t>
  </si>
  <si>
    <t>39098.7</t>
  </si>
  <si>
    <t>39778.94</t>
  </si>
  <si>
    <t>37268.98</t>
  </si>
  <si>
    <t>37709.79</t>
  </si>
  <si>
    <t>37706.0</t>
  </si>
  <si>
    <t>43760.46</t>
  </si>
  <si>
    <t>37518.21</t>
  </si>
  <si>
    <t>43193.23</t>
  </si>
  <si>
    <t>43194.5</t>
  </si>
  <si>
    <t>44793.6</t>
  </si>
  <si>
    <t>42952.59</t>
  </si>
  <si>
    <t>44354.64</t>
  </si>
  <si>
    <t>44357.62</t>
  </si>
  <si>
    <t>45077.58</t>
  </si>
  <si>
    <t>43432.85</t>
  </si>
  <si>
    <t>43924.12</t>
  </si>
  <si>
    <t>42458.14</t>
  </si>
  <si>
    <t>42479.61</t>
  </si>
  <si>
    <t>38805.85</t>
  </si>
  <si>
    <t>39137.61</t>
  </si>
  <si>
    <t>39148.45</t>
  </si>
  <si>
    <t>39566.34</t>
  </si>
  <si>
    <t>38777.04</t>
  </si>
  <si>
    <t>39400.59</t>
  </si>
  <si>
    <t>39404.2</t>
  </si>
  <si>
    <t>39640.18</t>
  </si>
  <si>
    <t>38211.65</t>
  </si>
  <si>
    <t>38419.98</t>
  </si>
  <si>
    <t>38429.3</t>
  </si>
  <si>
    <t>39430.23</t>
  </si>
  <si>
    <t>37260.2</t>
  </si>
  <si>
    <t>38062.04</t>
  </si>
  <si>
    <t>38059.9</t>
  </si>
  <si>
    <t>39304.44</t>
  </si>
  <si>
    <t>37957.39</t>
  </si>
  <si>
    <t>38737.27</t>
  </si>
  <si>
    <t>38742.82</t>
  </si>
  <si>
    <t>42465.67</t>
  </si>
  <si>
    <t>38706.09</t>
  </si>
  <si>
    <t>41982.93</t>
  </si>
  <si>
    <t>41974.07</t>
  </si>
  <si>
    <t>42004.73</t>
  </si>
  <si>
    <t>38832.94</t>
  </si>
  <si>
    <t>39437.46</t>
  </si>
  <si>
    <t>39439.97</t>
  </si>
  <si>
    <t>40081.68</t>
  </si>
  <si>
    <t>38347.43</t>
  </si>
  <si>
    <t>38794.97</t>
  </si>
  <si>
    <t>38794.46</t>
  </si>
  <si>
    <t>39308.6</t>
  </si>
  <si>
    <t>38772.54</t>
  </si>
  <si>
    <t>38904.01</t>
  </si>
  <si>
    <t>38884.73</t>
  </si>
  <si>
    <t>39209.35</t>
  </si>
  <si>
    <t>37728.14</t>
  </si>
  <si>
    <t>37849.66</t>
  </si>
  <si>
    <t>37846.32</t>
  </si>
  <si>
    <t>39742.5</t>
  </si>
  <si>
    <t>37680.73</t>
  </si>
  <si>
    <t>39666.75</t>
  </si>
  <si>
    <t>39664.25</t>
  </si>
  <si>
    <t>39794.63</t>
  </si>
  <si>
    <t>38310.21</t>
  </si>
  <si>
    <t>39338.79</t>
  </si>
  <si>
    <t>39335.57</t>
  </si>
  <si>
    <t>41465.45</t>
  </si>
  <si>
    <t>39022.35</t>
  </si>
  <si>
    <t>41143.93</t>
  </si>
  <si>
    <t>41140.84</t>
  </si>
  <si>
    <t>41287.54</t>
  </si>
  <si>
    <t>40662.87</t>
  </si>
  <si>
    <t>40951.38</t>
  </si>
  <si>
    <t>41794.65</t>
  </si>
  <si>
    <t>42316.55</t>
  </si>
  <si>
    <t>41602.67</t>
  </si>
  <si>
    <t>42190.65</t>
  </si>
  <si>
    <t>42191.41</t>
  </si>
  <si>
    <t>42241.16</t>
  </si>
  <si>
    <t>41004.76</t>
  </si>
  <si>
    <t>41247.82</t>
  </si>
  <si>
    <t>41246.13</t>
  </si>
  <si>
    <t>41454.41</t>
  </si>
  <si>
    <t>40668.04</t>
  </si>
  <si>
    <t>41078.0</t>
  </si>
  <si>
    <t>41074.11</t>
  </si>
  <si>
    <t>43124.71</t>
  </si>
  <si>
    <t>40948.28</t>
  </si>
  <si>
    <t>42358.81</t>
  </si>
  <si>
    <t>42364.38</t>
  </si>
  <si>
    <t>42893.51</t>
  </si>
  <si>
    <t>41877.51</t>
  </si>
  <si>
    <t>42892.96</t>
  </si>
  <si>
    <t>42886.65</t>
  </si>
  <si>
    <t>44131.86</t>
  </si>
  <si>
    <t>42726.16</t>
  </si>
  <si>
    <t>43960.93</t>
  </si>
  <si>
    <t>43964.55</t>
  </si>
  <si>
    <t>44999.49</t>
  </si>
  <si>
    <t>43706.29</t>
  </si>
  <si>
    <t>44348.73</t>
  </si>
  <si>
    <t>44349.86</t>
  </si>
  <si>
    <t>44736.0</t>
  </si>
  <si>
    <t>44166.27</t>
  </si>
  <si>
    <t>44500.83</t>
  </si>
  <si>
    <t>44505.36</t>
  </si>
  <si>
    <t>46827.55</t>
  </si>
  <si>
    <t>44437.29</t>
  </si>
  <si>
    <t>46820.49</t>
  </si>
  <si>
    <t>46821.85</t>
  </si>
  <si>
    <t>48086.84</t>
  </si>
  <si>
    <t>46690.2</t>
  </si>
  <si>
    <t>47128.0</t>
  </si>
  <si>
    <t>47456.9</t>
  </si>
  <si>
    <t>47655.15</t>
  </si>
  <si>
    <t>46746.21</t>
  </si>
  <si>
    <t>47062.66</t>
  </si>
  <si>
    <t>47062.15</t>
  </si>
  <si>
    <t>47512.03</t>
  </si>
  <si>
    <t>45390.54</t>
  </si>
  <si>
    <t>45538.68</t>
  </si>
  <si>
    <t>45554.16</t>
  </si>
  <si>
    <t>46616.24</t>
  </si>
  <si>
    <t>44403.14</t>
  </si>
  <si>
    <t>46281.64</t>
  </si>
  <si>
    <t>46285.5</t>
  </si>
  <si>
    <t>47028.28</t>
  </si>
  <si>
    <t>45782.51</t>
  </si>
  <si>
    <t>45868.95</t>
  </si>
  <si>
    <t>45859.13</t>
  </si>
  <si>
    <t>47313.48</t>
  </si>
  <si>
    <t>45634.11</t>
  </si>
  <si>
    <t>46453.57</t>
  </si>
  <si>
    <t>46445.27</t>
  </si>
  <si>
    <t>46791.09</t>
  </si>
  <si>
    <t>45235.82</t>
  </si>
  <si>
    <t>46622.68</t>
  </si>
  <si>
    <t>46624.51</t>
  </si>
  <si>
    <t>47106.14</t>
  </si>
  <si>
    <t>45544.81</t>
  </si>
  <si>
    <t>45555.99</t>
  </si>
  <si>
    <t>45544.36</t>
  </si>
  <si>
    <t>43193.95</t>
  </si>
  <si>
    <t>43206.74</t>
  </si>
  <si>
    <t>43207.5</t>
  </si>
  <si>
    <t>43860.7</t>
  </si>
  <si>
    <t>42899.91</t>
  </si>
  <si>
    <t>43503.85</t>
  </si>
  <si>
    <t>43505.14</t>
  </si>
  <si>
    <t>43903.02</t>
  </si>
  <si>
    <t>42183.29</t>
  </si>
  <si>
    <t>42287.66</t>
  </si>
  <si>
    <t>42282.08</t>
  </si>
  <si>
    <t>42786.82</t>
  </si>
  <si>
    <t>42183.25</t>
  </si>
  <si>
    <t>42782.14</t>
  </si>
  <si>
    <t>42781.09</t>
  </si>
  <si>
    <t>43376.38</t>
  </si>
  <si>
    <t>42021.21</t>
  </si>
  <si>
    <t>42207.67</t>
  </si>
  <si>
    <t>39533.71</t>
  </si>
  <si>
    <t>40617.59</t>
  </si>
  <si>
    <t>39388.33</t>
  </si>
  <si>
    <t>40127.18</t>
  </si>
  <si>
    <t>40123.57</t>
  </si>
  <si>
    <t>41430.05</t>
  </si>
  <si>
    <t>39712.75</t>
  </si>
  <si>
    <t>41166.73</t>
  </si>
  <si>
    <t>41160.22</t>
  </si>
  <si>
    <t>41451.48</t>
  </si>
  <si>
    <t>39695.75</t>
  </si>
  <si>
    <t>39935.52</t>
  </si>
  <si>
    <t>40552.32</t>
  </si>
  <si>
    <t>40633.68</t>
  </si>
  <si>
    <t>40078.43</t>
  </si>
  <si>
    <t>40424.48</t>
  </si>
  <si>
    <t>40417.78</t>
  </si>
  <si>
    <t>40570.73</t>
  </si>
  <si>
    <t>39620.89</t>
  </si>
  <si>
    <t>39716.95</t>
  </si>
  <si>
    <t>39721.2</t>
  </si>
  <si>
    <t>40986.32</t>
  </si>
  <si>
    <t>38696.19</t>
  </si>
  <si>
    <t>40826.21</t>
  </si>
  <si>
    <t>40828.18</t>
  </si>
  <si>
    <t>41672.96</t>
  </si>
  <si>
    <t>40618.63</t>
  </si>
  <si>
    <t>41502.75</t>
  </si>
  <si>
    <t>41501.75</t>
  </si>
  <si>
    <t>42126.3</t>
  </si>
  <si>
    <t>40961.1</t>
  </si>
  <si>
    <t>41374.38</t>
  </si>
  <si>
    <t>40525.86</t>
  </si>
  <si>
    <t>40777.76</t>
  </si>
  <si>
    <t>39315.42</t>
  </si>
  <si>
    <t>39740.32</t>
  </si>
  <si>
    <t>39738.72</t>
  </si>
  <si>
    <t>39935.86</t>
  </si>
  <si>
    <t>39352.2</t>
  </si>
  <si>
    <t>39486.73</t>
  </si>
  <si>
    <t>39472.61</t>
  </si>
  <si>
    <t>40491.75</t>
  </si>
  <si>
    <t>38338.38</t>
  </si>
  <si>
    <t>40458.31</t>
  </si>
  <si>
    <t>40448.42</t>
  </si>
  <si>
    <t>40713.89</t>
  </si>
  <si>
    <t>37884.98</t>
  </si>
  <si>
    <t>38117.46</t>
  </si>
  <si>
    <t>38120.3</t>
  </si>
  <si>
    <t>39397.92</t>
  </si>
  <si>
    <t>37997.31</t>
  </si>
  <si>
    <t>39241.12</t>
  </si>
  <si>
    <t>39768.62</t>
  </si>
  <si>
    <t>39887.27</t>
  </si>
  <si>
    <t>38235.54</t>
  </si>
  <si>
    <t>38609.82</t>
  </si>
  <si>
    <t>38605.86</t>
  </si>
  <si>
    <t>38771.21</t>
  </si>
  <si>
    <t>37697.94</t>
  </si>
  <si>
    <t>37714.88</t>
  </si>
  <si>
    <t>37713.27</t>
  </si>
  <si>
    <t>38627.86</t>
  </si>
  <si>
    <t>37585.79</t>
  </si>
  <si>
    <t>38469.09</t>
  </si>
  <si>
    <t>38472.19</t>
  </si>
  <si>
    <t>39074.97</t>
  </si>
  <si>
    <t>38156.56</t>
  </si>
  <si>
    <t>38529.33</t>
  </si>
  <si>
    <t>38528.11</t>
  </si>
  <si>
    <t>38630.0</t>
  </si>
  <si>
    <t>37585.62</t>
  </si>
  <si>
    <t>37750.45</t>
  </si>
  <si>
    <t>37748.01</t>
  </si>
  <si>
    <t>39902.95</t>
  </si>
  <si>
    <t>37732.06</t>
  </si>
  <si>
    <t>39698.37</t>
  </si>
  <si>
    <t>39789.28</t>
  </si>
  <si>
    <t>35856.52</t>
  </si>
  <si>
    <t>36575.14</t>
  </si>
  <si>
    <t>36573.18</t>
  </si>
  <si>
    <t>36624.36</t>
  </si>
  <si>
    <t>35482.13</t>
  </si>
  <si>
    <t>36040.92</t>
  </si>
  <si>
    <t>36042.5</t>
  </si>
  <si>
    <t>36129.93</t>
  </si>
  <si>
    <t>34940.82</t>
  </si>
  <si>
    <t>35501.95</t>
  </si>
  <si>
    <t>35502.94</t>
  </si>
  <si>
    <t>33878.96</t>
  </si>
  <si>
    <t>34059.27</t>
  </si>
  <si>
    <t>34060.02</t>
  </si>
  <si>
    <t>34222.07</t>
  </si>
  <si>
    <t>30296.95</t>
  </si>
  <si>
    <t>30273.65</t>
  </si>
  <si>
    <t>32596.31</t>
  </si>
  <si>
    <t>29944.8</t>
  </si>
  <si>
    <t>31022.91</t>
  </si>
  <si>
    <t>28936.73</t>
  </si>
  <si>
    <t>30032.44</t>
  </si>
  <si>
    <t>26350.49</t>
  </si>
  <si>
    <t>29047.75</t>
  </si>
  <si>
    <t>29030.91</t>
  </si>
  <si>
    <t>30924.8</t>
  </si>
  <si>
    <t>28782.33</t>
  </si>
  <si>
    <t>29283.1</t>
  </si>
  <si>
    <t>29285.64</t>
  </si>
  <si>
    <t>30192.8</t>
  </si>
  <si>
    <t>28702.91</t>
  </si>
  <si>
    <t>30101.27</t>
  </si>
  <si>
    <t>30098.59</t>
  </si>
  <si>
    <t>31308.19</t>
  </si>
  <si>
    <t>29527.74</t>
  </si>
  <si>
    <t>31305.11</t>
  </si>
  <si>
    <t>31304.38</t>
  </si>
  <si>
    <t>31305.34</t>
  </si>
  <si>
    <t>29251.88</t>
  </si>
  <si>
    <t>29862.92</t>
  </si>
  <si>
    <t>30424.48</t>
  </si>
  <si>
    <t>30618.72</t>
  </si>
  <si>
    <t>28720.27</t>
  </si>
  <si>
    <t>28720.36</t>
  </si>
  <si>
    <t>30430.75</t>
  </si>
  <si>
    <t>28708.96</t>
  </si>
  <si>
    <t>30314.33</t>
  </si>
  <si>
    <t>30311.12</t>
  </si>
  <si>
    <t>30664.98</t>
  </si>
  <si>
    <t>28793.61</t>
  </si>
  <si>
    <t>29200.74</t>
  </si>
  <si>
    <t>29199.86</t>
  </si>
  <si>
    <t>29588.87</t>
  </si>
  <si>
    <t>29027.39</t>
  </si>
  <si>
    <t>29432.23</t>
  </si>
  <si>
    <t>29432.47</t>
  </si>
  <si>
    <t>30425.86</t>
  </si>
  <si>
    <t>29275.18</t>
  </si>
  <si>
    <t>30323.72</t>
  </si>
  <si>
    <t>30309.4</t>
  </si>
  <si>
    <t>30590.59</t>
  </si>
  <si>
    <t>28975.56</t>
  </si>
  <si>
    <t>29098.91</t>
  </si>
  <si>
    <t>29101.13</t>
  </si>
  <si>
    <t>29774.36</t>
  </si>
  <si>
    <t>28786.59</t>
  </si>
  <si>
    <t>29655.59</t>
  </si>
  <si>
    <t>29653.13</t>
  </si>
  <si>
    <t>30157.79</t>
  </si>
  <si>
    <t>29384.95</t>
  </si>
  <si>
    <t>29562.36</t>
  </si>
  <si>
    <t>29564.78</t>
  </si>
  <si>
    <t>29834.16</t>
  </si>
  <si>
    <t>28261.91</t>
  </si>
  <si>
    <t>29267.22</t>
  </si>
  <si>
    <t>29251.14</t>
  </si>
  <si>
    <t>29346.94</t>
  </si>
  <si>
    <t>28326.61</t>
  </si>
  <si>
    <t>28627.57</t>
  </si>
  <si>
    <t>28622.63</t>
  </si>
  <si>
    <t>28814.9</t>
  </si>
  <si>
    <t>28554.57</t>
  </si>
  <si>
    <t>29019.87</t>
  </si>
  <si>
    <t>29498.01</t>
  </si>
  <si>
    <t>28841.11</t>
  </si>
  <si>
    <t>29445.96</t>
  </si>
  <si>
    <t>29443.37</t>
  </si>
  <si>
    <t>31949.63</t>
  </si>
  <si>
    <t>29303.57</t>
  </si>
  <si>
    <t>31726.39</t>
  </si>
  <si>
    <t>31723.87</t>
  </si>
  <si>
    <t>32249.86</t>
  </si>
  <si>
    <t>31286.15</t>
  </si>
  <si>
    <t>31792.31</t>
  </si>
  <si>
    <t>31792.55</t>
  </si>
  <si>
    <t>31957.29</t>
  </si>
  <si>
    <t>29501.59</t>
  </si>
  <si>
    <t>29799.08</t>
  </si>
  <si>
    <t>29794.89</t>
  </si>
  <si>
    <t>30604.73</t>
  </si>
  <si>
    <t>29652.71</t>
  </si>
  <si>
    <t>30467.49</t>
  </si>
  <si>
    <t>30467.81</t>
  </si>
  <si>
    <t>30633.04</t>
  </si>
  <si>
    <t>29375.69</t>
  </si>
  <si>
    <t>29704.39</t>
  </si>
  <si>
    <t>29706.14</t>
  </si>
  <si>
    <t>29930.56</t>
  </si>
  <si>
    <t>29500.01</t>
  </si>
  <si>
    <t>29832.91</t>
  </si>
  <si>
    <t>29910.28</t>
  </si>
  <si>
    <t>31693.29</t>
  </si>
  <si>
    <t>29894.19</t>
  </si>
  <si>
    <t>31370.67</t>
  </si>
  <si>
    <t>31371.74</t>
  </si>
  <si>
    <t>31489.68</t>
  </si>
  <si>
    <t>29311.68</t>
  </si>
  <si>
    <t>31155.48</t>
  </si>
  <si>
    <t>31151.48</t>
  </si>
  <si>
    <t>31253.69</t>
  </si>
  <si>
    <t>29944.4</t>
  </si>
  <si>
    <t>30214.36</t>
  </si>
  <si>
    <t>30215.28</t>
  </si>
  <si>
    <t>30609.31</t>
  </si>
  <si>
    <t>30020.27</t>
  </si>
  <si>
    <t>30112.0</t>
  </si>
  <si>
    <t>30110.33</t>
  </si>
  <si>
    <t>30245.81</t>
  </si>
  <si>
    <t>28978.15</t>
  </si>
  <si>
    <t>29083.8</t>
  </si>
  <si>
    <t>29084.67</t>
  </si>
  <si>
    <t>29401.92</t>
  </si>
  <si>
    <t>28236.21</t>
  </si>
  <si>
    <t>28360.81</t>
  </si>
  <si>
    <t>28373.51</t>
  </si>
  <si>
    <t>28502.69</t>
  </si>
  <si>
    <t>26762.65</t>
  </si>
  <si>
    <t>26737.58</t>
  </si>
  <si>
    <t>26795.59</t>
  </si>
  <si>
    <t>22141.26</t>
  </si>
  <si>
    <t>22487.39</t>
  </si>
  <si>
    <t>22196.73</t>
  </si>
  <si>
    <t>22642.67</t>
  </si>
  <si>
    <t>20178.38</t>
  </si>
  <si>
    <t>22572.84</t>
  </si>
  <si>
    <t>22576.3</t>
  </si>
  <si>
    <t>22868.92</t>
  </si>
  <si>
    <t>20265.23</t>
  </si>
  <si>
    <t>20381.65</t>
  </si>
  <si>
    <t>20385.72</t>
  </si>
  <si>
    <t>21243.31</t>
  </si>
  <si>
    <t>20326.52</t>
  </si>
  <si>
    <t>20471.48</t>
  </si>
  <si>
    <t>19010.9</t>
  </si>
  <si>
    <t>20683.82</t>
  </si>
  <si>
    <t>18067.15</t>
  </si>
  <si>
    <t>20553.27</t>
  </si>
  <si>
    <t>20594.29</t>
  </si>
  <si>
    <t>21620.63</t>
  </si>
  <si>
    <t>20415.06</t>
  </si>
  <si>
    <t>20710.6</t>
  </si>
  <si>
    <t>20719.41</t>
  </si>
  <si>
    <t>20835.75</t>
  </si>
  <si>
    <t>19848.08</t>
  </si>
  <si>
    <t>19987.03</t>
  </si>
  <si>
    <t>19986.61</t>
  </si>
  <si>
    <t>21135.76</t>
  </si>
  <si>
    <t>19950.12</t>
  </si>
  <si>
    <t>21085.88</t>
  </si>
  <si>
    <t>21084.65</t>
  </si>
  <si>
    <t>21472.92</t>
  </si>
  <si>
    <t>20777.51</t>
  </si>
  <si>
    <t>21231.66</t>
  </si>
  <si>
    <t>21233.61</t>
  </si>
  <si>
    <t>21520.91</t>
  </si>
  <si>
    <t>20964.59</t>
  </si>
  <si>
    <t>21502.34</t>
  </si>
  <si>
    <t>21496.49</t>
  </si>
  <si>
    <t>21783.72</t>
  </si>
  <si>
    <t>21016.27</t>
  </si>
  <si>
    <t>21027.29</t>
  </si>
  <si>
    <t>21028.24</t>
  </si>
  <si>
    <t>21478.09</t>
  </si>
  <si>
    <t>20620.2</t>
  </si>
  <si>
    <t>20735.48</t>
  </si>
  <si>
    <t>20731.54</t>
  </si>
  <si>
    <t>21164.42</t>
  </si>
  <si>
    <t>20228.81</t>
  </si>
  <si>
    <t>20280.63</t>
  </si>
  <si>
    <t>20281.17</t>
  </si>
  <si>
    <t>20364.16</t>
  </si>
  <si>
    <t>19937.79</t>
  </si>
  <si>
    <t>20104.02</t>
  </si>
  <si>
    <t>20108.31</t>
  </si>
  <si>
    <t>20141.16</t>
  </si>
  <si>
    <t>18729.66</t>
  </si>
  <si>
    <t>19784.73</t>
  </si>
  <si>
    <t>19820.47</t>
  </si>
  <si>
    <t>20632.67</t>
  </si>
  <si>
    <t>19073.71</t>
  </si>
  <si>
    <t>19269.37</t>
  </si>
  <si>
    <t>19274.84</t>
  </si>
  <si>
    <t>19371.75</t>
  </si>
  <si>
    <t>19027.08</t>
  </si>
  <si>
    <t>19242.26</t>
  </si>
  <si>
    <t>19242.1</t>
  </si>
  <si>
    <t>19558.27</t>
  </si>
  <si>
    <t>18966.95</t>
  </si>
  <si>
    <t>19297.08</t>
  </si>
  <si>
    <t>20194.62</t>
  </si>
  <si>
    <t>20595.53</t>
  </si>
  <si>
    <t>19823.51</t>
  </si>
  <si>
    <t>20548.25</t>
  </si>
  <si>
    <t>20547.81</t>
  </si>
  <si>
    <t>21771.82</t>
  </si>
  <si>
    <t>20296.1</t>
  </si>
  <si>
    <t>21637.59</t>
  </si>
  <si>
    <t>21637.15</t>
  </si>
  <si>
    <t>22314.94</t>
  </si>
  <si>
    <t>21257.45</t>
  </si>
  <si>
    <t>21731.12</t>
  </si>
  <si>
    <t>21716.83</t>
  </si>
  <si>
    <t>21877.14</t>
  </si>
  <si>
    <t>21445.96</t>
  </si>
  <si>
    <t>21592.21</t>
  </si>
  <si>
    <t>21591.08</t>
  </si>
  <si>
    <t>20727.12</t>
  </si>
  <si>
    <t>20860.45</t>
  </si>
  <si>
    <t>20856.35</t>
  </si>
  <si>
    <t>19924.54</t>
  </si>
  <si>
    <t>19970.56</t>
  </si>
  <si>
    <t>19970.47</t>
  </si>
  <si>
    <t>20043.45</t>
  </si>
  <si>
    <t>19308.53</t>
  </si>
  <si>
    <t>19323.91</t>
  </si>
  <si>
    <t>20211.47</t>
  </si>
  <si>
    <t>20789.89</t>
  </si>
  <si>
    <t>19689.26</t>
  </si>
  <si>
    <t>20569.92</t>
  </si>
  <si>
    <t>20573.16</t>
  </si>
  <si>
    <t>21138.24</t>
  </si>
  <si>
    <t>20397.0</t>
  </si>
  <si>
    <t>20836.33</t>
  </si>
  <si>
    <t>20834.1</t>
  </si>
  <si>
    <t>21514.4</t>
  </si>
  <si>
    <t>20518.9</t>
  </si>
  <si>
    <t>21190.32</t>
  </si>
  <si>
    <t>21195.04</t>
  </si>
  <si>
    <t>21600.64</t>
  </si>
  <si>
    <t>20778.18</t>
  </si>
  <si>
    <t>20779.34</t>
  </si>
  <si>
    <t>20781.91</t>
  </si>
  <si>
    <t>22633.03</t>
  </si>
  <si>
    <t>22485.69</t>
  </si>
  <si>
    <t>22467.85</t>
  </si>
  <si>
    <t>23666.96</t>
  </si>
  <si>
    <t>21683.41</t>
  </si>
  <si>
    <t>23389.43</t>
  </si>
  <si>
    <t>23393.19</t>
  </si>
  <si>
    <t>24196.82</t>
  </si>
  <si>
    <t>23009.95</t>
  </si>
  <si>
    <t>23231.73</t>
  </si>
  <si>
    <t>23233.2</t>
  </si>
  <si>
    <t>23388.32</t>
  </si>
  <si>
    <t>22431.15</t>
  </si>
  <si>
    <t>23164.63</t>
  </si>
  <si>
    <t>23163.75</t>
  </si>
  <si>
    <t>23671.93</t>
  </si>
  <si>
    <t>22603.42</t>
  </si>
  <si>
    <t>22714.98</t>
  </si>
  <si>
    <t>22706.98</t>
  </si>
  <si>
    <t>22977.21</t>
  </si>
  <si>
    <t>22002.91</t>
  </si>
  <si>
    <t>22465.48</t>
  </si>
  <si>
    <t>22465.51</t>
  </si>
  <si>
    <t>22974.0</t>
  </si>
  <si>
    <t>22306.84</t>
  </si>
  <si>
    <t>22609.16</t>
  </si>
  <si>
    <t>22607.16</t>
  </si>
  <si>
    <t>22649.12</t>
  </si>
  <si>
    <t>21361.64</t>
  </si>
  <si>
    <t>21361.7</t>
  </si>
  <si>
    <t>21244.17</t>
  </si>
  <si>
    <t>22986.53</t>
  </si>
  <si>
    <t>21070.81</t>
  </si>
  <si>
    <t>22930.55</t>
  </si>
  <si>
    <t>22933.64</t>
  </si>
  <si>
    <t>24110.47</t>
  </si>
  <si>
    <t>22722.27</t>
  </si>
  <si>
    <t>23843.89</t>
  </si>
  <si>
    <t>23845.21</t>
  </si>
  <si>
    <t>24294.79</t>
  </si>
  <si>
    <t>23481.17</t>
  </si>
  <si>
    <t>23804.63</t>
  </si>
  <si>
    <t>23796.82</t>
  </si>
  <si>
    <t>24572.58</t>
  </si>
  <si>
    <t>23580.51</t>
  </si>
  <si>
    <t>23656.21</t>
  </si>
  <si>
    <t>23652.07</t>
  </si>
  <si>
    <t>24121.64</t>
  </si>
  <si>
    <t>23275.7</t>
  </si>
  <si>
    <t>23336.9</t>
  </si>
  <si>
    <t>23336.72</t>
  </si>
  <si>
    <t>23464.79</t>
  </si>
  <si>
    <t>22890.8</t>
  </si>
  <si>
    <t>23314.2</t>
  </si>
  <si>
    <t>23308.43</t>
  </si>
  <si>
    <t>23415.04</t>
  </si>
  <si>
    <t>22710.08</t>
  </si>
  <si>
    <t>22978.12</t>
  </si>
  <si>
    <t>22981.3</t>
  </si>
  <si>
    <t>23578.65</t>
  </si>
  <si>
    <t>22747.84</t>
  </si>
  <si>
    <t>22846.51</t>
  </si>
  <si>
    <t>22848.21</t>
  </si>
  <si>
    <t>23198.01</t>
  </si>
  <si>
    <t>22485.7</t>
  </si>
  <si>
    <t>22630.96</t>
  </si>
  <si>
    <t>23291.42</t>
  </si>
  <si>
    <t>23326.56</t>
  </si>
  <si>
    <t>22961.28</t>
  </si>
  <si>
    <t>22963.51</t>
  </si>
  <si>
    <t>23359.01</t>
  </si>
  <si>
    <t>22894.56</t>
  </si>
  <si>
    <t>23175.89</t>
  </si>
  <si>
    <t>23179.53</t>
  </si>
  <si>
    <t>24203.69</t>
  </si>
  <si>
    <t>23176.55</t>
  </si>
  <si>
    <t>23809.49</t>
  </si>
  <si>
    <t>23811.48</t>
  </si>
  <si>
    <t>23898.62</t>
  </si>
  <si>
    <t>22982.0</t>
  </si>
  <si>
    <t>23164.32</t>
  </si>
  <si>
    <t>23162.9</t>
  </si>
  <si>
    <t>24127.41</t>
  </si>
  <si>
    <t>22771.52</t>
  </si>
  <si>
    <t>23947.64</t>
  </si>
  <si>
    <t>23948.35</t>
  </si>
  <si>
    <t>24822.63</t>
  </si>
  <si>
    <t>23901.0</t>
  </si>
  <si>
    <t>23957.53</t>
  </si>
  <si>
    <t>23957.2</t>
  </si>
  <si>
    <t>24412.57</t>
  </si>
  <si>
    <t>23657.27</t>
  </si>
  <si>
    <t>24402.82</t>
  </si>
  <si>
    <t>24402.19</t>
  </si>
  <si>
    <t>24860.05</t>
  </si>
  <si>
    <t>24346.12</t>
  </si>
  <si>
    <t>24424.07</t>
  </si>
  <si>
    <t>24429.06</t>
  </si>
  <si>
    <t>24974.91</t>
  </si>
  <si>
    <t>24206.26</t>
  </si>
  <si>
    <t>24319.33</t>
  </si>
  <si>
    <t>24318.32</t>
  </si>
  <si>
    <t>25135.59</t>
  </si>
  <si>
    <t>23839.78</t>
  </si>
  <si>
    <t>24136.97</t>
  </si>
  <si>
    <t>24126.14</t>
  </si>
  <si>
    <t>24228.42</t>
  </si>
  <si>
    <t>23733.5</t>
  </si>
  <si>
    <t>23883.29</t>
  </si>
  <si>
    <t>23881.32</t>
  </si>
  <si>
    <t>24407.06</t>
  </si>
  <si>
    <t>23243.35</t>
  </si>
  <si>
    <t>23336.0</t>
  </si>
  <si>
    <t>23341.04</t>
  </si>
  <si>
    <t>23563.83</t>
  </si>
  <si>
    <t>23177.6</t>
  </si>
  <si>
    <t>23212.74</t>
  </si>
  <si>
    <t>23213.31</t>
  </si>
  <si>
    <t>20868.85</t>
  </si>
  <si>
    <t>20877.55</t>
  </si>
  <si>
    <t>20872.84</t>
  </si>
  <si>
    <t>21350.81</t>
  </si>
  <si>
    <t>20856.73</t>
  </si>
  <si>
    <t>21166.06</t>
  </si>
  <si>
    <t>21160.39</t>
  </si>
  <si>
    <t>21668.85</t>
  </si>
  <si>
    <t>21103.2</t>
  </si>
  <si>
    <t>21534.12</t>
  </si>
  <si>
    <t>21531.46</t>
  </si>
  <si>
    <t>20939.18</t>
  </si>
  <si>
    <t>21398.91</t>
  </si>
  <si>
    <t>21401.04</t>
  </si>
  <si>
    <t>21646.2</t>
  </si>
  <si>
    <t>20955.14</t>
  </si>
  <si>
    <t>21528.09</t>
  </si>
  <si>
    <t>21526.46</t>
  </si>
  <si>
    <t>21783.08</t>
  </si>
  <si>
    <t>21195.01</t>
  </si>
  <si>
    <t>21395.02</t>
  </si>
  <si>
    <t>21395.46</t>
  </si>
  <si>
    <t>21789.64</t>
  </si>
  <si>
    <t>21362.44</t>
  </si>
  <si>
    <t>21600.9</t>
  </si>
  <si>
    <t>21596.09</t>
  </si>
  <si>
    <t>21804.91</t>
  </si>
  <si>
    <t>20199.48</t>
  </si>
  <si>
    <t>20260.02</t>
  </si>
  <si>
    <t>20262.48</t>
  </si>
  <si>
    <t>20340.78</t>
  </si>
  <si>
    <t>19890.52</t>
  </si>
  <si>
    <t>20041.74</t>
  </si>
  <si>
    <t>19615.15</t>
  </si>
  <si>
    <t>20357.46</t>
  </si>
  <si>
    <t>19600.79</t>
  </si>
  <si>
    <t>20297.99</t>
  </si>
  <si>
    <t>20298.61</t>
  </si>
  <si>
    <t>20542.64</t>
  </si>
  <si>
    <t>19617.64</t>
  </si>
  <si>
    <t>19796.81</t>
  </si>
  <si>
    <t>19799.58</t>
  </si>
  <si>
    <t>20420.99</t>
  </si>
  <si>
    <t>20049.76</t>
  </si>
  <si>
    <t>20050.5</t>
  </si>
  <si>
    <t>20198.39</t>
  </si>
  <si>
    <t>19653.97</t>
  </si>
  <si>
    <t>20127.14</t>
  </si>
  <si>
    <t>20126.07</t>
  </si>
  <si>
    <t>20401.57</t>
  </si>
  <si>
    <t>19814.77</t>
  </si>
  <si>
    <t>19969.77</t>
  </si>
  <si>
    <t>19969.72</t>
  </si>
  <si>
    <t>20037.01</t>
  </si>
  <si>
    <t>19698.36</t>
  </si>
  <si>
    <t>19832.09</t>
  </si>
  <si>
    <t>19832.47</t>
  </si>
  <si>
    <t>19999.69</t>
  </si>
  <si>
    <t>19636.82</t>
  </si>
  <si>
    <t>19986.71</t>
  </si>
  <si>
    <t>19988.79</t>
  </si>
  <si>
    <t>20031.16</t>
  </si>
  <si>
    <t>19673.05</t>
  </si>
  <si>
    <t>19812.37</t>
  </si>
  <si>
    <t>19817.72</t>
  </si>
  <si>
    <t>20155.27</t>
  </si>
  <si>
    <t>18800.17</t>
  </si>
  <si>
    <t>18837.67</t>
  </si>
  <si>
    <t>18837.68</t>
  </si>
  <si>
    <t>19427.17</t>
  </si>
  <si>
    <t>18644.47</t>
  </si>
  <si>
    <t>19290.32</t>
  </si>
  <si>
    <t>19328.14</t>
  </si>
  <si>
    <t>21439.41</t>
  </si>
  <si>
    <t>19310.96</t>
  </si>
  <si>
    <t>21381.15</t>
  </si>
  <si>
    <t>21376.91</t>
  </si>
  <si>
    <t>21760.28</t>
  </si>
  <si>
    <t>21168.72</t>
  </si>
  <si>
    <t>21680.54</t>
  </si>
  <si>
    <t>21678.54</t>
  </si>
  <si>
    <t>21770.55</t>
  </si>
  <si>
    <t>21406.95</t>
  </si>
  <si>
    <t>21769.26</t>
  </si>
  <si>
    <t>21770.15</t>
  </si>
  <si>
    <t>22439.18</t>
  </si>
  <si>
    <t>21603.9</t>
  </si>
  <si>
    <t>22370.45</t>
  </si>
  <si>
    <t>20184.55</t>
  </si>
  <si>
    <t>20467.2</t>
  </si>
  <si>
    <t>19793.4</t>
  </si>
  <si>
    <t>20241.09</t>
  </si>
  <si>
    <t>20242.29</t>
  </si>
  <si>
    <t>20318.17</t>
  </si>
  <si>
    <t>19636.73</t>
  </si>
  <si>
    <t>19701.21</t>
  </si>
  <si>
    <t>19704.01</t>
  </si>
  <si>
    <t>19870.63</t>
  </si>
  <si>
    <t>19400.08</t>
  </si>
  <si>
    <t>19772.58</t>
  </si>
  <si>
    <t>19777.03</t>
  </si>
  <si>
    <t>20162.53</t>
  </si>
  <si>
    <t>20127.58</t>
  </si>
  <si>
    <t>20127.23</t>
  </si>
  <si>
    <t>19387.49</t>
  </si>
  <si>
    <t>19419.51</t>
  </si>
  <si>
    <t>19418.57</t>
  </si>
  <si>
    <t>19639.48</t>
  </si>
  <si>
    <t>18390.32</t>
  </si>
  <si>
    <t>19544.13</t>
  </si>
  <si>
    <t>19545.59</t>
  </si>
  <si>
    <t>19602.46</t>
  </si>
  <si>
    <t>18813.46</t>
  </si>
  <si>
    <t>18890.79</t>
  </si>
  <si>
    <t>18891.28</t>
  </si>
  <si>
    <t>19674.63</t>
  </si>
  <si>
    <t>18290.31</t>
  </si>
  <si>
    <t>18547.4</t>
  </si>
  <si>
    <t>18534.65</t>
  </si>
  <si>
    <t>19456.91</t>
  </si>
  <si>
    <t>18415.59</t>
  </si>
  <si>
    <t>19413.55</t>
  </si>
  <si>
    <t>19412.4</t>
  </si>
  <si>
    <t>19464.67</t>
  </si>
  <si>
    <t>18617.55</t>
  </si>
  <si>
    <t>19297.64</t>
  </si>
  <si>
    <t>19296.99</t>
  </si>
  <si>
    <t>19310.2</t>
  </si>
  <si>
    <t>18861.97</t>
  </si>
  <si>
    <t>18937.01</t>
  </si>
  <si>
    <t>18936.31</t>
  </si>
  <si>
    <t>19134.73</t>
  </si>
  <si>
    <t>18696.47</t>
  </si>
  <si>
    <t>18802.1</t>
  </si>
  <si>
    <t>18803.9</t>
  </si>
  <si>
    <t>19274.87</t>
  </si>
  <si>
    <t>18721.29</t>
  </si>
  <si>
    <t>19222.67</t>
  </si>
  <si>
    <t>19221.84</t>
  </si>
  <si>
    <t>20338.46</t>
  </si>
  <si>
    <t>18915.67</t>
  </si>
  <si>
    <t>19110.55</t>
  </si>
  <si>
    <t>19104.62</t>
  </si>
  <si>
    <t>19688.34</t>
  </si>
  <si>
    <t>19426.72</t>
  </si>
  <si>
    <t>19427.78</t>
  </si>
  <si>
    <t>19589.27</t>
  </si>
  <si>
    <t>18924.35</t>
  </si>
  <si>
    <t>19573.05</t>
  </si>
  <si>
    <t>19573.43</t>
  </si>
  <si>
    <t>20109.85</t>
  </si>
  <si>
    <t>19265.66</t>
  </si>
  <si>
    <t>19431.79</t>
  </si>
  <si>
    <t>19431.11</t>
  </si>
  <si>
    <t>19471.15</t>
  </si>
  <si>
    <t>19231.08</t>
  </si>
  <si>
    <t>19312.1</t>
  </si>
  <si>
    <t>19311.85</t>
  </si>
  <si>
    <t>19370.31</t>
  </si>
  <si>
    <t>18970.62</t>
  </si>
  <si>
    <t>19044.11</t>
  </si>
  <si>
    <t>19044.07</t>
  </si>
  <si>
    <t>19653.54</t>
  </si>
  <si>
    <t>19025.23</t>
  </si>
  <si>
    <t>19623.58</t>
  </si>
  <si>
    <t>20380.34</t>
  </si>
  <si>
    <t>19523.84</t>
  </si>
  <si>
    <t>20336.84</t>
  </si>
  <si>
    <t>20335.9</t>
  </si>
  <si>
    <t>20343.75</t>
  </si>
  <si>
    <t>19801.8</t>
  </si>
  <si>
    <t>20160.72</t>
  </si>
  <si>
    <t>19957.56</t>
  </si>
  <si>
    <t>20041.09</t>
  </si>
  <si>
    <t>19395.79</t>
  </si>
  <si>
    <t>19546.85</t>
  </si>
  <si>
    <t>19546.33</t>
  </si>
  <si>
    <t>19601.7</t>
  </si>
  <si>
    <t>19299.41</t>
  </si>
  <si>
    <t>19416.57</t>
  </si>
  <si>
    <t>19417.48</t>
  </si>
  <si>
    <t>19542.54</t>
  </si>
  <si>
    <t>19349.26</t>
  </si>
  <si>
    <t>19446.43</t>
  </si>
  <si>
    <t>19446.42</t>
  </si>
  <si>
    <t>19515.47</t>
  </si>
  <si>
    <t>19102.98</t>
  </si>
  <si>
    <t>19141.48</t>
  </si>
  <si>
    <t>19139.0</t>
  </si>
  <si>
    <t>19241.96</t>
  </si>
  <si>
    <t>18925.6</t>
  </si>
  <si>
    <t>19051.42</t>
  </si>
  <si>
    <t>19052.65</t>
  </si>
  <si>
    <t>19203.2</t>
  </si>
  <si>
    <t>19029.76</t>
  </si>
  <si>
    <t>19157.45</t>
  </si>
  <si>
    <t>19156.97</t>
  </si>
  <si>
    <t>19453.33</t>
  </si>
  <si>
    <t>18319.82</t>
  </si>
  <si>
    <t>19382.9</t>
  </si>
  <si>
    <t>19382.53</t>
  </si>
  <si>
    <t>19889.15</t>
  </si>
  <si>
    <t>19115.41</t>
  </si>
  <si>
    <t>19185.66</t>
  </si>
  <si>
    <t>19185.44</t>
  </si>
  <si>
    <t>19212.54</t>
  </si>
  <si>
    <t>19019.25</t>
  </si>
  <si>
    <t>19067.63</t>
  </si>
  <si>
    <t>19068.91</t>
  </si>
  <si>
    <t>19389.6</t>
  </si>
  <si>
    <t>19268.09</t>
  </si>
  <si>
    <t>19268.56</t>
  </si>
  <si>
    <t>19635.8</t>
  </si>
  <si>
    <t>19173.33</t>
  </si>
  <si>
    <t>19550.76</t>
  </si>
  <si>
    <t>19550.47</t>
  </si>
  <si>
    <t>19666.99</t>
  </si>
  <si>
    <t>19144.77</t>
  </si>
  <si>
    <t>19334.42</t>
  </si>
  <si>
    <t>19335.03</t>
  </si>
  <si>
    <t>19348.42</t>
  </si>
  <si>
    <t>19127.69</t>
  </si>
  <si>
    <t>19139.54</t>
  </si>
  <si>
    <t>19138.09</t>
  </si>
  <si>
    <t>19315.2</t>
  </si>
  <si>
    <t>18971.46</t>
  </si>
  <si>
    <t>19053.74</t>
  </si>
  <si>
    <t>19053.2</t>
  </si>
  <si>
    <t>19237.38</t>
  </si>
  <si>
    <t>18770.97</t>
  </si>
  <si>
    <t>19172.47</t>
  </si>
  <si>
    <t>19207.73</t>
  </si>
  <si>
    <t>19646.65</t>
  </si>
  <si>
    <t>19124.2</t>
  </si>
  <si>
    <t>19567.01</t>
  </si>
  <si>
    <t>19567.77</t>
  </si>
  <si>
    <t>19589.13</t>
  </si>
  <si>
    <t>19206.32</t>
  </si>
  <si>
    <t>19345.57</t>
  </si>
  <si>
    <t>20092.24</t>
  </si>
  <si>
    <t>20938.13</t>
  </si>
  <si>
    <t>20076.12</t>
  </si>
  <si>
    <t>20770.44</t>
  </si>
  <si>
    <t>20772.8</t>
  </si>
  <si>
    <t>20854.04</t>
  </si>
  <si>
    <t>20255.37</t>
  </si>
  <si>
    <t>20285.84</t>
  </si>
  <si>
    <t>20287.96</t>
  </si>
  <si>
    <t>20724.98</t>
  </si>
  <si>
    <t>20086.07</t>
  </si>
  <si>
    <t>20595.35</t>
  </si>
  <si>
    <t>20595.1</t>
  </si>
  <si>
    <t>20988.39</t>
  </si>
  <si>
    <t>20566.48</t>
  </si>
  <si>
    <t>20818.48</t>
  </si>
  <si>
    <t>20817.98</t>
  </si>
  <si>
    <t>20917.01</t>
  </si>
  <si>
    <t>20547.46</t>
  </si>
  <si>
    <t>20635.6</t>
  </si>
  <si>
    <t>20633.7</t>
  </si>
  <si>
    <t>20795.32</t>
  </si>
  <si>
    <t>20287.46</t>
  </si>
  <si>
    <t>20495.77</t>
  </si>
  <si>
    <t>20494.9</t>
  </si>
  <si>
    <t>20647.29</t>
  </si>
  <si>
    <t>20359.85</t>
  </si>
  <si>
    <t>20485.27</t>
  </si>
  <si>
    <t>20482.96</t>
  </si>
  <si>
    <t>20742.81</t>
  </si>
  <si>
    <t>20087.13</t>
  </si>
  <si>
    <t>20159.5</t>
  </si>
  <si>
    <t>20162.69</t>
  </si>
  <si>
    <t>20382.1</t>
  </si>
  <si>
    <t>20086.24</t>
  </si>
  <si>
    <t>20209.99</t>
  </si>
  <si>
    <t>20208.77</t>
  </si>
  <si>
    <t>21209.56</t>
  </si>
  <si>
    <t>20188.02</t>
  </si>
  <si>
    <t>21147.23</t>
  </si>
  <si>
    <t>21144.83</t>
  </si>
  <si>
    <t>21446.89</t>
  </si>
  <si>
    <t>21097.63</t>
  </si>
  <si>
    <t>21282.69</t>
  </si>
  <si>
    <t>21285.06</t>
  </si>
  <si>
    <t>21345.38</t>
  </si>
  <si>
    <t>20920.19</t>
  </si>
  <si>
    <t>20926.49</t>
  </si>
  <si>
    <t>20924.62</t>
  </si>
  <si>
    <t>21053.25</t>
  </si>
  <si>
    <t>20489.97</t>
  </si>
  <si>
    <t>20602.82</t>
  </si>
  <si>
    <t>20600.67</t>
  </si>
  <si>
    <t>20664.61</t>
  </si>
  <si>
    <t>17603.54</t>
  </si>
  <si>
    <t>18541.27</t>
  </si>
  <si>
    <t>18543.76</t>
  </si>
  <si>
    <t>18590.46</t>
  </si>
  <si>
    <t>15682.69</t>
  </si>
  <si>
    <t>15880.78</t>
  </si>
  <si>
    <t>15883.16</t>
  </si>
  <si>
    <t>18054.31</t>
  </si>
  <si>
    <t>15834.02</t>
  </si>
  <si>
    <t>17586.77</t>
  </si>
  <si>
    <t>17036.88</t>
  </si>
  <si>
    <t>17066.68</t>
  </si>
  <si>
    <t>16651.78</t>
  </si>
  <si>
    <t>16799.19</t>
  </si>
  <si>
    <t>16799.72</t>
  </si>
  <si>
    <t>16920.77</t>
  </si>
  <si>
    <t>16320.63</t>
  </si>
  <si>
    <t>16353.37</t>
  </si>
  <si>
    <t>16352.03</t>
  </si>
  <si>
    <t>17109.32</t>
  </si>
  <si>
    <t>15872.94</t>
  </si>
  <si>
    <t>16618.2</t>
  </si>
  <si>
    <t>16617.48</t>
  </si>
  <si>
    <t>17051.96</t>
  </si>
  <si>
    <t>16542.55</t>
  </si>
  <si>
    <t>16884.61</t>
  </si>
  <si>
    <t>16884.34</t>
  </si>
  <si>
    <t>16960.29</t>
  </si>
  <si>
    <t>16430.11</t>
  </si>
  <si>
    <t>16669.44</t>
  </si>
  <si>
    <t>16696.22</t>
  </si>
  <si>
    <t>16797.88</t>
  </si>
  <si>
    <t>16570.41</t>
  </si>
  <si>
    <t>16711.55</t>
  </si>
  <si>
    <t>16712.92</t>
  </si>
  <si>
    <t>16746.78</t>
  </si>
  <si>
    <t>16248.69</t>
  </si>
  <si>
    <t>16291.83</t>
  </si>
  <si>
    <t>16291.22</t>
  </si>
  <si>
    <t>15599.05</t>
  </si>
  <si>
    <t>15787.28</t>
  </si>
  <si>
    <t>15782.3</t>
  </si>
  <si>
    <t>16253.05</t>
  </si>
  <si>
    <t>15656.61</t>
  </si>
  <si>
    <t>16189.77</t>
  </si>
  <si>
    <t>16195.59</t>
  </si>
  <si>
    <t>16638.19</t>
  </si>
  <si>
    <t>16170.5</t>
  </si>
  <si>
    <t>16610.71</t>
  </si>
  <si>
    <t>16611.64</t>
  </si>
  <si>
    <t>16771.47</t>
  </si>
  <si>
    <t>16501.77</t>
  </si>
  <si>
    <t>16604.46</t>
  </si>
  <si>
    <t>16602.27</t>
  </si>
  <si>
    <t>16603.32</t>
  </si>
  <si>
    <t>16388.4</t>
  </si>
  <si>
    <t>16521.84</t>
  </si>
  <si>
    <t>16521.58</t>
  </si>
  <si>
    <t>16666.86</t>
  </si>
  <si>
    <t>16416.23</t>
  </si>
  <si>
    <t>16464.28</t>
  </si>
  <si>
    <t>16463.88</t>
  </si>
  <si>
    <t>16594.41</t>
  </si>
  <si>
    <t>16437.03</t>
  </si>
  <si>
    <t>16444.63</t>
  </si>
  <si>
    <t>16440.22</t>
  </si>
  <si>
    <t>16482.93</t>
  </si>
  <si>
    <t>16054.53</t>
  </si>
  <si>
    <t>16217.32</t>
  </si>
  <si>
    <t>16217.64</t>
  </si>
  <si>
    <t>16522.26</t>
  </si>
  <si>
    <t>16139.4</t>
  </si>
  <si>
    <t>16444.98</t>
  </si>
  <si>
    <t>16445.48</t>
  </si>
  <si>
    <t>17190.94</t>
  </si>
  <si>
    <t>17168.57</t>
  </si>
  <si>
    <t>17168.0</t>
  </si>
  <si>
    <t>17197.5</t>
  </si>
  <si>
    <t>16888.39</t>
  </si>
  <si>
    <t>16967.13</t>
  </si>
  <si>
    <t>16968.68</t>
  </si>
  <si>
    <t>17088.66</t>
  </si>
  <si>
    <t>16877.88</t>
  </si>
  <si>
    <t>17090.1</t>
  </si>
  <si>
    <t>17116.04</t>
  </si>
  <si>
    <t>16888.14</t>
  </si>
  <si>
    <t>16908.24</t>
  </si>
  <si>
    <t>16908.17</t>
  </si>
  <si>
    <t>17157.77</t>
  </si>
  <si>
    <t>16903.44</t>
  </si>
  <si>
    <t>17130.49</t>
  </si>
  <si>
    <t>17128.89</t>
  </si>
  <si>
    <t>17378.15</t>
  </si>
  <si>
    <t>16922.43</t>
  </si>
  <si>
    <t>16974.83</t>
  </si>
  <si>
    <t>16975.24</t>
  </si>
  <si>
    <t>17091.86</t>
  </si>
  <si>
    <t>16939.92</t>
  </si>
  <si>
    <t>17089.5</t>
  </si>
  <si>
    <t>17089.51</t>
  </si>
  <si>
    <t>17109.38</t>
  </si>
  <si>
    <t>16750.56</t>
  </si>
  <si>
    <t>16848.13</t>
  </si>
  <si>
    <t>16847.35</t>
  </si>
  <si>
    <t>17267.92</t>
  </si>
  <si>
    <t>16788.78</t>
  </si>
  <si>
    <t>17233.47</t>
  </si>
  <si>
    <t>17232.15</t>
  </si>
  <si>
    <t>17280.55</t>
  </si>
  <si>
    <t>17100.84</t>
  </si>
  <si>
    <t>17133.15</t>
  </si>
  <si>
    <t>17134.22</t>
  </si>
  <si>
    <t>17216.83</t>
  </si>
  <si>
    <t>17120.68</t>
  </si>
  <si>
    <t>17128.72</t>
  </si>
  <si>
    <t>17129.71</t>
  </si>
  <si>
    <t>17245.63</t>
  </si>
  <si>
    <t>17091.82</t>
  </si>
  <si>
    <t>17104.19</t>
  </si>
  <si>
    <t>17102.5</t>
  </si>
  <si>
    <t>17212.56</t>
  </si>
  <si>
    <t>16899.39</t>
  </si>
  <si>
    <t>17206.44</t>
  </si>
  <si>
    <t>17930.09</t>
  </si>
  <si>
    <t>17111.76</t>
  </si>
  <si>
    <t>17781.32</t>
  </si>
  <si>
    <t>17782.07</t>
  </si>
  <si>
    <t>18318.53</t>
  </si>
  <si>
    <t>17739.51</t>
  </si>
  <si>
    <t>17815.65</t>
  </si>
  <si>
    <t>17813.64</t>
  </si>
  <si>
    <t>17846.74</t>
  </si>
  <si>
    <t>17322.59</t>
  </si>
  <si>
    <t>17364.87</t>
  </si>
  <si>
    <t>17364.55</t>
  </si>
  <si>
    <t>17505.53</t>
  </si>
  <si>
    <t>16584.7</t>
  </si>
  <si>
    <t>16647.48</t>
  </si>
  <si>
    <t>16646.98</t>
  </si>
  <si>
    <t>16800.59</t>
  </si>
  <si>
    <t>16614.03</t>
  </si>
  <si>
    <t>16795.09</t>
  </si>
  <si>
    <t>16795.61</t>
  </si>
  <si>
    <t>16815.39</t>
  </si>
  <si>
    <t>16697.82</t>
  </si>
  <si>
    <t>16757.98</t>
  </si>
  <si>
    <t>16759.04</t>
  </si>
  <si>
    <t>16807.53</t>
  </si>
  <si>
    <t>16398.14</t>
  </si>
  <si>
    <t>16439.68</t>
  </si>
  <si>
    <t>16441.79</t>
  </si>
  <si>
    <t>17012.98</t>
  </si>
  <si>
    <t>16427.87</t>
  </si>
  <si>
    <t>16906.3</t>
  </si>
  <si>
    <t>16904.53</t>
  </si>
  <si>
    <t>16916.8</t>
  </si>
  <si>
    <t>16755.91</t>
  </si>
  <si>
    <t>16817.54</t>
  </si>
  <si>
    <t>16818.38</t>
  </si>
  <si>
    <t>16866.67</t>
  </si>
  <si>
    <t>16592.41</t>
  </si>
  <si>
    <t>16830.34</t>
  </si>
  <si>
    <t>16829.64</t>
  </si>
  <si>
    <t>16905.22</t>
  </si>
  <si>
    <t>16794.46</t>
  </si>
  <si>
    <t>16796.95</t>
  </si>
  <si>
    <t>16796.98</t>
  </si>
  <si>
    <t>16864.7</t>
  </si>
  <si>
    <t>16793.53</t>
  </si>
  <si>
    <t>16847.76</t>
  </si>
  <si>
    <t>16847.51</t>
  </si>
  <si>
    <t>16860.55</t>
  </si>
  <si>
    <t>16755.25</t>
  </si>
  <si>
    <t>16841.99</t>
  </si>
  <si>
    <t>16842.25</t>
  </si>
  <si>
    <t>16920.12</t>
  </si>
  <si>
    <t>16812.37</t>
  </si>
  <si>
    <t>16919.8</t>
  </si>
  <si>
    <t>16919.29</t>
  </si>
  <si>
    <t>16959.85</t>
  </si>
  <si>
    <t>16642.07</t>
  </si>
  <si>
    <t>16717.17</t>
  </si>
  <si>
    <t>16716.4</t>
  </si>
  <si>
    <t>16768.17</t>
  </si>
  <si>
    <t>16497.56</t>
  </si>
  <si>
    <t>16552.57</t>
  </si>
  <si>
    <t>16552.32</t>
  </si>
  <si>
    <t>16651.76</t>
  </si>
  <si>
    <t>16508.68</t>
  </si>
  <si>
    <t>16642.34</t>
  </si>
  <si>
    <t>16641.33</t>
  </si>
  <si>
    <t>16643.43</t>
  </si>
  <si>
    <t>16408.47</t>
  </si>
  <si>
    <t>16602.59</t>
  </si>
  <si>
    <t>16603.67</t>
  </si>
  <si>
    <t>16628.99</t>
  </si>
  <si>
    <t>16517.52</t>
  </si>
  <si>
    <t>16547.5</t>
  </si>
  <si>
    <t>16547.91</t>
  </si>
  <si>
    <t>16630.44</t>
  </si>
  <si>
    <t>16521.23</t>
  </si>
  <si>
    <t>16625.08</t>
  </si>
  <si>
    <t>16625.51</t>
  </si>
  <si>
    <t>16759.34</t>
  </si>
  <si>
    <t>16572.23</t>
  </si>
  <si>
    <t>16688.47</t>
  </si>
  <si>
    <t>16688.85</t>
  </si>
  <si>
    <t>16760.45</t>
  </si>
  <si>
    <t>16622.37</t>
  </si>
  <si>
    <t>16679.86</t>
  </si>
  <si>
    <t>16680.21</t>
  </si>
  <si>
    <t>16964.59</t>
  </si>
  <si>
    <t>16667.76</t>
  </si>
  <si>
    <t>16863.24</t>
  </si>
  <si>
    <t>16863.47</t>
  </si>
  <si>
    <t>16884.02</t>
  </si>
  <si>
    <t>16790.28</t>
  </si>
  <si>
    <t>16836.74</t>
  </si>
  <si>
    <t>16836.47</t>
  </si>
  <si>
    <t>16991.99</t>
  </si>
  <si>
    <t>16716.42</t>
  </si>
  <si>
    <t>16951.97</t>
  </si>
  <si>
    <t>16952.12</t>
  </si>
  <si>
    <t>16975.02</t>
  </si>
  <si>
    <t>16914.19</t>
  </si>
  <si>
    <t>16955.08</t>
  </si>
  <si>
    <t>16954.15</t>
  </si>
  <si>
    <t>17091.14</t>
  </si>
  <si>
    <t>16924.05</t>
  </si>
  <si>
    <t>17093.99</t>
  </si>
  <si>
    <t>17389.96</t>
  </si>
  <si>
    <t>17196.55</t>
  </si>
  <si>
    <t>17446.36</t>
  </si>
  <si>
    <t>17934.9</t>
  </si>
  <si>
    <t>17337.99</t>
  </si>
  <si>
    <t>18117.59</t>
  </si>
  <si>
    <t>19030.09</t>
  </si>
  <si>
    <t>17995.2</t>
  </si>
  <si>
    <t>18869.59</t>
  </si>
  <si>
    <t>18868.91</t>
  </si>
  <si>
    <t>19964.32</t>
  </si>
  <si>
    <t>18753.16</t>
  </si>
  <si>
    <t>19909.57</t>
  </si>
  <si>
    <t>19910.54</t>
  </si>
  <si>
    <t>21075.14</t>
  </si>
  <si>
    <t>19907.83</t>
  </si>
  <si>
    <t>20976.3</t>
  </si>
  <si>
    <t>20977.48</t>
  </si>
  <si>
    <t>20993.75</t>
  </si>
  <si>
    <t>20606.99</t>
  </si>
  <si>
    <t>20880.8</t>
  </si>
  <si>
    <t>20882.22</t>
  </si>
  <si>
    <t>21360.88</t>
  </si>
  <si>
    <t>20715.75</t>
  </si>
  <si>
    <t>21169.63</t>
  </si>
  <si>
    <t>21175.83</t>
  </si>
  <si>
    <t>21438.66</t>
  </si>
  <si>
    <t>20978.53</t>
  </si>
  <si>
    <t>21161.52</t>
  </si>
  <si>
    <t>21161.05</t>
  </si>
  <si>
    <t>21564.5</t>
  </si>
  <si>
    <t>20541.54</t>
  </si>
  <si>
    <t>20688.78</t>
  </si>
  <si>
    <t>20686.75</t>
  </si>
  <si>
    <t>21163.01</t>
  </si>
  <si>
    <t>20685.38</t>
  </si>
  <si>
    <t>21086.79</t>
  </si>
  <si>
    <t>21085.37</t>
  </si>
  <si>
    <t>22692.36</t>
  </si>
  <si>
    <t>20919.13</t>
  </si>
  <si>
    <t>22676.55</t>
  </si>
  <si>
    <t>22677.43</t>
  </si>
  <si>
    <t>23282.35</t>
  </si>
  <si>
    <t>22511.83</t>
  </si>
  <si>
    <t>22777.63</t>
  </si>
  <si>
    <t>22777.99</t>
  </si>
  <si>
    <t>23056.73</t>
  </si>
  <si>
    <t>22387.9</t>
  </si>
  <si>
    <t>22720.42</t>
  </si>
  <si>
    <t>22721.09</t>
  </si>
  <si>
    <t>23126.49</t>
  </si>
  <si>
    <t>22654.3</t>
  </si>
  <si>
    <t>22934.43</t>
  </si>
  <si>
    <t>22929.63</t>
  </si>
  <si>
    <t>23134.01</t>
  </si>
  <si>
    <t>22549.74</t>
  </si>
  <si>
    <t>22636.47</t>
  </si>
  <si>
    <t>22639.27</t>
  </si>
  <si>
    <t>23722.1</t>
  </si>
  <si>
    <t>22406.08</t>
  </si>
  <si>
    <t>23117.86</t>
  </si>
  <si>
    <t>23108.96</t>
  </si>
  <si>
    <t>23237.08</t>
  </si>
  <si>
    <t>22911.37</t>
  </si>
  <si>
    <t>23032.78</t>
  </si>
  <si>
    <t>23030.72</t>
  </si>
  <si>
    <t>23417.72</t>
  </si>
  <si>
    <t>22654.59</t>
  </si>
  <si>
    <t>23078.73</t>
  </si>
  <si>
    <t>23079.96</t>
  </si>
  <si>
    <t>23165.9</t>
  </si>
  <si>
    <t>22908.85</t>
  </si>
  <si>
    <t>23031.09</t>
  </si>
  <si>
    <t>23031.45</t>
  </si>
  <si>
    <t>23919.89</t>
  </si>
  <si>
    <t>22985.07</t>
  </si>
  <si>
    <t>23774.57</t>
  </si>
  <si>
    <t>23774.65</t>
  </si>
  <si>
    <t>23789.35</t>
  </si>
  <si>
    <t>22657.58</t>
  </si>
  <si>
    <t>22840.14</t>
  </si>
  <si>
    <t>23137.84</t>
  </si>
  <si>
    <t>23764.54</t>
  </si>
  <si>
    <t>22877.75</t>
  </si>
  <si>
    <t>23723.77</t>
  </si>
  <si>
    <t>23469.41</t>
  </si>
  <si>
    <t>23678.1</t>
  </si>
  <si>
    <t>23279.96</t>
  </si>
  <si>
    <t>23449.32</t>
  </si>
  <si>
    <t>23446.32</t>
  </si>
  <si>
    <t>23556.95</t>
  </si>
  <si>
    <t>23291.79</t>
  </si>
  <si>
    <t>23331.85</t>
  </si>
  <si>
    <t>23332.25</t>
  </si>
  <si>
    <t>23423.44</t>
  </si>
  <si>
    <t>22841.76</t>
  </si>
  <si>
    <t>22955.67</t>
  </si>
  <si>
    <t>22954.02</t>
  </si>
  <si>
    <t>23119.28</t>
  </si>
  <si>
    <t>22692.03</t>
  </si>
  <si>
    <t>22760.11</t>
  </si>
  <si>
    <t>22757.27</t>
  </si>
  <si>
    <t>23310.97</t>
  </si>
  <si>
    <t>22756.26</t>
  </si>
  <si>
    <t>23264.29</t>
  </si>
  <si>
    <t>23263.42</t>
  </si>
  <si>
    <t>23367.96</t>
  </si>
  <si>
    <t>22731.1</t>
  </si>
  <si>
    <t>22939.4</t>
  </si>
  <si>
    <t>22946.57</t>
  </si>
  <si>
    <t>22996.44</t>
  </si>
  <si>
    <t>21773.97</t>
  </si>
  <si>
    <t>21819.04</t>
  </si>
  <si>
    <t>21819.01</t>
  </si>
  <si>
    <t>21941.19</t>
  </si>
  <si>
    <t>21539.39</t>
  </si>
  <si>
    <t>21651.18</t>
  </si>
  <si>
    <t>21651.84</t>
  </si>
  <si>
    <t>21891.41</t>
  </si>
  <si>
    <t>21618.45</t>
  </si>
  <si>
    <t>21870.88</t>
  </si>
  <si>
    <t>21870.9</t>
  </si>
  <si>
    <t>22060.99</t>
  </si>
  <si>
    <t>21682.83</t>
  </si>
  <si>
    <t>21788.2</t>
  </si>
  <si>
    <t>21787.0</t>
  </si>
  <si>
    <t>21898.41</t>
  </si>
  <si>
    <t>21460.09</t>
  </si>
  <si>
    <t>21808.1</t>
  </si>
  <si>
    <t>21801.82</t>
  </si>
  <si>
    <t>22293.14</t>
  </si>
  <si>
    <t>21632.39</t>
  </si>
  <si>
    <t>22220.8</t>
  </si>
  <si>
    <t>22220.59</t>
  </si>
  <si>
    <t>24307.84</t>
  </si>
  <si>
    <t>22082.77</t>
  </si>
  <si>
    <t>24307.35</t>
  </si>
  <si>
    <t>25134.12</t>
  </si>
  <si>
    <t>23602.52</t>
  </si>
  <si>
    <t>23623.47</t>
  </si>
  <si>
    <t>23621.28</t>
  </si>
  <si>
    <t>24924.04</t>
  </si>
  <si>
    <t>23460.76</t>
  </si>
  <si>
    <t>24565.6</t>
  </si>
  <si>
    <t>24565.3</t>
  </si>
  <si>
    <t>24798.84</t>
  </si>
  <si>
    <t>24468.37</t>
  </si>
  <si>
    <t>24641.28</t>
  </si>
  <si>
    <t>24640.03</t>
  </si>
  <si>
    <t>25093.05</t>
  </si>
  <si>
    <t>24327.64</t>
  </si>
  <si>
    <t>24336.62</t>
  </si>
  <si>
    <t>25020.46</t>
  </si>
  <si>
    <t>23927.91</t>
  </si>
  <si>
    <t>24829.15</t>
  </si>
  <si>
    <t>24437.42</t>
  </si>
  <si>
    <t>24472.34</t>
  </si>
  <si>
    <t>23644.32</t>
  </si>
  <si>
    <t>24188.84</t>
  </si>
  <si>
    <t>24190.72</t>
  </si>
  <si>
    <t>24572.09</t>
  </si>
  <si>
    <t>23693.92</t>
  </si>
  <si>
    <t>23947.49</t>
  </si>
  <si>
    <t>23946.01</t>
  </si>
  <si>
    <t>24103.71</t>
  </si>
  <si>
    <t>23007.07</t>
  </si>
  <si>
    <t>23198.13</t>
  </si>
  <si>
    <t>23200.13</t>
  </si>
  <si>
    <t>23210.21</t>
  </si>
  <si>
    <t>22861.56</t>
  </si>
  <si>
    <t>23175.38</t>
  </si>
  <si>
    <t>23561.45</t>
  </si>
  <si>
    <t>23857.89</t>
  </si>
  <si>
    <t>23205.88</t>
  </si>
  <si>
    <t>23522.87</t>
  </si>
  <si>
    <t>23521.84</t>
  </si>
  <si>
    <t>23585.38</t>
  </si>
  <si>
    <t>23077.65</t>
  </si>
  <si>
    <t>23147.35</t>
  </si>
  <si>
    <t>23150.93</t>
  </si>
  <si>
    <t>23880.63</t>
  </si>
  <si>
    <t>23088.63</t>
  </si>
  <si>
    <t>23646.55</t>
  </si>
  <si>
    <t>23647.02</t>
  </si>
  <si>
    <t>23739.14</t>
  </si>
  <si>
    <t>23245.02</t>
  </si>
  <si>
    <t>23475.47</t>
  </si>
  <si>
    <t>23476.63</t>
  </si>
  <si>
    <t>23479.35</t>
  </si>
  <si>
    <t>22213.24</t>
  </si>
  <si>
    <t>22362.68</t>
  </si>
  <si>
    <t>22362.92</t>
  </si>
  <si>
    <t>22405.18</t>
  </si>
  <si>
    <t>22198.98</t>
  </si>
  <si>
    <t>22353.35</t>
  </si>
  <si>
    <t>22354.14</t>
  </si>
  <si>
    <t>22613.69</t>
  </si>
  <si>
    <t>22307.14</t>
  </si>
  <si>
    <t>22435.51</t>
  </si>
  <si>
    <t>22436.82</t>
  </si>
  <si>
    <t>22584.29</t>
  </si>
  <si>
    <t>22331.31</t>
  </si>
  <si>
    <t>22429.76</t>
  </si>
  <si>
    <t>22428.32</t>
  </si>
  <si>
    <t>22527.42</t>
  </si>
  <si>
    <t>22011.26</t>
  </si>
  <si>
    <t>22219.77</t>
  </si>
  <si>
    <t>22216.44</t>
  </si>
  <si>
    <t>22268.9</t>
  </si>
  <si>
    <t>21708.05</t>
  </si>
  <si>
    <t>21718.08</t>
  </si>
  <si>
    <t>21720.08</t>
  </si>
  <si>
    <t>21802.72</t>
  </si>
  <si>
    <t>20210.31</t>
  </si>
  <si>
    <t>20363.02</t>
  </si>
  <si>
    <t>20367.0</t>
  </si>
  <si>
    <t>20370.6</t>
  </si>
  <si>
    <t>19628.25</t>
  </si>
  <si>
    <t>20187.24</t>
  </si>
  <si>
    <t>20187.88</t>
  </si>
  <si>
    <t>20792.53</t>
  </si>
  <si>
    <t>20068.66</t>
  </si>
  <si>
    <t>20632.41</t>
  </si>
  <si>
    <t>20628.03</t>
  </si>
  <si>
    <t>22185.03</t>
  </si>
  <si>
    <t>20448.81</t>
  </si>
  <si>
    <t>22163.95</t>
  </si>
  <si>
    <t>22156.41</t>
  </si>
  <si>
    <t>24550.84</t>
  </si>
  <si>
    <t>21918.2</t>
  </si>
  <si>
    <t>24197.53</t>
  </si>
  <si>
    <t>24201.77</t>
  </si>
  <si>
    <t>26514.72</t>
  </si>
  <si>
    <t>24081.18</t>
  </si>
  <si>
    <t>24746.07</t>
  </si>
  <si>
    <t>24770.93</t>
  </si>
  <si>
    <t>25240.62</t>
  </si>
  <si>
    <t>23964.91</t>
  </si>
  <si>
    <t>24375.96</t>
  </si>
  <si>
    <t>24373.46</t>
  </si>
  <si>
    <t>25190.33</t>
  </si>
  <si>
    <t>24225.11</t>
  </si>
  <si>
    <t>25052.79</t>
  </si>
  <si>
    <t>25055.12</t>
  </si>
  <si>
    <t>27787.81</t>
  </si>
  <si>
    <t>24955.17</t>
  </si>
  <si>
    <t>27423.93</t>
  </si>
  <si>
    <t>27448.12</t>
  </si>
  <si>
    <t>27725.95</t>
  </si>
  <si>
    <t>26636.26</t>
  </si>
  <si>
    <t>26965.88</t>
  </si>
  <si>
    <t>26969.5</t>
  </si>
  <si>
    <t>28440.56</t>
  </si>
  <si>
    <t>26907.72</t>
  </si>
  <si>
    <t>28038.68</t>
  </si>
  <si>
    <t>28041.6</t>
  </si>
  <si>
    <t>28527.72</t>
  </si>
  <si>
    <t>27242.88</t>
  </si>
  <si>
    <t>27767.24</t>
  </si>
  <si>
    <t>27768.39</t>
  </si>
  <si>
    <t>28439.56</t>
  </si>
  <si>
    <t>27439.65</t>
  </si>
  <si>
    <t>28175.82</t>
  </si>
  <si>
    <t>28158.72</t>
  </si>
  <si>
    <t>28803.34</t>
  </si>
  <si>
    <t>26760.0</t>
  </si>
  <si>
    <t>27307.44</t>
  </si>
  <si>
    <t>27301.96</t>
  </si>
  <si>
    <t>28729.84</t>
  </si>
  <si>
    <t>27183.36</t>
  </si>
  <si>
    <t>28333.97</t>
  </si>
  <si>
    <t>28324.11</t>
  </si>
  <si>
    <t>28388.44</t>
  </si>
  <si>
    <t>27039.27</t>
  </si>
  <si>
    <t>27493.29</t>
  </si>
  <si>
    <t>27487.34</t>
  </si>
  <si>
    <t>27791.83</t>
  </si>
  <si>
    <t>27196.23</t>
  </si>
  <si>
    <t>27494.71</t>
  </si>
  <si>
    <t>27495.52</t>
  </si>
  <si>
    <t>28178.14</t>
  </si>
  <si>
    <t>27445.05</t>
  </si>
  <si>
    <t>27994.33</t>
  </si>
  <si>
    <t>27994.07</t>
  </si>
  <si>
    <t>28037.93</t>
  </si>
  <si>
    <t>26606.69</t>
  </si>
  <si>
    <t>27139.89</t>
  </si>
  <si>
    <t>27132.89</t>
  </si>
  <si>
    <t>27460.72</t>
  </si>
  <si>
    <t>26677.82</t>
  </si>
  <si>
    <t>27268.13</t>
  </si>
  <si>
    <t>27267.03</t>
  </si>
  <si>
    <t>28619.54</t>
  </si>
  <si>
    <t>27259.66</t>
  </si>
  <si>
    <t>28348.44</t>
  </si>
  <si>
    <t>28350.14</t>
  </si>
  <si>
    <t>29159.9</t>
  </si>
  <si>
    <t>27720.16</t>
  </si>
  <si>
    <t>28033.56</t>
  </si>
  <si>
    <t>28032.26</t>
  </si>
  <si>
    <t>28639.9</t>
  </si>
  <si>
    <t>27583.71</t>
  </si>
  <si>
    <t>28478.48</t>
  </si>
  <si>
    <t>28473.33</t>
  </si>
  <si>
    <t>28802.46</t>
  </si>
  <si>
    <t>28297.17</t>
  </si>
  <si>
    <t>28411.04</t>
  </si>
  <si>
    <t>28462.85</t>
  </si>
  <si>
    <t>28518.96</t>
  </si>
  <si>
    <t>27884.09</t>
  </si>
  <si>
    <t>28199.31</t>
  </si>
  <si>
    <t>28183.08</t>
  </si>
  <si>
    <t>28475.62</t>
  </si>
  <si>
    <t>27276.72</t>
  </si>
  <si>
    <t>27790.22</t>
  </si>
  <si>
    <t>27795.27</t>
  </si>
  <si>
    <t>28433.74</t>
  </si>
  <si>
    <t>27681.3</t>
  </si>
  <si>
    <t>28168.09</t>
  </si>
  <si>
    <t>28169.73</t>
  </si>
  <si>
    <t>28739.24</t>
  </si>
  <si>
    <t>27843.76</t>
  </si>
  <si>
    <t>28177.98</t>
  </si>
  <si>
    <t>28175.23</t>
  </si>
  <si>
    <t>28178.38</t>
  </si>
  <si>
    <t>27738.76</t>
  </si>
  <si>
    <t>28044.14</t>
  </si>
  <si>
    <t>28038.97</t>
  </si>
  <si>
    <t>28111.59</t>
  </si>
  <si>
    <t>27794.03</t>
  </si>
  <si>
    <t>27925.86</t>
  </si>
  <si>
    <t>27920.51</t>
  </si>
  <si>
    <t>28159.86</t>
  </si>
  <si>
    <t>27883.39</t>
  </si>
  <si>
    <t>27947.79</t>
  </si>
  <si>
    <t>27952.37</t>
  </si>
  <si>
    <t>28532.83</t>
  </si>
  <si>
    <t>27828.48</t>
  </si>
  <si>
    <t>28333.05</t>
  </si>
  <si>
    <t>28336.03</t>
  </si>
  <si>
    <t>29771.46</t>
  </si>
  <si>
    <t>28189.27</t>
  </si>
  <si>
    <t>29652.98</t>
  </si>
  <si>
    <t>29653.68</t>
  </si>
  <si>
    <t>30509.08</t>
  </si>
  <si>
    <t>29609.3</t>
  </si>
  <si>
    <t>30235.06</t>
  </si>
  <si>
    <t>30231.58</t>
  </si>
  <si>
    <t>30462.48</t>
  </si>
  <si>
    <t>29725.57</t>
  </si>
  <si>
    <t>30139.05</t>
  </si>
  <si>
    <t>29892.74</t>
  </si>
  <si>
    <t>30539.85</t>
  </si>
  <si>
    <t>29878.62</t>
  </si>
  <si>
    <t>30399.07</t>
  </si>
  <si>
    <t>30409.56</t>
  </si>
  <si>
    <t>31005.61</t>
  </si>
  <si>
    <t>30044.5</t>
  </si>
  <si>
    <t>30485.7</t>
  </si>
  <si>
    <t>30490.75</t>
  </si>
  <si>
    <t>30601.74</t>
  </si>
  <si>
    <t>30245.88</t>
  </si>
  <si>
    <t>30318.5</t>
  </si>
  <si>
    <t>30315.98</t>
  </si>
  <si>
    <t>30555.54</t>
  </si>
  <si>
    <t>30157.83</t>
  </si>
  <si>
    <t>30315.36</t>
  </si>
  <si>
    <t>30317.15</t>
  </si>
  <si>
    <t>30319.2</t>
  </si>
  <si>
    <t>29275.37</t>
  </si>
  <si>
    <t>29445.04</t>
  </si>
  <si>
    <t>29449.09</t>
  </si>
  <si>
    <t>30470.3</t>
  </si>
  <si>
    <t>29154.85</t>
  </si>
  <si>
    <t>30397.55</t>
  </si>
  <si>
    <t>30394.19</t>
  </si>
  <si>
    <t>30411.05</t>
  </si>
  <si>
    <t>28669.9</t>
  </si>
  <si>
    <t>28822.68</t>
  </si>
  <si>
    <t>28823.68</t>
  </si>
  <si>
    <t>29076.4</t>
  </si>
  <si>
    <t>28037.26</t>
  </si>
  <si>
    <t>28245.99</t>
  </si>
  <si>
    <t>28249.23</t>
  </si>
  <si>
    <t>28349.97</t>
  </si>
  <si>
    <t>27177.37</t>
  </si>
  <si>
    <t>27276.91</t>
  </si>
  <si>
    <t>27816.14</t>
  </si>
  <si>
    <t>27820.24</t>
  </si>
  <si>
    <t>27400.31</t>
  </si>
  <si>
    <t>27591.38</t>
  </si>
  <si>
    <t>27591.73</t>
  </si>
  <si>
    <t>27979.98</t>
  </si>
  <si>
    <t>27070.85</t>
  </si>
  <si>
    <t>27525.34</t>
  </si>
  <si>
    <t>27514.87</t>
  </si>
  <si>
    <t>28371.08</t>
  </si>
  <si>
    <t>27207.93</t>
  </si>
  <si>
    <t>28307.6</t>
  </si>
  <si>
    <t>28300.06</t>
  </si>
  <si>
    <t>29995.84</t>
  </si>
  <si>
    <t>27324.55</t>
  </si>
  <si>
    <t>28422.7</t>
  </si>
  <si>
    <t>28428.46</t>
  </si>
  <si>
    <t>29871.55</t>
  </si>
  <si>
    <t>28402.89</t>
  </si>
  <si>
    <t>29473.79</t>
  </si>
  <si>
    <t>29481.01</t>
  </si>
  <si>
    <t>29572.79</t>
  </si>
  <si>
    <t>28929.61</t>
  </si>
  <si>
    <t>29340.26</t>
  </si>
  <si>
    <t>29336.57</t>
  </si>
  <si>
    <t>29452.46</t>
  </si>
  <si>
    <t>29088.04</t>
  </si>
  <si>
    <t>29248.49</t>
  </si>
  <si>
    <t>29245.52</t>
  </si>
  <si>
    <t>29952.03</t>
  </si>
  <si>
    <t>29114.02</t>
  </si>
  <si>
    <t>29268.81</t>
  </si>
  <si>
    <t>28087.18</t>
  </si>
  <si>
    <t>28881.3</t>
  </si>
  <si>
    <t>27924.12</t>
  </si>
  <si>
    <t>28680.54</t>
  </si>
  <si>
    <t>28680.49</t>
  </si>
  <si>
    <t>29259.53</t>
  </si>
  <si>
    <t>28178.39</t>
  </si>
  <si>
    <t>29006.31</t>
  </si>
  <si>
    <t>29031.3</t>
  </si>
  <si>
    <t>29353.19</t>
  </si>
  <si>
    <t>28694.04</t>
  </si>
  <si>
    <t>28847.71</t>
  </si>
  <si>
    <t>28851.48</t>
  </si>
  <si>
    <t>29668.91</t>
  </si>
  <si>
    <t>28845.51</t>
  </si>
  <si>
    <t>29534.38</t>
  </si>
  <si>
    <t>29538.86</t>
  </si>
  <si>
    <t>29820.13</t>
  </si>
  <si>
    <t>28468.97</t>
  </si>
  <si>
    <t>28904.62</t>
  </si>
  <si>
    <t>28450.46</t>
  </si>
  <si>
    <t>28663.27</t>
  </si>
  <si>
    <t>27310.13</t>
  </si>
  <si>
    <t>27694.27</t>
  </si>
  <si>
    <t>27695.07</t>
  </si>
  <si>
    <t>27821.4</t>
  </si>
  <si>
    <t>27375.6</t>
  </si>
  <si>
    <t>27658.78</t>
  </si>
  <si>
    <t>27654.64</t>
  </si>
  <si>
    <t>28322.69</t>
  </si>
  <si>
    <t>26883.67</t>
  </si>
  <si>
    <t>27621.76</t>
  </si>
  <si>
    <t>27621.09</t>
  </si>
  <si>
    <t>27621.94</t>
  </si>
  <si>
    <t>26781.83</t>
  </si>
  <si>
    <t>27000.79</t>
  </si>
  <si>
    <t>26987.66</t>
  </si>
  <si>
    <t>27055.65</t>
  </si>
  <si>
    <t>25878.43</t>
  </si>
  <si>
    <t>26804.99</t>
  </si>
  <si>
    <t>26788.97</t>
  </si>
  <si>
    <t>27150.98</t>
  </si>
  <si>
    <t>26661.36</t>
  </si>
  <si>
    <t>26930.64</t>
  </si>
  <si>
    <t>26931.38</t>
  </si>
  <si>
    <t>27646.35</t>
  </si>
  <si>
    <t>26766.1</t>
  </si>
  <si>
    <t>27192.69</t>
  </si>
  <si>
    <t>27171.51</t>
  </si>
  <si>
    <t>27299.3</t>
  </si>
  <si>
    <t>26878.95</t>
  </si>
  <si>
    <t>27036.65</t>
  </si>
  <si>
    <t>27035.47</t>
  </si>
  <si>
    <t>27465.93</t>
  </si>
  <si>
    <t>26600.14</t>
  </si>
  <si>
    <t>27398.8</t>
  </si>
  <si>
    <t>27401.65</t>
  </si>
  <si>
    <t>27466.53</t>
  </si>
  <si>
    <t>26415.1</t>
  </si>
  <si>
    <t>26832.21</t>
  </si>
  <si>
    <t>26826.75</t>
  </si>
  <si>
    <t>27128.62</t>
  </si>
  <si>
    <t>26700.21</t>
  </si>
  <si>
    <t>26890.13</t>
  </si>
  <si>
    <t>26888.84</t>
  </si>
  <si>
    <t>27155.16</t>
  </si>
  <si>
    <t>26843.28</t>
  </si>
  <si>
    <t>27129.59</t>
  </si>
  <si>
    <t>27118.42</t>
  </si>
  <si>
    <t>27265.92</t>
  </si>
  <si>
    <t>26706.92</t>
  </si>
  <si>
    <t>26753.83</t>
  </si>
  <si>
    <t>26749.89</t>
  </si>
  <si>
    <t>27045.73</t>
  </si>
  <si>
    <t>26549.73</t>
  </si>
  <si>
    <t>26851.28</t>
  </si>
  <si>
    <t>26855.96</t>
  </si>
  <si>
    <t>27434.68</t>
  </si>
  <si>
    <t>26816.18</t>
  </si>
  <si>
    <t>27225.73</t>
  </si>
  <si>
    <t>27224.6</t>
  </si>
  <si>
    <t>26106.58</t>
  </si>
  <si>
    <t>26334.82</t>
  </si>
  <si>
    <t>26329.46</t>
  </si>
  <si>
    <t>26591.52</t>
  </si>
  <si>
    <t>25890.59</t>
  </si>
  <si>
    <t>26476.21</t>
  </si>
  <si>
    <t>26474.18</t>
  </si>
  <si>
    <t>26916.67</t>
  </si>
  <si>
    <t>26343.95</t>
  </si>
  <si>
    <t>26719.29</t>
  </si>
  <si>
    <t>26720.18</t>
  </si>
  <si>
    <t>26888.88</t>
  </si>
  <si>
    <t>26621.14</t>
  </si>
  <si>
    <t>26868.35</t>
  </si>
  <si>
    <t>26871.16</t>
  </si>
  <si>
    <t>28193.45</t>
  </si>
  <si>
    <t>26802.75</t>
  </si>
  <si>
    <t>28085.65</t>
  </si>
  <si>
    <t>28075.59</t>
  </si>
  <si>
    <t>28432.04</t>
  </si>
  <si>
    <t>27563.88</t>
  </si>
  <si>
    <t>27745.88</t>
  </si>
  <si>
    <t>27745.12</t>
  </si>
  <si>
    <t>28044.76</t>
  </si>
  <si>
    <t>27588.5</t>
  </si>
  <si>
    <t>27702.35</t>
  </si>
  <si>
    <t>27700.53</t>
  </si>
  <si>
    <t>27831.68</t>
  </si>
  <si>
    <t>26866.45</t>
  </si>
  <si>
    <t>27219.66</t>
  </si>
  <si>
    <t>27218.41</t>
  </si>
  <si>
    <t>27346.11</t>
  </si>
  <si>
    <t>26671.72</t>
  </si>
  <si>
    <t>26819.97</t>
  </si>
  <si>
    <t>26824.56</t>
  </si>
  <si>
    <t>27303.86</t>
  </si>
  <si>
    <t>26574.64</t>
  </si>
  <si>
    <t>27249.59</t>
  </si>
  <si>
    <t>27075.12</t>
  </si>
  <si>
    <t>27407.02</t>
  </si>
  <si>
    <t>26968.22</t>
  </si>
  <si>
    <t>27119.07</t>
  </si>
  <si>
    <t>27123.11</t>
  </si>
  <si>
    <t>27129.98</t>
  </si>
  <si>
    <t>25445.17</t>
  </si>
  <si>
    <t>25760.1</t>
  </si>
  <si>
    <t>25732.11</t>
  </si>
  <si>
    <t>27313.82</t>
  </si>
  <si>
    <t>25434.87</t>
  </si>
  <si>
    <t>27238.78</t>
  </si>
  <si>
    <t>27235.65</t>
  </si>
  <si>
    <t>27332.18</t>
  </si>
  <si>
    <t>26146.99</t>
  </si>
  <si>
    <t>26346.0</t>
  </si>
  <si>
    <t>26347.65</t>
  </si>
  <si>
    <t>26797.51</t>
  </si>
  <si>
    <t>26246.66</t>
  </si>
  <si>
    <t>26508.22</t>
  </si>
  <si>
    <t>26505.92</t>
  </si>
  <si>
    <t>26770.29</t>
  </si>
  <si>
    <t>26339.31</t>
  </si>
  <si>
    <t>26480.38</t>
  </si>
  <si>
    <t>26481.76</t>
  </si>
  <si>
    <t>26531.04</t>
  </si>
  <si>
    <t>25501.84</t>
  </si>
  <si>
    <t>25851.24</t>
  </si>
  <si>
    <t>25934.29</t>
  </si>
  <si>
    <t>26087.92</t>
  </si>
  <si>
    <t>25675.2</t>
  </si>
  <si>
    <t>25902.5</t>
  </si>
  <si>
    <t>25902.94</t>
  </si>
  <si>
    <t>26376.35</t>
  </si>
  <si>
    <t>25728.37</t>
  </si>
  <si>
    <t>25918.73</t>
  </si>
  <si>
    <t>25920.26</t>
  </si>
  <si>
    <t>26041.8</t>
  </si>
  <si>
    <t>24902.15</t>
  </si>
  <si>
    <t>25124.68</t>
  </si>
  <si>
    <t>25121.67</t>
  </si>
  <si>
    <t>25735.31</t>
  </si>
  <si>
    <t>24797.17</t>
  </si>
  <si>
    <t>25576.39</t>
  </si>
  <si>
    <t>25575.28</t>
  </si>
  <si>
    <t>26463.17</t>
  </si>
  <si>
    <t>25245.36</t>
  </si>
  <si>
    <t>26327.46</t>
  </si>
  <si>
    <t>26328.68</t>
  </si>
  <si>
    <t>26769.39</t>
  </si>
  <si>
    <t>26174.49</t>
  </si>
  <si>
    <t>26510.68</t>
  </si>
  <si>
    <t>26510.46</t>
  </si>
  <si>
    <t>26675.93</t>
  </si>
  <si>
    <t>26325.89</t>
  </si>
  <si>
    <t>26336.21</t>
  </si>
  <si>
    <t>26335.44</t>
  </si>
  <si>
    <t>26984.61</t>
  </si>
  <si>
    <t>26312.83</t>
  </si>
  <si>
    <t>26851.03</t>
  </si>
  <si>
    <t>26841.66</t>
  </si>
  <si>
    <t>28388.97</t>
  </si>
  <si>
    <t>26668.79</t>
  </si>
  <si>
    <t>28327.49</t>
  </si>
  <si>
    <t>28311.31</t>
  </si>
  <si>
    <t>30737.33</t>
  </si>
  <si>
    <t>28283.41</t>
  </si>
  <si>
    <t>30027.3</t>
  </si>
  <si>
    <t>29995.94</t>
  </si>
  <si>
    <t>30496.0</t>
  </si>
  <si>
    <t>29679.16</t>
  </si>
  <si>
    <t>29912.28</t>
  </si>
  <si>
    <t>30708.74</t>
  </si>
  <si>
    <t>30804.15</t>
  </si>
  <si>
    <t>30290.15</t>
  </si>
  <si>
    <t>30548.7</t>
  </si>
  <si>
    <t>30545.15</t>
  </si>
  <si>
    <t>31041.27</t>
  </si>
  <si>
    <t>30327.94</t>
  </si>
  <si>
    <t>30480.26</t>
  </si>
  <si>
    <t>30480.52</t>
  </si>
  <si>
    <t>30636.03</t>
  </si>
  <si>
    <t>29955.74</t>
  </si>
  <si>
    <t>30271.13</t>
  </si>
  <si>
    <t>30274.32</t>
  </si>
  <si>
    <t>31006.79</t>
  </si>
  <si>
    <t>30236.65</t>
  </si>
  <si>
    <t>30688.16</t>
  </si>
  <si>
    <t>30696.56</t>
  </si>
  <si>
    <t>30703.28</t>
  </si>
  <si>
    <t>29921.82</t>
  </si>
  <si>
    <t>30086.25</t>
  </si>
  <si>
    <t>30086.19</t>
  </si>
  <si>
    <t>30796.25</t>
  </si>
  <si>
    <t>30057.2</t>
  </si>
  <si>
    <t>30445.35</t>
  </si>
  <si>
    <t>30441.35</t>
  </si>
  <si>
    <t>31256.86</t>
  </si>
  <si>
    <t>29600.28</t>
  </si>
  <si>
    <t>30477.25</t>
  </si>
  <si>
    <t>30471.85</t>
  </si>
  <si>
    <t>30641.29</t>
  </si>
  <si>
    <t>30328.87</t>
  </si>
  <si>
    <t>30590.08</t>
  </si>
  <si>
    <t>30624.52</t>
  </si>
  <si>
    <t>31375.61</t>
  </si>
  <si>
    <t>30586.51</t>
  </si>
  <si>
    <t>31156.44</t>
  </si>
  <si>
    <t>31156.87</t>
  </si>
  <si>
    <t>31325.2</t>
  </si>
  <si>
    <t>30659.36</t>
  </si>
  <si>
    <t>30777.58</t>
  </si>
  <si>
    <t>30778.72</t>
  </si>
  <si>
    <t>30877.33</t>
  </si>
  <si>
    <t>30225.61</t>
  </si>
  <si>
    <t>30514.17</t>
  </si>
  <si>
    <t>30507.15</t>
  </si>
  <si>
    <t>31460.05</t>
  </si>
  <si>
    <t>29892.23</t>
  </si>
  <si>
    <t>29909.34</t>
  </si>
  <si>
    <t>29908.0</t>
  </si>
  <si>
    <t>30434.64</t>
  </si>
  <si>
    <t>29777.29</t>
  </si>
  <si>
    <t>30342.27</t>
  </si>
  <si>
    <t>30346.92</t>
  </si>
  <si>
    <t>30374.44</t>
  </si>
  <si>
    <t>30080.16</t>
  </si>
  <si>
    <t>30292.54</t>
  </si>
  <si>
    <t>30291.61</t>
  </si>
  <si>
    <t>30427.59</t>
  </si>
  <si>
    <t>30085.59</t>
  </si>
  <si>
    <t>30171.23</t>
  </si>
  <si>
    <t>30172.42</t>
  </si>
  <si>
    <t>31026.08</t>
  </si>
  <si>
    <t>29985.39</t>
  </si>
  <si>
    <t>30414.47</t>
  </si>
  <si>
    <t>30417.63</t>
  </si>
  <si>
    <t>30788.31</t>
  </si>
  <si>
    <t>30358.1</t>
  </si>
  <si>
    <t>30620.95</t>
  </si>
  <si>
    <t>30622.25</t>
  </si>
  <si>
    <t>30959.96</t>
  </si>
  <si>
    <t>30228.84</t>
  </si>
  <si>
    <t>30391.65</t>
  </si>
  <si>
    <t>30387.49</t>
  </si>
  <si>
    <t>31814.52</t>
  </si>
  <si>
    <t>30268.35</t>
  </si>
  <si>
    <t>31476.05</t>
  </si>
  <si>
    <t>31474.72</t>
  </si>
  <si>
    <t>31582.25</t>
  </si>
  <si>
    <t>29966.39</t>
  </si>
  <si>
    <t>30334.07</t>
  </si>
  <si>
    <t>30297.47</t>
  </si>
  <si>
    <t>30437.56</t>
  </si>
  <si>
    <t>30089.67</t>
  </si>
  <si>
    <t>30249.13</t>
  </si>
  <si>
    <t>30249.63</t>
  </si>
  <si>
    <t>30336.4</t>
  </si>
  <si>
    <t>29685.78</t>
  </si>
  <si>
    <t>30145.89</t>
  </si>
  <si>
    <t>30147.07</t>
  </si>
  <si>
    <t>30233.66</t>
  </si>
  <si>
    <t>29556.43</t>
  </si>
  <si>
    <t>29856.56</t>
  </si>
  <si>
    <t>29862.05</t>
  </si>
  <si>
    <t>30184.18</t>
  </si>
  <si>
    <t>29794.27</t>
  </si>
  <si>
    <t>29913.92</t>
  </si>
  <si>
    <t>29915.25</t>
  </si>
  <si>
    <t>30195.53</t>
  </si>
  <si>
    <t>29638.1</t>
  </si>
  <si>
    <t>29792.02</t>
  </si>
  <si>
    <t>29805.11</t>
  </si>
  <si>
    <t>30046.0</t>
  </si>
  <si>
    <t>29733.85</t>
  </si>
  <si>
    <t>29908.74</t>
  </si>
  <si>
    <t>29908.7</t>
  </si>
  <si>
    <t>29991.62</t>
  </si>
  <si>
    <t>29664.12</t>
  </si>
  <si>
    <t>29771.8</t>
  </si>
  <si>
    <t>29790.11</t>
  </si>
  <si>
    <t>30330.64</t>
  </si>
  <si>
    <t>29741.53</t>
  </si>
  <si>
    <t>30084.54</t>
  </si>
  <si>
    <t>30081.66</t>
  </si>
  <si>
    <t>30093.39</t>
  </si>
  <si>
    <t>28934.29</t>
  </si>
  <si>
    <t>29176.92</t>
  </si>
  <si>
    <t>29178.97</t>
  </si>
  <si>
    <t>29353.16</t>
  </si>
  <si>
    <t>29062.43</t>
  </si>
  <si>
    <t>29227.39</t>
  </si>
  <si>
    <t>29225.76</t>
  </si>
  <si>
    <t>29675.55</t>
  </si>
  <si>
    <t>29113.91</t>
  </si>
  <si>
    <t>29354.97</t>
  </si>
  <si>
    <t>29353.8</t>
  </si>
  <si>
    <t>29560.97</t>
  </si>
  <si>
    <t>29099.35</t>
  </si>
  <si>
    <t>29210.69</t>
  </si>
  <si>
    <t>29212.16</t>
  </si>
  <si>
    <t>29521.51</t>
  </si>
  <si>
    <t>29125.85</t>
  </si>
  <si>
    <t>29319.25</t>
  </si>
  <si>
    <t>29319.45</t>
  </si>
  <si>
    <t>29396.84</t>
  </si>
  <si>
    <t>29264.17</t>
  </si>
  <si>
    <t>29356.92</t>
  </si>
  <si>
    <t>29357.09</t>
  </si>
  <si>
    <t>29443.17</t>
  </si>
  <si>
    <t>29059.5</t>
  </si>
  <si>
    <t>29275.31</t>
  </si>
  <si>
    <t>29278.31</t>
  </si>
  <si>
    <t>29489.87</t>
  </si>
  <si>
    <t>29131.58</t>
  </si>
  <si>
    <t>29230.11</t>
  </si>
  <si>
    <t>29230.87</t>
  </si>
  <si>
    <t>29675.73</t>
  </si>
  <si>
    <t>28657.02</t>
  </si>
  <si>
    <t>29704.15</t>
  </si>
  <si>
    <t>29988.0</t>
  </si>
  <si>
    <t>28946.51</t>
  </si>
  <si>
    <t>29151.96</t>
  </si>
  <si>
    <t>29174.38</t>
  </si>
  <si>
    <t>29302.08</t>
  </si>
  <si>
    <t>28885.34</t>
  </si>
  <si>
    <t>29074.09</t>
  </si>
  <si>
    <t>29075.39</t>
  </si>
  <si>
    <t>29102.46</t>
  </si>
  <si>
    <t>28957.8</t>
  </si>
  <si>
    <t>29042.13</t>
  </si>
  <si>
    <t>29043.7</t>
  </si>
  <si>
    <t>29160.82</t>
  </si>
  <si>
    <t>28963.83</t>
  </si>
  <si>
    <t>29041.86</t>
  </si>
  <si>
    <t>29038.51</t>
  </si>
  <si>
    <t>29244.28</t>
  </si>
  <si>
    <t>28724.14</t>
  </si>
  <si>
    <t>29180.58</t>
  </si>
  <si>
    <t>29180.02</t>
  </si>
  <si>
    <t>30176.8</t>
  </si>
  <si>
    <t>29113.81</t>
  </si>
  <si>
    <t>29765.49</t>
  </si>
  <si>
    <t>29766.7</t>
  </si>
  <si>
    <t>30093.44</t>
  </si>
  <si>
    <t>29376.8</t>
  </si>
  <si>
    <t>29561.49</t>
  </si>
  <si>
    <t>29563.97</t>
  </si>
  <si>
    <t>29688.56</t>
  </si>
  <si>
    <t>29354.45</t>
  </si>
  <si>
    <t>29429.59</t>
  </si>
  <si>
    <t>29424.9</t>
  </si>
  <si>
    <t>29517.77</t>
  </si>
  <si>
    <t>29253.52</t>
  </si>
  <si>
    <t>29397.71</t>
  </si>
  <si>
    <t>29399.79</t>
  </si>
  <si>
    <t>29465.11</t>
  </si>
  <si>
    <t>29357.59</t>
  </si>
  <si>
    <t>29415.96</t>
  </si>
  <si>
    <t>29416.59</t>
  </si>
  <si>
    <t>29441.43</t>
  </si>
  <si>
    <t>29265.81</t>
  </si>
  <si>
    <t>29282.91</t>
  </si>
  <si>
    <t>29283.26</t>
  </si>
  <si>
    <t>29660.25</t>
  </si>
  <si>
    <t>29124.11</t>
  </si>
  <si>
    <t>29408.44</t>
  </si>
  <si>
    <t>29408.05</t>
  </si>
  <si>
    <t>29439.12</t>
  </si>
  <si>
    <t>29088.85</t>
  </si>
  <si>
    <t>29170.35</t>
  </si>
  <si>
    <t>29169.07</t>
  </si>
  <si>
    <t>29221.98</t>
  </si>
  <si>
    <t>28701.78</t>
  </si>
  <si>
    <t>28699.8</t>
  </si>
  <si>
    <t>28745.95</t>
  </si>
  <si>
    <t>25409.11</t>
  </si>
  <si>
    <t>26664.55</t>
  </si>
  <si>
    <t>26636.08</t>
  </si>
  <si>
    <t>26808.2</t>
  </si>
  <si>
    <t>25668.92</t>
  </si>
  <si>
    <t>26049.56</t>
  </si>
  <si>
    <t>26047.83</t>
  </si>
  <si>
    <t>26249.45</t>
  </si>
  <si>
    <t>25802.41</t>
  </si>
  <si>
    <t>26096.21</t>
  </si>
  <si>
    <t>26096.86</t>
  </si>
  <si>
    <t>26260.68</t>
  </si>
  <si>
    <t>26004.31</t>
  </si>
  <si>
    <t>26189.58</t>
  </si>
  <si>
    <t>26130.75</t>
  </si>
  <si>
    <t>26135.51</t>
  </si>
  <si>
    <t>25520.73</t>
  </si>
  <si>
    <t>26031.66</t>
  </si>
  <si>
    <t>26040.47</t>
  </si>
  <si>
    <t>26786.9</t>
  </si>
  <si>
    <t>25805.0</t>
  </si>
  <si>
    <t>26431.64</t>
  </si>
  <si>
    <t>26431.52</t>
  </si>
  <si>
    <t>26554.91</t>
  </si>
  <si>
    <t>25914.93</t>
  </si>
  <si>
    <t>26162.37</t>
  </si>
  <si>
    <t>26163.68</t>
  </si>
  <si>
    <t>26248.1</t>
  </si>
  <si>
    <t>25786.81</t>
  </si>
  <si>
    <t>26047.67</t>
  </si>
  <si>
    <t>26047.23</t>
  </si>
  <si>
    <t>26107.38</t>
  </si>
  <si>
    <t>25983.88</t>
  </si>
  <si>
    <t>26008.46</t>
  </si>
  <si>
    <t>26102.49</t>
  </si>
  <si>
    <t>28089.34</t>
  </si>
  <si>
    <t>25912.63</t>
  </si>
  <si>
    <t>27727.39</t>
  </si>
  <si>
    <t>27726.08</t>
  </si>
  <si>
    <t>27760.16</t>
  </si>
  <si>
    <t>27069.21</t>
  </si>
  <si>
    <t>27297.27</t>
  </si>
  <si>
    <t>27301.93</t>
  </si>
  <si>
    <t>27456.08</t>
  </si>
  <si>
    <t>25752.93</t>
  </si>
  <si>
    <t>25931.47</t>
  </si>
  <si>
    <t>25934.02</t>
  </si>
  <si>
    <t>26125.87</t>
  </si>
  <si>
    <t>25362.61</t>
  </si>
  <si>
    <t>25800.72</t>
  </si>
  <si>
    <t>25800.91</t>
  </si>
  <si>
    <t>25970.29</t>
  </si>
  <si>
    <t>25753.09</t>
  </si>
  <si>
    <t>25868.8</t>
  </si>
  <si>
    <t>25869.47</t>
  </si>
  <si>
    <t>26087.15</t>
  </si>
  <si>
    <t>25817.03</t>
  </si>
  <si>
    <t>25969.57</t>
  </si>
  <si>
    <t>25968.17</t>
  </si>
  <si>
    <t>26081.53</t>
  </si>
  <si>
    <t>25657.03</t>
  </si>
  <si>
    <t>25812.42</t>
  </si>
  <si>
    <t>25814.96</t>
  </si>
  <si>
    <t>25858.38</t>
  </si>
  <si>
    <t>25589.99</t>
  </si>
  <si>
    <t>25779.98</t>
  </si>
  <si>
    <t>25748.31</t>
  </si>
  <si>
    <t>26409.3</t>
  </si>
  <si>
    <t>25608.2</t>
  </si>
  <si>
    <t>26240.2</t>
  </si>
  <si>
    <t>26245.21</t>
  </si>
  <si>
    <t>26414.01</t>
  </si>
  <si>
    <t>25677.48</t>
  </si>
  <si>
    <t>25905.65</t>
  </si>
  <si>
    <t>25905.43</t>
  </si>
  <si>
    <t>25921.98</t>
  </si>
  <si>
    <t>25810.49</t>
  </si>
  <si>
    <t>25895.68</t>
  </si>
  <si>
    <t>25895.21</t>
  </si>
  <si>
    <t>25978.13</t>
  </si>
  <si>
    <t>25640.26</t>
  </si>
  <si>
    <t>25832.23</t>
  </si>
  <si>
    <t>25831.71</t>
  </si>
  <si>
    <t>25883.95</t>
  </si>
  <si>
    <t>24930.3</t>
  </si>
  <si>
    <t>25162.65</t>
  </si>
  <si>
    <t>25160.66</t>
  </si>
  <si>
    <t>26451.94</t>
  </si>
  <si>
    <t>25133.08</t>
  </si>
  <si>
    <t>25833.34</t>
  </si>
  <si>
    <t>25837.55</t>
  </si>
  <si>
    <t>26376.11</t>
  </si>
  <si>
    <t>25781.12</t>
  </si>
  <si>
    <t>26228.32</t>
  </si>
  <si>
    <t>26228.28</t>
  </si>
  <si>
    <t>26774.62</t>
  </si>
  <si>
    <t>26171.45</t>
  </si>
  <si>
    <t>26539.67</t>
  </si>
  <si>
    <t>26533.82</t>
  </si>
  <si>
    <t>26840.5</t>
  </si>
  <si>
    <t>26240.7</t>
  </si>
  <si>
    <t>26608.69</t>
  </si>
  <si>
    <t>26567.93</t>
  </si>
  <si>
    <t>26618.0</t>
  </si>
  <si>
    <t>26445.07</t>
  </si>
  <si>
    <t>26534.19</t>
  </si>
  <si>
    <t>26532.99</t>
  </si>
  <si>
    <t>27414.73</t>
  </si>
  <si>
    <t>26415.52</t>
  </si>
  <si>
    <t>26754.28</t>
  </si>
  <si>
    <t>26760.85</t>
  </si>
  <si>
    <t>27488.76</t>
  </si>
  <si>
    <t>26681.61</t>
  </si>
  <si>
    <t>27211.12</t>
  </si>
  <si>
    <t>27210.23</t>
  </si>
  <si>
    <t>27379.51</t>
  </si>
  <si>
    <t>26864.08</t>
  </si>
  <si>
    <t>27132.01</t>
  </si>
  <si>
    <t>27129.84</t>
  </si>
  <si>
    <t>27152.94</t>
  </si>
  <si>
    <t>26389.3</t>
  </si>
  <si>
    <t>26567.63</t>
  </si>
  <si>
    <t>26564.06</t>
  </si>
  <si>
    <t>26726.08</t>
  </si>
  <si>
    <t>26495.53</t>
  </si>
  <si>
    <t>26579.57</t>
  </si>
  <si>
    <t>26578.56</t>
  </si>
  <si>
    <t>26634.19</t>
  </si>
  <si>
    <t>26520.52</t>
  </si>
  <si>
    <t>26579.39</t>
  </si>
  <si>
    <t>26579.37</t>
  </si>
  <si>
    <t>26716.06</t>
  </si>
  <si>
    <t>26221.05</t>
  </si>
  <si>
    <t>26256.83</t>
  </si>
  <si>
    <t>26253.78</t>
  </si>
  <si>
    <t>26421.51</t>
  </si>
  <si>
    <t>26011.47</t>
  </si>
  <si>
    <t>26298.48</t>
  </si>
  <si>
    <t>26294.76</t>
  </si>
  <si>
    <t>26389.88</t>
  </si>
  <si>
    <t>26090.71</t>
  </si>
  <si>
    <t>26217.25</t>
  </si>
  <si>
    <t>26209.5</t>
  </si>
  <si>
    <t>26817.84</t>
  </si>
  <si>
    <t>26111.46</t>
  </si>
  <si>
    <t>26352.72</t>
  </si>
  <si>
    <t>26355.81</t>
  </si>
  <si>
    <t>27259.5</t>
  </si>
  <si>
    <t>26327.32</t>
  </si>
  <si>
    <t>27021.55</t>
  </si>
  <si>
    <t>27024.84</t>
  </si>
  <si>
    <t>27225.94</t>
  </si>
  <si>
    <t>26721.76</t>
  </si>
  <si>
    <t>26911.72</t>
  </si>
  <si>
    <t>26911.69</t>
  </si>
  <si>
    <t>27091.79</t>
  </si>
  <si>
    <t>26888.97</t>
  </si>
  <si>
    <t>26967.92</t>
  </si>
  <si>
    <t>26967.4</t>
  </si>
  <si>
    <t>28047.24</t>
  </si>
  <si>
    <t>26965.09</t>
  </si>
  <si>
    <t>27983.75</t>
  </si>
  <si>
    <t>27976.8</t>
  </si>
  <si>
    <t>28494.46</t>
  </si>
  <si>
    <t>27347.79</t>
  </si>
  <si>
    <t>27530.79</t>
  </si>
  <si>
    <t>27508.25</t>
  </si>
  <si>
    <t>27667.19</t>
  </si>
  <si>
    <t>27216.0</t>
  </si>
  <si>
    <t>27429.98</t>
  </si>
  <si>
    <t>27429.07</t>
  </si>
  <si>
    <t>27826.66</t>
  </si>
  <si>
    <t>27248.11</t>
  </si>
  <si>
    <t>27799.39</t>
  </si>
  <si>
    <t>27798.65</t>
  </si>
  <si>
    <t>28091.86</t>
  </si>
  <si>
    <t>27415.91</t>
  </si>
  <si>
    <t>27412.12</t>
  </si>
  <si>
    <t>28252.54</t>
  </si>
  <si>
    <t>27215.55</t>
  </si>
  <si>
    <t>27946.6</t>
  </si>
  <si>
    <t>27946.78</t>
  </si>
  <si>
    <t>28028.09</t>
  </si>
  <si>
    <t>27870.42</t>
  </si>
  <si>
    <t>27968.84</t>
  </si>
  <si>
    <t>27971.68</t>
  </si>
  <si>
    <t>28102.17</t>
  </si>
  <si>
    <t>27740.66</t>
  </si>
  <si>
    <t>27935.09</t>
  </si>
  <si>
    <t>27934.47</t>
  </si>
  <si>
    <t>27989.47</t>
  </si>
  <si>
    <t>27302.56</t>
  </si>
  <si>
    <t>27583.68</t>
  </si>
  <si>
    <t>27589.2</t>
  </si>
  <si>
    <t>27715.85</t>
  </si>
  <si>
    <t>27301.65</t>
  </si>
  <si>
    <t>27391.02</t>
  </si>
  <si>
    <t>27392.08</t>
  </si>
  <si>
    <t>27474.12</t>
  </si>
  <si>
    <t>26561.1</t>
  </si>
  <si>
    <t>26873.32</t>
  </si>
  <si>
    <t>26873.29</t>
  </si>
  <si>
    <t>26921.44</t>
  </si>
  <si>
    <t>26558.32</t>
  </si>
  <si>
    <t>26756.8</t>
  </si>
  <si>
    <t>26752.88</t>
  </si>
  <si>
    <t>27092.7</t>
  </si>
  <si>
    <t>26686.32</t>
  </si>
  <si>
    <t>26862.38</t>
  </si>
  <si>
    <t>26866.2</t>
  </si>
  <si>
    <t>26969.0</t>
  </si>
  <si>
    <t>26814.59</t>
  </si>
  <si>
    <t>26861.71</t>
  </si>
  <si>
    <t>26858.01</t>
  </si>
  <si>
    <t>27289.17</t>
  </si>
  <si>
    <t>26817.89</t>
  </si>
  <si>
    <t>27159.65</t>
  </si>
  <si>
    <t>27162.63</t>
  </si>
  <si>
    <t>29448.14</t>
  </si>
  <si>
    <t>27130.47</t>
  </si>
  <si>
    <t>28519.47</t>
  </si>
  <si>
    <t>28522.1</t>
  </si>
  <si>
    <t>28618.75</t>
  </si>
  <si>
    <t>28110.19</t>
  </si>
  <si>
    <t>28415.75</t>
  </si>
  <si>
    <t>28413.53</t>
  </si>
  <si>
    <t>28889.01</t>
  </si>
  <si>
    <t>28174.25</t>
  </si>
  <si>
    <t>28328.34</t>
  </si>
  <si>
    <t>28332.42</t>
  </si>
  <si>
    <t>28892.47</t>
  </si>
  <si>
    <t>28177.99</t>
  </si>
  <si>
    <t>28719.81</t>
  </si>
  <si>
    <t>28732.81</t>
  </si>
  <si>
    <t>30104.09</t>
  </si>
  <si>
    <t>28601.67</t>
  </si>
  <si>
    <t>29682.95</t>
  </si>
  <si>
    <t>29683.38</t>
  </si>
  <si>
    <t>30287.48</t>
  </si>
  <si>
    <t>29481.75</t>
  </si>
  <si>
    <t>29918.41</t>
  </si>
  <si>
    <t>29918.65</t>
  </si>
  <si>
    <t>30199.43</t>
  </si>
  <si>
    <t>29720.31</t>
  </si>
  <si>
    <t>29993.9</t>
  </si>
  <si>
    <t>30140.69</t>
  </si>
  <si>
    <t>34370.44</t>
  </si>
  <si>
    <t>30097.83</t>
  </si>
  <si>
    <t>33086.23</t>
  </si>
  <si>
    <t>33077.3</t>
  </si>
  <si>
    <t>35150.43</t>
  </si>
  <si>
    <t>32880.76</t>
  </si>
  <si>
    <t>33901.53</t>
  </si>
  <si>
    <t>33916.04</t>
  </si>
  <si>
    <t>35133.76</t>
  </si>
  <si>
    <t>33709.11</t>
  </si>
  <si>
    <t>34502.82</t>
  </si>
  <si>
    <t>34156.5</t>
  </si>
  <si>
    <t>34238.21</t>
  </si>
  <si>
    <t>33416.89</t>
  </si>
  <si>
    <t>33909.8</t>
  </si>
  <si>
    <t>33907.72</t>
  </si>
  <si>
    <t>34399.39</t>
  </si>
  <si>
    <t>33874.8</t>
  </si>
  <si>
    <t>34089.57</t>
  </si>
  <si>
    <t>34089.37</t>
  </si>
  <si>
    <t>34743.26</t>
  </si>
  <si>
    <t>33947.57</t>
  </si>
  <si>
    <t>34538.48</t>
  </si>
  <si>
    <t>34531.74</t>
  </si>
  <si>
    <t>34843.93</t>
  </si>
  <si>
    <t>34110.97</t>
  </si>
  <si>
    <t>34502.36</t>
  </si>
  <si>
    <t>34500.08</t>
  </si>
  <si>
    <t>34719.25</t>
  </si>
  <si>
    <t>34083.31</t>
  </si>
  <si>
    <t>34667.78</t>
  </si>
  <si>
    <t>34657.27</t>
  </si>
  <si>
    <t>35527.93</t>
  </si>
  <si>
    <t>34170.69</t>
  </si>
  <si>
    <t>35437.25</t>
  </si>
  <si>
    <t>35441.58</t>
  </si>
  <si>
    <t>35919.84</t>
  </si>
  <si>
    <t>34401.57</t>
  </si>
  <si>
    <t>34938.24</t>
  </si>
  <si>
    <t>34942.47</t>
  </si>
  <si>
    <t>34133.44</t>
  </si>
  <si>
    <t>34732.32</t>
  </si>
  <si>
    <t>34736.32</t>
  </si>
  <si>
    <t>35256.03</t>
  </si>
  <si>
    <t>34616.69</t>
  </si>
  <si>
    <t>35082.2</t>
  </si>
  <si>
    <t>35090.01</t>
  </si>
  <si>
    <t>35340.34</t>
  </si>
  <si>
    <t>34594.24</t>
  </si>
  <si>
    <t>35049.36</t>
  </si>
  <si>
    <t>35044.79</t>
  </si>
  <si>
    <t>35286.03</t>
  </si>
  <si>
    <t>34765.36</t>
  </si>
  <si>
    <t>35037.37</t>
  </si>
  <si>
    <t>35047.79</t>
  </si>
  <si>
    <t>35892.42</t>
  </si>
  <si>
    <t>34545.82</t>
  </si>
  <si>
    <t>35443.56</t>
  </si>
  <si>
    <t>35419.48</t>
  </si>
  <si>
    <t>35994.42</t>
  </si>
  <si>
    <t>35147.8</t>
  </si>
  <si>
    <t>35655.28</t>
  </si>
  <si>
    <t>35633.63</t>
  </si>
  <si>
    <t>37926.26</t>
  </si>
  <si>
    <t>35592.1</t>
  </si>
  <si>
    <t>36693.13</t>
  </si>
  <si>
    <t>36702.25</t>
  </si>
  <si>
    <t>37493.8</t>
  </si>
  <si>
    <t>36362.75</t>
  </si>
  <si>
    <t>37313.97</t>
  </si>
  <si>
    <t>37310.07</t>
  </si>
  <si>
    <t>37407.09</t>
  </si>
  <si>
    <t>36773.67</t>
  </si>
  <si>
    <t>37138.05</t>
  </si>
  <si>
    <t>37133.99</t>
  </si>
  <si>
    <t>37227.69</t>
  </si>
  <si>
    <t>36779.12</t>
  </si>
  <si>
    <t>37054.52</t>
  </si>
  <si>
    <t>37070.3</t>
  </si>
  <si>
    <t>37405.12</t>
  </si>
  <si>
    <t>36399.61</t>
  </si>
  <si>
    <t>36502.36</t>
  </si>
  <si>
    <t>36491.79</t>
  </si>
  <si>
    <t>36753.35</t>
  </si>
  <si>
    <t>34948.5</t>
  </si>
  <si>
    <t>35537.64</t>
  </si>
  <si>
    <t>35548.11</t>
  </si>
  <si>
    <t>37964.89</t>
  </si>
  <si>
    <t>35383.78</t>
  </si>
  <si>
    <t>37880.58</t>
  </si>
  <si>
    <t>37879.98</t>
  </si>
  <si>
    <t>37934.63</t>
  </si>
  <si>
    <t>35545.47</t>
  </si>
  <si>
    <t>36154.77</t>
  </si>
  <si>
    <t>36164.82</t>
  </si>
  <si>
    <t>36704.48</t>
  </si>
  <si>
    <t>35901.23</t>
  </si>
  <si>
    <t>36596.68</t>
  </si>
  <si>
    <t>36625.37</t>
  </si>
  <si>
    <t>36839.28</t>
  </si>
  <si>
    <t>36233.31</t>
  </si>
  <si>
    <t>36585.7</t>
  </si>
  <si>
    <t>36585.77</t>
  </si>
  <si>
    <t>37509.36</t>
  </si>
  <si>
    <t>36414.6</t>
  </si>
  <si>
    <t>37386.55</t>
  </si>
  <si>
    <t>37374.07</t>
  </si>
  <si>
    <t>37756.82</t>
  </si>
  <si>
    <t>36882.53</t>
  </si>
  <si>
    <t>37476.96</t>
  </si>
  <si>
    <t>37469.16</t>
  </si>
  <si>
    <t>37631.14</t>
  </si>
  <si>
    <t>35813.81</t>
  </si>
  <si>
    <t>35756.55</t>
  </si>
  <si>
    <t>37856.98</t>
  </si>
  <si>
    <t>35670.97</t>
  </si>
  <si>
    <t>37432.34</t>
  </si>
  <si>
    <t>37420.43</t>
  </si>
  <si>
    <t>37643.92</t>
  </si>
  <si>
    <t>36923.86</t>
  </si>
  <si>
    <t>37289.62</t>
  </si>
  <si>
    <t>37296.32</t>
  </si>
  <si>
    <t>38415.34</t>
  </si>
  <si>
    <t>37261.61</t>
  </si>
  <si>
    <t>37720.28</t>
  </si>
  <si>
    <t>37721.41</t>
  </si>
  <si>
    <t>37892.43</t>
  </si>
  <si>
    <t>37617.42</t>
  </si>
  <si>
    <t>37796.79</t>
  </si>
  <si>
    <t>37796.83</t>
  </si>
  <si>
    <t>37820.3</t>
  </si>
  <si>
    <t>37162.75</t>
  </si>
  <si>
    <t>37479.12</t>
  </si>
  <si>
    <t>37454.19</t>
  </si>
  <si>
    <t>37559.36</t>
  </si>
  <si>
    <t>36750.13</t>
  </si>
  <si>
    <t>37254.17</t>
  </si>
  <si>
    <t>37247.99</t>
  </si>
  <si>
    <t>38368.48</t>
  </si>
  <si>
    <t>36891.09</t>
  </si>
  <si>
    <t>37831.09</t>
  </si>
  <si>
    <t>37826.11</t>
  </si>
  <si>
    <t>38366.11</t>
  </si>
  <si>
    <t>37612.63</t>
  </si>
  <si>
    <t>37858.49</t>
  </si>
  <si>
    <t>37861.12</t>
  </si>
  <si>
    <t>38141.75</t>
  </si>
  <si>
    <t>37531.14</t>
  </si>
  <si>
    <t>37712.75</t>
  </si>
  <si>
    <t>37718.01</t>
  </si>
  <si>
    <t>38954.11</t>
  </si>
  <si>
    <t>37629.36</t>
  </si>
  <si>
    <t>38688.75</t>
  </si>
  <si>
    <t>38689.28</t>
  </si>
  <si>
    <t>39678.94</t>
  </si>
  <si>
    <t>38652.59</t>
  </si>
  <si>
    <t>39476.33</t>
  </si>
  <si>
    <t>39472.21</t>
  </si>
  <si>
    <t>40135.61</t>
  </si>
  <si>
    <t>39298.16</t>
  </si>
  <si>
    <t>39978.39</t>
  </si>
  <si>
    <t>39978.63</t>
  </si>
  <si>
    <t>42371.75</t>
  </si>
  <si>
    <t>41980.1</t>
  </si>
  <si>
    <t>41986.27</t>
  </si>
  <si>
    <t>44408.66</t>
  </si>
  <si>
    <t>41421.15</t>
  </si>
  <si>
    <t>44080.65</t>
  </si>
  <si>
    <t>44080.02</t>
  </si>
  <si>
    <t>44265.77</t>
  </si>
  <si>
    <t>43478.08</t>
  </si>
  <si>
    <t>43746.45</t>
  </si>
  <si>
    <t>43769.13</t>
  </si>
  <si>
    <t>44042.59</t>
  </si>
  <si>
    <t>42880.65</t>
  </si>
  <si>
    <t>43292.66</t>
  </si>
  <si>
    <t>43293.14</t>
  </si>
  <si>
    <t>44705.52</t>
  </si>
  <si>
    <t>43125.3</t>
  </si>
  <si>
    <t>44166.6</t>
  </si>
  <si>
    <t>44180.02</t>
  </si>
  <si>
    <t>44361.26</t>
  </si>
  <si>
    <t>43627.6</t>
  </si>
  <si>
    <t>43725.98</t>
  </si>
  <si>
    <t>43728.38</t>
  </si>
  <si>
    <t>44034.63</t>
  </si>
  <si>
    <t>43593.29</t>
  </si>
  <si>
    <t>43779.7</t>
  </si>
  <si>
    <t>43792.02</t>
  </si>
  <si>
    <t>43808.38</t>
  </si>
  <si>
    <t>40234.58</t>
  </si>
  <si>
    <t>41243.83</t>
  </si>
  <si>
    <t>41238.73</t>
  </si>
  <si>
    <t>42048.3</t>
  </si>
  <si>
    <t>40667.56</t>
  </si>
  <si>
    <t>41450.22</t>
  </si>
  <si>
    <t>41468.46</t>
  </si>
  <si>
    <t>43429.78</t>
  </si>
  <si>
    <t>40676.87</t>
  </si>
  <si>
    <t>42890.74</t>
  </si>
  <si>
    <t>41937.74</t>
  </si>
  <si>
    <t>42664.95</t>
  </si>
  <si>
    <t>41723.11</t>
  </si>
  <si>
    <t>42240.12</t>
  </si>
  <si>
    <t>42236.11</t>
  </si>
  <si>
    <t>42359.5</t>
  </si>
  <si>
    <t>41274.54</t>
  </si>
  <si>
    <t>41364.66</t>
  </si>
  <si>
    <t>41348.2</t>
  </si>
  <si>
    <t>42720.3</t>
  </si>
  <si>
    <t>40530.26</t>
  </si>
  <si>
    <t>42623.54</t>
  </si>
  <si>
    <t>42641.51</t>
  </si>
  <si>
    <t>43354.3</t>
  </si>
  <si>
    <t>41826.34</t>
  </si>
  <si>
    <t>42270.53</t>
  </si>
  <si>
    <t>42261.3</t>
  </si>
  <si>
    <t>44275.59</t>
  </si>
  <si>
    <t>42223.82</t>
  </si>
  <si>
    <t>43652.25</t>
  </si>
  <si>
    <t>43648.13</t>
  </si>
  <si>
    <t>44240.67</t>
  </si>
  <si>
    <t>43330.05</t>
  </si>
  <si>
    <t>43869.15</t>
  </si>
  <si>
    <t>43868.99</t>
  </si>
  <si>
    <t>44367.96</t>
  </si>
  <si>
    <t>43441.97</t>
  </si>
  <si>
    <t>43997.9</t>
  </si>
  <si>
    <t>44012.2</t>
  </si>
  <si>
    <t>44015.7</t>
  </si>
  <si>
    <t>43351.36</t>
  </si>
  <si>
    <t>43739.54</t>
  </si>
  <si>
    <t>43728.37</t>
  </si>
  <si>
    <t>43945.52</t>
  </si>
  <si>
    <t>42786.92</t>
  </si>
  <si>
    <t>43016.12</t>
  </si>
  <si>
    <t>43010.57</t>
  </si>
  <si>
    <t>43765.09</t>
  </si>
  <si>
    <t>42765.77</t>
  </si>
  <si>
    <t>43613.14</t>
  </si>
  <si>
    <t>43599.85</t>
  </si>
  <si>
    <t>43603.18</t>
  </si>
  <si>
    <t>41676.49</t>
  </si>
  <si>
    <t>42520.4</t>
  </si>
  <si>
    <t>42518.47</t>
  </si>
  <si>
    <t>43683.16</t>
  </si>
  <si>
    <t>42167.58</t>
  </si>
  <si>
    <t>43442.86</t>
  </si>
  <si>
    <t>42614.64</t>
  </si>
  <si>
    <t>43124.32</t>
  </si>
  <si>
    <t>41424.06</t>
  </si>
  <si>
    <t>42099.4</t>
  </si>
  <si>
    <t>42091.75</t>
  </si>
  <si>
    <t>42584.13</t>
  </si>
  <si>
    <t>41556.23</t>
  </si>
  <si>
    <t>42156.9</t>
  </si>
  <si>
    <t>42152.1</t>
  </si>
  <si>
    <t>42860.94</t>
  </si>
  <si>
    <t>41998.25</t>
  </si>
  <si>
    <t>42265.19</t>
  </si>
  <si>
    <t>42280.23</t>
  </si>
  <si>
    <t>44175.44</t>
  </si>
  <si>
    <t>42214.98</t>
  </si>
  <si>
    <t>44167.33</t>
  </si>
  <si>
    <t>44187.14</t>
  </si>
  <si>
    <t>45899.71</t>
  </si>
  <si>
    <t>44176.95</t>
  </si>
  <si>
    <t>44957.97</t>
  </si>
  <si>
    <t>44961.6</t>
  </si>
  <si>
    <t>45503.24</t>
  </si>
  <si>
    <t>40813.54</t>
  </si>
  <si>
    <t>42848.18</t>
  </si>
  <si>
    <t>42855.82</t>
  </si>
  <si>
    <t>44770.02</t>
  </si>
  <si>
    <t>42675.18</t>
  </si>
  <si>
    <t>44179.92</t>
  </si>
  <si>
    <t>44192.98</t>
  </si>
  <si>
    <t>44353.29</t>
  </si>
  <si>
    <t>42784.72</t>
  </si>
  <si>
    <t>44162.69</t>
  </si>
  <si>
    <t>44178.95</t>
  </si>
  <si>
    <t>44227.63</t>
  </si>
  <si>
    <t>43475.16</t>
  </si>
  <si>
    <t>43989.2</t>
  </si>
  <si>
    <t>43998.46</t>
  </si>
  <si>
    <t>44495.57</t>
  </si>
  <si>
    <t>43662.23</t>
  </si>
  <si>
    <t>43943.1</t>
  </si>
  <si>
    <t>43948.71</t>
  </si>
  <si>
    <t>47218.0</t>
  </si>
  <si>
    <t>43244.08</t>
  </si>
  <si>
    <t>46970.5</t>
  </si>
  <si>
    <t>46987.64</t>
  </si>
  <si>
    <t>47893.7</t>
  </si>
  <si>
    <t>45244.71</t>
  </si>
  <si>
    <t>46139.73</t>
  </si>
  <si>
    <t>46121.54</t>
  </si>
  <si>
    <t>47647.22</t>
  </si>
  <si>
    <t>44483.15</t>
  </si>
  <si>
    <t>46627.78</t>
  </si>
  <si>
    <t>46656.07</t>
  </si>
  <si>
    <t>48969.37</t>
  </si>
  <si>
    <t>45678.64</t>
  </si>
  <si>
    <t>46368.59</t>
  </si>
  <si>
    <t>46354.79</t>
  </si>
  <si>
    <t>46498.14</t>
  </si>
  <si>
    <t>41903.77</t>
  </si>
  <si>
    <t>42853.17</t>
  </si>
  <si>
    <t>42799.45</t>
  </si>
  <si>
    <t>43234.66</t>
  </si>
  <si>
    <t>42464.14</t>
  </si>
  <si>
    <t>42842.38</t>
  </si>
  <si>
    <t>42842.26</t>
  </si>
  <si>
    <t>43065.6</t>
  </si>
  <si>
    <t>41724.61</t>
  </si>
  <si>
    <t>41796.27</t>
  </si>
  <si>
    <t>41715.07</t>
  </si>
  <si>
    <t>43319.72</t>
  </si>
  <si>
    <t>41705.42</t>
  </si>
  <si>
    <t>42511.97</t>
  </si>
  <si>
    <t>42499.34</t>
  </si>
  <si>
    <t>43566.27</t>
  </si>
  <si>
    <t>42086.0</t>
  </si>
  <si>
    <t>43154.95</t>
  </si>
  <si>
    <t>43132.1</t>
  </si>
  <si>
    <t>43189.89</t>
  </si>
  <si>
    <t>42189.31</t>
  </si>
  <si>
    <t>42742.65</t>
  </si>
  <si>
    <t>42742.31</t>
  </si>
  <si>
    <t>42876.35</t>
  </si>
  <si>
    <t>40631.17</t>
  </si>
  <si>
    <t>41262.06</t>
  </si>
  <si>
    <t>41278.46</t>
  </si>
  <si>
    <t>42134.16</t>
  </si>
  <si>
    <t>40297.46</t>
  </si>
  <si>
    <t>41618.41</t>
  </si>
  <si>
    <t>41624.59</t>
  </si>
  <si>
    <t>41877.89</t>
  </si>
  <si>
    <t>41446.82</t>
  </si>
  <si>
    <t>41665.59</t>
  </si>
  <si>
    <t>41671.49</t>
  </si>
  <si>
    <t>41855.37</t>
  </si>
  <si>
    <t>41497.01</t>
  </si>
  <si>
    <t>41545.79</t>
  </si>
  <si>
    <t>41553.65</t>
  </si>
  <si>
    <t>41651.21</t>
  </si>
  <si>
    <t>39450.12</t>
  </si>
  <si>
    <t>39507.37</t>
  </si>
  <si>
    <t>39518.71</t>
  </si>
  <si>
    <t>40127.35</t>
  </si>
  <si>
    <t>38521.89</t>
  </si>
  <si>
    <t>39845.55</t>
  </si>
  <si>
    <t>39877.59</t>
  </si>
  <si>
    <t>40483.79</t>
  </si>
  <si>
    <t>39508.8</t>
  </si>
  <si>
    <t>40077.07</t>
  </si>
  <si>
    <t>40075.55</t>
  </si>
  <si>
    <t>40254.48</t>
  </si>
  <si>
    <t>39545.66</t>
  </si>
  <si>
    <t>39933.81</t>
  </si>
  <si>
    <t>39936.82</t>
  </si>
  <si>
    <t>42209.39</t>
  </si>
  <si>
    <t>39825.69</t>
  </si>
  <si>
    <t>41816.87</t>
  </si>
  <si>
    <t>41815.63</t>
  </si>
  <si>
    <t>42195.63</t>
  </si>
  <si>
    <t>41431.28</t>
  </si>
  <si>
    <t>42120.05</t>
  </si>
  <si>
    <t>42126.13</t>
  </si>
  <si>
    <t>42797.18</t>
  </si>
  <si>
    <t>41696.91</t>
  </si>
  <si>
    <t>42035.59</t>
  </si>
  <si>
    <t>42030.91</t>
  </si>
  <si>
    <t>43305.87</t>
  </si>
  <si>
    <t>41818.33</t>
  </si>
  <si>
    <t>43288.25</t>
  </si>
  <si>
    <t>42946.25</t>
  </si>
  <si>
    <t>43717.41</t>
  </si>
  <si>
    <t>42298.95</t>
  </si>
  <si>
    <t>42582.61</t>
  </si>
  <si>
    <t>42569.76</t>
  </si>
  <si>
    <t>43243.17</t>
  </si>
  <si>
    <t>41879.19</t>
  </si>
  <si>
    <t>43075.77</t>
  </si>
  <si>
    <t>43077.64</t>
  </si>
  <si>
    <t>43422.49</t>
  </si>
  <si>
    <t>42584.34</t>
  </si>
  <si>
    <t>43185.86</t>
  </si>
  <si>
    <t>43184.96</t>
  </si>
  <si>
    <t>43359.94</t>
  </si>
  <si>
    <t>42890.81</t>
  </si>
  <si>
    <t>42992.25</t>
  </si>
  <si>
    <t>42994.94</t>
  </si>
  <si>
    <t>43097.64</t>
  </si>
  <si>
    <t>42374.83</t>
  </si>
  <si>
    <t>42583.58</t>
  </si>
  <si>
    <t>42577.62</t>
  </si>
  <si>
    <t>43494.25</t>
  </si>
  <si>
    <t>42264.82</t>
  </si>
  <si>
    <t>42658.67</t>
  </si>
  <si>
    <t>42657.39</t>
  </si>
  <si>
    <t>43344.15</t>
  </si>
  <si>
    <t>42529.02</t>
  </si>
  <si>
    <t>43084.67</t>
  </si>
  <si>
    <t>43090.02</t>
  </si>
  <si>
    <t>44341.95</t>
  </si>
  <si>
    <t>42775.96</t>
  </si>
  <si>
    <t>44318.22</t>
  </si>
  <si>
    <t>45297.38</t>
  </si>
  <si>
    <t>48152.5</t>
  </si>
  <si>
    <t>45260.82</t>
  </si>
  <si>
    <t>47147.2</t>
  </si>
  <si>
    <t>47768.97</t>
  </si>
  <si>
    <t>48535.94</t>
  </si>
  <si>
    <t>47617.41</t>
  </si>
  <si>
    <t>48293.92</t>
  </si>
  <si>
    <t>49941.36</t>
  </si>
  <si>
    <t>50358.39</t>
  </si>
  <si>
    <t>48406.5</t>
  </si>
  <si>
    <t>49742.44</t>
  </si>
  <si>
    <t>49733.45</t>
  </si>
  <si>
    <t>52021.37</t>
  </si>
  <si>
    <t>49296.83</t>
  </si>
  <si>
    <t>51826.7</t>
  </si>
  <si>
    <t>51836.79</t>
  </si>
  <si>
    <t>52820.07</t>
  </si>
  <si>
    <t>51371.63</t>
  </si>
  <si>
    <t>51938.55</t>
  </si>
  <si>
    <t>51937.73</t>
  </si>
  <si>
    <t>52537.97</t>
  </si>
  <si>
    <t>51641.37</t>
  </si>
  <si>
    <t>52160.2</t>
  </si>
  <si>
    <t>52161.68</t>
  </si>
  <si>
    <t>52191.91</t>
  </si>
  <si>
    <t>50669.67</t>
  </si>
  <si>
    <t>51663.0</t>
  </si>
  <si>
    <t>51661.97</t>
  </si>
  <si>
    <t>52356.96</t>
  </si>
  <si>
    <t>51233.71</t>
  </si>
  <si>
    <t>52122.55</t>
  </si>
  <si>
    <t>52134.81</t>
  </si>
  <si>
    <t>52483.32</t>
  </si>
  <si>
    <t>51711.82</t>
  </si>
  <si>
    <t>51779.14</t>
  </si>
  <si>
    <t>51777.73</t>
  </si>
  <si>
    <t>52376.94</t>
  </si>
  <si>
    <t>51334.23</t>
  </si>
  <si>
    <t>52246.38</t>
  </si>
  <si>
    <t>Technical Assessment Appendix</t>
  </si>
  <si>
    <t>Illustrative case data and model scaffolding for the Financial Markets / Stablecoin Treasury role.</t>
  </si>
  <si>
    <t>How to use this workbook</t>
  </si>
  <si>
    <t>Scope</t>
  </si>
  <si>
    <t>All numerical inputs are simulated for assessment purposes only.</t>
  </si>
  <si>
    <t>Expected use</t>
  </si>
  <si>
    <t>Candidates may modify formulas, assumptions, layouts, and add extra tabs if useful. Yellow cells are intended starting points for user input.</t>
  </si>
  <si>
    <t>Sheets</t>
  </si>
  <si>
    <t>FX Hedge, Reserve Trust, CrossChain Arb.</t>
  </si>
  <si>
    <t>Conventions</t>
  </si>
  <si>
    <t>Blue text = hardcoded candidate inputs; black = formulas; gray = case data / constants.</t>
  </si>
  <si>
    <t>Submission</t>
  </si>
  <si>
    <t>Return the completed workbook together with a short memo / PDF and any code used.</t>
  </si>
  <si>
    <t>Reference map</t>
  </si>
  <si>
    <t>Sheet</t>
  </si>
  <si>
    <t>Primary purpose</t>
  </si>
  <si>
    <t>What the candidate will likely modify</t>
  </si>
  <si>
    <t>2.1 FX Hedge</t>
  </si>
  <si>
    <t>USDCOP exposure map, forward / NDF curve, and scenario hedge P&amp;L</t>
  </si>
  <si>
    <t>Hedge ratios, execution logic, and scenario interpretation</t>
  </si>
  <si>
    <t>2.2 Reserve Trust</t>
  </si>
  <si>
    <t>Reserve asset universe and compliance checker for COP reserves</t>
  </si>
  <si>
    <t>Eligibility decisions, target weights, and policy thresholds</t>
  </si>
  <si>
    <t>2.3 Cross-Chain Arbitrage</t>
  </si>
  <si>
    <t>Cross-chain inventories and AMM pool analytics for wUSD/USDC</t>
  </si>
  <si>
    <t>Trade sizing, rebalancing plan, and bot logic support</t>
  </si>
  <si>
    <t>Appendix 2.1 — FX Hedge Case (USDCOP)</t>
  </si>
  <si>
    <t>Objective: quantify weekly FX exposure and compare hedge programs using spot / NDF logic.</t>
  </si>
  <si>
    <t>Case facts</t>
  </si>
  <si>
    <t>Core market inputs</t>
  </si>
  <si>
    <t>NDF curve and spot scenarios</t>
  </si>
  <si>
    <t>• Functional reporting currency for the treasury desk is USD.</t>
  </si>
  <si>
    <t>Spot USDCOP</t>
  </si>
  <si>
    <t>Hedge P&amp;L</t>
  </si>
  <si>
    <t>Base Fixing</t>
  </si>
  <si>
    <t>Bull COP</t>
  </si>
  <si>
    <t>Stress COP</t>
  </si>
  <si>
    <t>• Positive 'Net COP requirement' means the desk must buy COP (sell USD). Negative means the desk is naturally long COP.</t>
  </si>
  <si>
    <t>FX tolerance band</t>
  </si>
  <si>
    <t>Fully Static Hedge</t>
  </si>
  <si>
    <t>• Assume NDF cash settlement against the fixing on each settlement date.</t>
  </si>
  <si>
    <t>Dealer max single ticket (USD)</t>
  </si>
  <si>
    <t>Layered  Hedge</t>
  </si>
  <si>
    <t>• Candidates may override or extend the starter hedge model.</t>
  </si>
  <si>
    <t>Starter hedge ratio</t>
  </si>
  <si>
    <t>Ruled - based Dynamic Hedge</t>
  </si>
  <si>
    <t>Candidate hedge program starter</t>
  </si>
  <si>
    <t>Week</t>
  </si>
  <si>
    <t>Settle date</t>
  </si>
  <si>
    <t>USDC mint
(USD)</t>
  </si>
  <si>
    <t>USDC redeem
(USD)</t>
  </si>
  <si>
    <t>Reserve income
(USD)</t>
  </si>
  <si>
    <t>USD vendor / hedge cash
(USD)</t>
  </si>
  <si>
    <t>COP mint
(COP)</t>
  </si>
  <si>
    <t>COP redeem
(COP)</t>
  </si>
  <si>
    <t>COP opex + tax
(COP)</t>
  </si>
  <si>
    <t>USD funding before hedge</t>
  </si>
  <si>
    <t>Net COP requirement</t>
  </si>
  <si>
    <t>USD eq. COP requirement</t>
  </si>
  <si>
    <t>Residual USD after COP need</t>
  </si>
  <si>
    <t>Indicative NDF</t>
  </si>
  <si>
    <t>Bid/ask spread
(COP)</t>
  </si>
  <si>
    <t>Base fixing</t>
  </si>
  <si>
    <t>Ticket cap
(USD)</t>
  </si>
  <si>
    <t>USD eq. exposure</t>
  </si>
  <si>
    <t>Hedge ratio
(input)</t>
  </si>
  <si>
    <t>Hedge notional
(USD)</t>
  </si>
  <si>
    <t>Direction</t>
  </si>
  <si>
    <t>Base P&amp;L
(USD)</t>
  </si>
  <si>
    <t>Bull P&amp;L
(USD)</t>
  </si>
  <si>
    <t>Stress P&amp;L
(USD)</t>
  </si>
  <si>
    <t>Layered Hedge</t>
  </si>
  <si>
    <t>Ruled-based dynamic Hedge</t>
  </si>
  <si>
    <t>06-04-2026</t>
  </si>
  <si>
    <t>13-04-2026</t>
  </si>
  <si>
    <t>20-04-2026</t>
  </si>
  <si>
    <t>27-04-2026</t>
  </si>
  <si>
    <t>04-05-2026</t>
  </si>
  <si>
    <t>11-05-2026</t>
  </si>
  <si>
    <t>18-05-2026</t>
  </si>
  <si>
    <t>25-05-2026</t>
  </si>
  <si>
    <t>Total</t>
  </si>
  <si>
    <t>Total hedge P&amp;L</t>
  </si>
  <si>
    <t>1° Exposure Map</t>
  </si>
  <si>
    <t>2° Three hedge approaches comparison</t>
  </si>
  <si>
    <t>Assume as given the following interest rates, 365 days</t>
  </si>
  <si>
    <t>Cost Of Carry Base</t>
  </si>
  <si>
    <t>Cost of Carry Stress</t>
  </si>
  <si>
    <t>P&amp;L Base</t>
  </si>
  <si>
    <t>P&amp;L Stress</t>
  </si>
  <si>
    <t>SOFR</t>
  </si>
  <si>
    <t>IBR</t>
  </si>
  <si>
    <t>Spot</t>
  </si>
  <si>
    <t>NDF var from S</t>
  </si>
  <si>
    <t>week 1 to 8</t>
  </si>
  <si>
    <t xml:space="preserve">Mean </t>
  </si>
  <si>
    <t>Std</t>
  </si>
  <si>
    <t>Min</t>
  </si>
  <si>
    <t>Max</t>
  </si>
  <si>
    <t>Mean</t>
  </si>
  <si>
    <t>Variance</t>
  </si>
  <si>
    <t>Stdv</t>
  </si>
  <si>
    <t>USD eq. COP req</t>
  </si>
  <si>
    <t>Base Fixing return</t>
  </si>
  <si>
    <t>USD reserv inc</t>
  </si>
  <si>
    <t>Bull COP return</t>
  </si>
  <si>
    <t>USD Hedge Cash</t>
  </si>
  <si>
    <t>Stress COP return</t>
  </si>
  <si>
    <t>USD surplus</t>
  </si>
  <si>
    <r>
      <rPr>
        <b/>
        <sz val="10"/>
        <color rgb="FF16324F"/>
        <rFont val="Calibri"/>
      </rPr>
      <t>COP surplus</t>
    </r>
    <r>
      <rPr>
        <b/>
        <vertAlign val="superscript"/>
        <sz val="10"/>
        <color rgb="FF16324F"/>
        <rFont val="Calibri"/>
      </rPr>
      <t xml:space="preserve"> </t>
    </r>
    <r>
      <rPr>
        <b/>
        <vertAlign val="subscript"/>
        <sz val="10"/>
        <color rgb="FF16324F"/>
        <rFont val="Calibri"/>
      </rPr>
      <t>\*</t>
    </r>
  </si>
  <si>
    <t>VaR estimation</t>
  </si>
  <si>
    <t>\* millions</t>
  </si>
  <si>
    <t>Non Hedge</t>
  </si>
  <si>
    <t>Hedge (70%)</t>
  </si>
  <si>
    <t>VaR (95%)</t>
  </si>
  <si>
    <t>VaR / Hedge Cash</t>
  </si>
  <si>
    <t>VaR / Reserv Inc</t>
  </si>
  <si>
    <t>Position</t>
  </si>
  <si>
    <t>Rates</t>
  </si>
  <si>
    <t>Value</t>
  </si>
  <si>
    <t>USD</t>
  </si>
  <si>
    <t>OIS</t>
  </si>
  <si>
    <t>COP</t>
  </si>
  <si>
    <t>TRM</t>
  </si>
  <si>
    <t>TIB</t>
  </si>
  <si>
    <r>
      <rPr>
        <b/>
        <sz val="10"/>
        <color rgb="FF16324F"/>
        <rFont val="Calibri"/>
      </rPr>
      <t xml:space="preserve">Exposure </t>
    </r>
    <r>
      <rPr>
        <b/>
        <sz val="8"/>
        <color rgb="FF16324F"/>
        <rFont val="Calibri"/>
      </rPr>
      <t>(USD to DO)</t>
    </r>
  </si>
  <si>
    <t>DTF</t>
  </si>
  <si>
    <t xml:space="preserve">NDF </t>
  </si>
  <si>
    <t>Indicative</t>
  </si>
  <si>
    <t>Tbills</t>
  </si>
  <si>
    <t>Week 1</t>
  </si>
  <si>
    <t>Week 2</t>
  </si>
  <si>
    <t>Week 3</t>
  </si>
  <si>
    <t>Limits</t>
  </si>
  <si>
    <t>Threshold</t>
  </si>
  <si>
    <t>Week 4+</t>
  </si>
  <si>
    <t>Max exposure</t>
  </si>
  <si>
    <t>Hedge ratio</t>
  </si>
  <si>
    <t>VaR (99%) week</t>
  </si>
  <si>
    <t>Market</t>
  </si>
  <si>
    <t>USDCOP</t>
  </si>
  <si>
    <t>BID</t>
  </si>
  <si>
    <t>ASK</t>
  </si>
  <si>
    <t>Spread</t>
  </si>
  <si>
    <t>VWAP</t>
  </si>
  <si>
    <t>Daily Volume (M)</t>
  </si>
  <si>
    <t>Avg Daily Volume</t>
  </si>
  <si>
    <t>Appendix 2.2 — Reserve Trust &amp; Investment Manual Case</t>
  </si>
  <si>
    <t>Objective: define an eligible reserve universe and test whether the reserve mix satisfies key policy constraints.</t>
  </si>
  <si>
    <t>Outstanding liabilities and thresholds</t>
  </si>
  <si>
    <t>• The company issues one COP stablecoin.</t>
  </si>
  <si>
    <t>COP tokens outstanding</t>
  </si>
  <si>
    <t>• Reserve assets must preserve capital, meet redemptions, and remain operationally simple for a trust structure.</t>
  </si>
  <si>
    <t>COP estimated same-day reds.</t>
  </si>
  <si>
    <t>• Candidates may change the policy thresholds if justified, but must explain why.</t>
  </si>
  <si>
    <t>COP min same-day liquidity</t>
  </si>
  <si>
    <t>COP max WAL (days)</t>
  </si>
  <si>
    <t>Scenario 1</t>
  </si>
  <si>
    <t>COP min h/c adj. coverage</t>
  </si>
  <si>
    <t>Asset / instrument</t>
  </si>
  <si>
    <t>Ccy</t>
  </si>
  <si>
    <t>Counterparty</t>
  </si>
  <si>
    <t>Yield</t>
  </si>
  <si>
    <t>WAL
(days)</t>
  </si>
  <si>
    <t>Same-day
liq.</t>
  </si>
  <si>
    <t>Haircut</t>
  </si>
  <si>
    <t>Internal cap</t>
  </si>
  <si>
    <t>Status
(input)</t>
  </si>
  <si>
    <t>USD wt.
(input)</t>
  </si>
  <si>
    <t>COP wt.
(input)</t>
  </si>
  <si>
    <t>Eff. USD wt.</t>
  </si>
  <si>
    <t>Eff. COP wt.</t>
  </si>
  <si>
    <t>Notes</t>
  </si>
  <si>
    <t>Local bank sight cash</t>
  </si>
  <si>
    <t>Tier-1 local bank</t>
  </si>
  <si>
    <t>Allowed</t>
  </si>
  <si>
    <t>COP money market fund</t>
  </si>
  <si>
    <t>AAA MMF</t>
  </si>
  <si>
    <t>Compliance checker</t>
  </si>
  <si>
    <t>TES 0-90d</t>
  </si>
  <si>
    <t>Colombia sovereign</t>
  </si>
  <si>
    <t>Limited</t>
  </si>
  <si>
    <t>COP weights = 100%</t>
  </si>
  <si>
    <t>Collateralized COP repo</t>
  </si>
  <si>
    <t>Primary dealer</t>
  </si>
  <si>
    <t>COP weighted yield</t>
  </si>
  <si>
    <t>COP term deposit 30d</t>
  </si>
  <si>
    <t>COP same-day liq.</t>
  </si>
  <si>
    <t>Unsecured finance co. deposit</t>
  </si>
  <si>
    <t>Finance company</t>
  </si>
  <si>
    <t>COP weighted WAL</t>
  </si>
  <si>
    <t>COP h/c adj. cov.</t>
  </si>
  <si>
    <t>Scenario 2</t>
  </si>
  <si>
    <t>Metric</t>
  </si>
  <si>
    <t xml:space="preserve">Value </t>
  </si>
  <si>
    <t>Status</t>
  </si>
  <si>
    <t>Exclude</t>
  </si>
  <si>
    <t xml:space="preserve">Excluded by the liquidty maintaince principles </t>
  </si>
  <si>
    <t>HQLA</t>
  </si>
  <si>
    <t xml:space="preserve">Liquidty </t>
  </si>
  <si>
    <t>Seggragation</t>
  </si>
  <si>
    <t>x</t>
  </si>
  <si>
    <t>+</t>
  </si>
  <si>
    <t>Appendix 2.3 — Cross-chain Liquidity &amp; On-chain Arbitrage Case</t>
  </si>
  <si>
    <t>Objective: rebalance COPW inventories across chains and test whether AMM deviations are worth trading.</t>
  </si>
  <si>
    <t>• The desk can bridge between chains through a central hub. Positive transfer values mean inventory is sent out to the hub; negative values mean the chain receives inventory from the hub.</t>
  </si>
  <si>
    <t>• For AMM trades, compare net P&amp;L against mint / redeem at $1.00, then layer bridge costs separately if a route requires cross-chain movement.</t>
  </si>
  <si>
    <t>• Ignore MEV and failed-transaction risk unless you explicitly choose to model them.</t>
  </si>
  <si>
    <t>Chain inventory and transfer planner</t>
  </si>
  <si>
    <t>AMM pool analytics (COPW / tCOPW)</t>
  </si>
  <si>
    <t>Chain</t>
  </si>
  <si>
    <t>Start COPW (in USD)</t>
  </si>
  <si>
    <t>Start tCOPW</t>
  </si>
  <si>
    <t>Target min COPW</t>
  </si>
  <si>
    <t>Target max tCOPW</t>
  </si>
  <si>
    <t>Net COPW transfer
(+out / -in)</t>
  </si>
  <si>
    <t>Net tCOPW transfer
(+out / -in)</t>
  </si>
  <si>
    <t>End COPW</t>
  </si>
  <si>
    <t>End tCOPW</t>
  </si>
  <si>
    <t>Bridge bps</t>
  </si>
  <si>
    <t>Fixed bridge $</t>
  </si>
  <si>
    <t>In-band?</t>
  </si>
  <si>
    <t>Est. bridge cost</t>
  </si>
  <si>
    <t>COPW reserve</t>
  </si>
  <si>
    <t>tCOPW reserve</t>
  </si>
  <si>
    <t>Pool mid px</t>
  </si>
  <si>
    <t>LP fee bps</t>
  </si>
  <si>
    <t>Gas $</t>
  </si>
  <si>
    <t>tCOPW in
(buy tCOPW)</t>
  </si>
  <si>
    <t>COPW out</t>
  </si>
  <si>
    <t>Net P&amp;L
vs redeem</t>
  </si>
  <si>
    <t>COPW in
(sell COPW)</t>
  </si>
  <si>
    <t>tCOPW out</t>
  </si>
  <si>
    <t>Net P&amp;L
vs mint</t>
  </si>
  <si>
    <t>Ethereum</t>
  </si>
  <si>
    <t>Amount</t>
  </si>
  <si>
    <t>Base</t>
  </si>
  <si>
    <t>Polygon</t>
  </si>
  <si>
    <t>Solana</t>
  </si>
  <si>
    <t>Bridge cost helper</t>
  </si>
  <si>
    <t>Total bridge cost</t>
  </si>
  <si>
    <t>Actions</t>
  </si>
  <si>
    <t>1 = transfer in</t>
  </si>
  <si>
    <t>-1 = transfer out</t>
  </si>
  <si>
    <t>0 = do nothing</t>
  </si>
  <si>
    <t>Hub qty</t>
  </si>
  <si>
    <t>On-chain qty</t>
  </si>
  <si>
    <t>Target hub min qty</t>
  </si>
  <si>
    <t>Target On-chain max qty</t>
  </si>
  <si>
    <t>Hub action</t>
  </si>
  <si>
    <t>Hub req qty</t>
  </si>
  <si>
    <t>Available funds alert</t>
  </si>
  <si>
    <t>On-chain action</t>
  </si>
  <si>
    <t>On-chain surpl qty</t>
  </si>
  <si>
    <t>Hub transfer qty</t>
  </si>
  <si>
    <t>On-chain transfer qty</t>
  </si>
  <si>
    <t>Target Hub max qty</t>
  </si>
  <si>
    <t>Volume</t>
  </si>
  <si>
    <t>9965.57</t>
  </si>
  <si>
    <t>9858.15</t>
  </si>
  <si>
    <t>9818.35</t>
  </si>
  <si>
    <t>9813.07</t>
  </si>
  <si>
    <t>9795.7</t>
  </si>
  <si>
    <t>9743.86</t>
  </si>
  <si>
    <t>0.0</t>
  </si>
  <si>
    <t>9700.76</t>
  </si>
  <si>
    <t>9697.5</t>
  </si>
  <si>
    <t>372.24</t>
  </si>
  <si>
    <t>9664.73</t>
  </si>
  <si>
    <t>9654.8</t>
  </si>
  <si>
    <t>380.78</t>
  </si>
  <si>
    <t>9653.68</t>
  </si>
  <si>
    <t>9578.63</t>
  </si>
  <si>
    <t>9552.86</t>
  </si>
  <si>
    <t>9527.16</t>
  </si>
  <si>
    <t>9510.2</t>
  </si>
  <si>
    <t>302.56</t>
  </si>
  <si>
    <t>9494.63</t>
  </si>
  <si>
    <t>9419.08</t>
  </si>
  <si>
    <t>9395.01</t>
  </si>
  <si>
    <t>9373.01</t>
  </si>
  <si>
    <t>937.52</t>
  </si>
  <si>
    <t>9360.88</t>
  </si>
  <si>
    <t>9358.59</t>
  </si>
  <si>
    <t>9348.48</t>
  </si>
  <si>
    <t>9337.55</t>
  </si>
  <si>
    <t>9330.55</t>
  </si>
  <si>
    <t>373.07</t>
  </si>
  <si>
    <t>9325.18</t>
  </si>
  <si>
    <t>9316.63</t>
  </si>
  <si>
    <t>9313.61</t>
  </si>
  <si>
    <t>9303.63</t>
  </si>
  <si>
    <t>9240.55</t>
  </si>
  <si>
    <t>9235.92</t>
  </si>
  <si>
    <t>9234.82</t>
  </si>
  <si>
    <t>921.59</t>
  </si>
  <si>
    <t>338.65</t>
  </si>
  <si>
    <t>9205.12</t>
  </si>
  <si>
    <t>329.05</t>
  </si>
  <si>
    <t>9194.85</t>
  </si>
  <si>
    <t>919.75</t>
  </si>
  <si>
    <t>9174.91</t>
  </si>
  <si>
    <t>9170.54</t>
  </si>
  <si>
    <t>9159.04</t>
  </si>
  <si>
    <t>9123.41</t>
  </si>
  <si>
    <t>9119.01</t>
  </si>
  <si>
    <t>9043.94</t>
  </si>
  <si>
    <t>9003.07</t>
  </si>
  <si>
    <t>371.31</t>
  </si>
  <si>
    <t>8987.05</t>
  </si>
  <si>
    <t>8930.88</t>
  </si>
  <si>
    <t>8929.28</t>
  </si>
  <si>
    <t>8926.57</t>
  </si>
  <si>
    <t>399.65</t>
  </si>
  <si>
    <t>8913.47</t>
  </si>
  <si>
    <t>374.73</t>
  </si>
  <si>
    <t>8895.58</t>
  </si>
  <si>
    <t>8879.62</t>
  </si>
  <si>
    <t>8869.67</t>
  </si>
  <si>
    <t>8845.83</t>
  </si>
  <si>
    <t>8845.74</t>
  </si>
  <si>
    <t>8830.75</t>
  </si>
  <si>
    <t>8802.46</t>
  </si>
  <si>
    <t>8790.92</t>
  </si>
  <si>
    <t>8736.98</t>
  </si>
  <si>
    <t>8723.94</t>
  </si>
  <si>
    <t>8716.79</t>
  </si>
  <si>
    <t>8668.12</t>
  </si>
  <si>
    <t>8660.7</t>
  </si>
  <si>
    <t>864.54</t>
  </si>
  <si>
    <t>375.51</t>
  </si>
  <si>
    <t>8630.65</t>
  </si>
  <si>
    <t>8621.9</t>
  </si>
  <si>
    <t>379.25</t>
  </si>
  <si>
    <t>8598.31</t>
  </si>
  <si>
    <t>8596.83</t>
  </si>
  <si>
    <t>8595.74</t>
  </si>
  <si>
    <t>8513.25</t>
  </si>
  <si>
    <t>8510.38</t>
  </si>
  <si>
    <t>8504.89</t>
  </si>
  <si>
    <t>8495.78</t>
  </si>
  <si>
    <t>8441.49</t>
  </si>
  <si>
    <t>8424.27</t>
  </si>
  <si>
    <t>344.34</t>
  </si>
  <si>
    <t>8418.99</t>
  </si>
  <si>
    <t>8368.83</t>
  </si>
  <si>
    <t>8338.35</t>
  </si>
  <si>
    <t>8329.11</t>
  </si>
  <si>
    <t>8300.86</t>
  </si>
  <si>
    <t>8294.31</t>
  </si>
  <si>
    <t>8277.01</t>
  </si>
  <si>
    <t>8269.81</t>
  </si>
  <si>
    <t>8265.59</t>
  </si>
  <si>
    <t>8253.69</t>
  </si>
  <si>
    <t>8253.55</t>
  </si>
  <si>
    <t>8250.97</t>
  </si>
  <si>
    <t>8247.18</t>
  </si>
  <si>
    <t>8223.68</t>
  </si>
  <si>
    <t>322.67</t>
  </si>
  <si>
    <t>8218.46</t>
  </si>
  <si>
    <t>8209.4</t>
  </si>
  <si>
    <t>312.63</t>
  </si>
  <si>
    <t>8200.64</t>
  </si>
  <si>
    <t>316.16</t>
  </si>
  <si>
    <t>8192.15</t>
  </si>
  <si>
    <t>8181.39</t>
  </si>
  <si>
    <t>8180.48</t>
  </si>
  <si>
    <t>8165.01</t>
  </si>
  <si>
    <t>8163.42</t>
  </si>
  <si>
    <t>8151.5</t>
  </si>
  <si>
    <t>315.15</t>
  </si>
  <si>
    <t>8129.97</t>
  </si>
  <si>
    <t>287.23</t>
  </si>
  <si>
    <t>8094.32</t>
  </si>
  <si>
    <t>8071.26</t>
  </si>
  <si>
    <t>8058.67</t>
  </si>
  <si>
    <t>8041.78</t>
  </si>
  <si>
    <t>8038.77</t>
  </si>
  <si>
    <t>8036.49</t>
  </si>
  <si>
    <t>8000.33</t>
  </si>
  <si>
    <t>7986.24</t>
  </si>
  <si>
    <t>265.2</t>
  </si>
  <si>
    <t>7954.48</t>
  </si>
  <si>
    <t>7951.58</t>
  </si>
  <si>
    <t>171.51</t>
  </si>
  <si>
    <t>7916.88</t>
  </si>
  <si>
    <t>7911.43</t>
  </si>
  <si>
    <t>209.07</t>
  </si>
  <si>
    <t>7902.09</t>
  </si>
  <si>
    <t>790.53</t>
  </si>
  <si>
    <t>200.05</t>
  </si>
  <si>
    <t>7895.96</t>
  </si>
  <si>
    <t>7871.69</t>
  </si>
  <si>
    <t>7833.04</t>
  </si>
  <si>
    <t>7790.15</t>
  </si>
  <si>
    <t>7780.44</t>
  </si>
  <si>
    <t>774.65</t>
  </si>
  <si>
    <t>232.7</t>
  </si>
  <si>
    <t>248.21</t>
  </si>
  <si>
    <t>7720.25</t>
  </si>
  <si>
    <t>243.89</t>
  </si>
  <si>
    <t>7711.11</t>
  </si>
  <si>
    <t>7708.99</t>
  </si>
  <si>
    <t>1.07E+08</t>
  </si>
  <si>
    <t>275.48</t>
  </si>
  <si>
    <t>770.81</t>
  </si>
  <si>
    <t>7678.24</t>
  </si>
  <si>
    <t>7653.98</t>
  </si>
  <si>
    <t>7643.45</t>
  </si>
  <si>
    <t>7642.75</t>
  </si>
  <si>
    <t>7633.76</t>
  </si>
  <si>
    <t>7624.92</t>
  </si>
  <si>
    <t>7624.91</t>
  </si>
  <si>
    <t>7621.3</t>
  </si>
  <si>
    <t>7587.34</t>
  </si>
  <si>
    <t>230.51</t>
  </si>
  <si>
    <t>758.7</t>
  </si>
  <si>
    <t>7569.63</t>
  </si>
  <si>
    <t>7567.15</t>
  </si>
  <si>
    <t>7557.82</t>
  </si>
  <si>
    <t>7541.45</t>
  </si>
  <si>
    <t>7531.98</t>
  </si>
  <si>
    <t>7514.47</t>
  </si>
  <si>
    <t>7494.17</t>
  </si>
  <si>
    <t>7480.14</t>
  </si>
  <si>
    <t>7472.59</t>
  </si>
  <si>
    <t>7466.86</t>
  </si>
  <si>
    <t>7459.69</t>
  </si>
  <si>
    <t>7456.11</t>
  </si>
  <si>
    <t>1.27E+10</t>
  </si>
  <si>
    <t>7434.39</t>
  </si>
  <si>
    <t>7.89E+09</t>
  </si>
  <si>
    <t>7419.29</t>
  </si>
  <si>
    <t>1.45E+10</t>
  </si>
  <si>
    <t>7418.49</t>
  </si>
  <si>
    <t>1.52E+10</t>
  </si>
  <si>
    <t>7407.41</t>
  </si>
  <si>
    <t>1.33E+10</t>
  </si>
  <si>
    <t>7406.52</t>
  </si>
  <si>
    <t>1.57E+10</t>
  </si>
  <si>
    <t>7379.95</t>
  </si>
  <si>
    <t>1.47E+10</t>
  </si>
  <si>
    <t>7370.78</t>
  </si>
  <si>
    <t>1.48E+10</t>
  </si>
  <si>
    <t>27252.32</t>
  </si>
  <si>
    <t>27317.05</t>
  </si>
  <si>
    <t>7368.22</t>
  </si>
  <si>
    <t>8.39E+09</t>
  </si>
  <si>
    <t>7361.66</t>
  </si>
  <si>
    <t>9.36E+09</t>
  </si>
  <si>
    <t>7355.88</t>
  </si>
  <si>
    <t>2.15E+10</t>
  </si>
  <si>
    <t>7354.13</t>
  </si>
  <si>
    <t>2.19E+10</t>
  </si>
  <si>
    <t>7321.04</t>
  </si>
  <si>
    <t>1.95E+10</t>
  </si>
  <si>
    <t>7317.99</t>
  </si>
  <si>
    <t>1.19E+10</t>
  </si>
  <si>
    <t>7315.54</t>
  </si>
  <si>
    <t>1.1E+10</t>
  </si>
  <si>
    <t>7278.12</t>
  </si>
  <si>
    <t>1.99E+10</t>
  </si>
  <si>
    <t>25854.03</t>
  </si>
  <si>
    <t>26203.44</t>
  </si>
  <si>
    <t>25668.99</t>
  </si>
  <si>
    <t>7272.72</t>
  </si>
  <si>
    <t>1.07E+10</t>
  </si>
  <si>
    <t>7260.06</t>
  </si>
  <si>
    <t>1.17E+10</t>
  </si>
  <si>
    <t>7207.76</t>
  </si>
  <si>
    <t>7193.25</t>
  </si>
  <si>
    <t>7165.7</t>
  </si>
  <si>
    <t>7144.38</t>
  </si>
  <si>
    <t>249.87</t>
  </si>
  <si>
    <t>7143.58</t>
  </si>
  <si>
    <t>255.88</t>
  </si>
  <si>
    <t>7135.99</t>
  </si>
  <si>
    <t>7096.28</t>
  </si>
  <si>
    <t>255.65</t>
  </si>
  <si>
    <t>7083.8</t>
  </si>
  <si>
    <t>259.59</t>
  </si>
  <si>
    <t>7078.5</t>
  </si>
  <si>
    <t>7068.48</t>
  </si>
  <si>
    <t>7047.16</t>
  </si>
  <si>
    <t>249.19</t>
  </si>
  <si>
    <t>7037.58</t>
  </si>
  <si>
    <t>7032.85</t>
  </si>
  <si>
    <t>7023.52</t>
  </si>
  <si>
    <t>7022.76</t>
  </si>
  <si>
    <t>252.74</t>
  </si>
  <si>
    <t>240.85</t>
  </si>
  <si>
    <t>6985.47</t>
  </si>
  <si>
    <t>6978.23</t>
  </si>
  <si>
    <t>248.73</t>
  </si>
  <si>
    <t>6973.53</t>
  </si>
  <si>
    <t>241.16</t>
  </si>
  <si>
    <t>6955.27</t>
  </si>
  <si>
    <t>6951.8</t>
  </si>
  <si>
    <t>6932.48</t>
  </si>
  <si>
    <t>251.1</t>
  </si>
  <si>
    <t>6911.09</t>
  </si>
  <si>
    <t>6906.92</t>
  </si>
  <si>
    <t>6890.52</t>
  </si>
  <si>
    <t>6884.64</t>
  </si>
  <si>
    <t>688.7</t>
  </si>
  <si>
    <t>239.4</t>
  </si>
  <si>
    <t>6856.93</t>
  </si>
  <si>
    <t>6853.84</t>
  </si>
  <si>
    <t>6844.23</t>
  </si>
  <si>
    <t>6834.76</t>
  </si>
  <si>
    <t>235.95</t>
  </si>
  <si>
    <t>6811.47</t>
  </si>
  <si>
    <t>6792.83</t>
  </si>
  <si>
    <t>6786.02</t>
  </si>
  <si>
    <t>6776.55</t>
  </si>
  <si>
    <t>6773.88</t>
  </si>
  <si>
    <t>6770.73</t>
  </si>
  <si>
    <t>6769.94</t>
  </si>
  <si>
    <t>6767.31</t>
  </si>
  <si>
    <t>224.62</t>
  </si>
  <si>
    <t>6763.19</t>
  </si>
  <si>
    <t>6753.12</t>
  </si>
  <si>
    <t>235.97</t>
  </si>
  <si>
    <t>6741.75</t>
  </si>
  <si>
    <t>226.41</t>
  </si>
  <si>
    <t>6734.95</t>
  </si>
  <si>
    <t>6734.82</t>
  </si>
  <si>
    <t>6729.74</t>
  </si>
  <si>
    <t>227.04</t>
  </si>
  <si>
    <t>223.43</t>
  </si>
  <si>
    <t>6721.98</t>
  </si>
  <si>
    <t>6719.96</t>
  </si>
  <si>
    <t>6716.44</t>
  </si>
  <si>
    <t>6710.63</t>
  </si>
  <si>
    <t>234.88</t>
  </si>
  <si>
    <t>243.24</t>
  </si>
  <si>
    <t>6707.26</t>
  </si>
  <si>
    <t>237.81</t>
  </si>
  <si>
    <t>6676.75</t>
  </si>
  <si>
    <t>6675.35</t>
  </si>
  <si>
    <t>6673.5</t>
  </si>
  <si>
    <t>6652.23</t>
  </si>
  <si>
    <t>6644.13</t>
  </si>
  <si>
    <t>6642.64</t>
  </si>
  <si>
    <t>244.27</t>
  </si>
  <si>
    <t>6642.11</t>
  </si>
  <si>
    <t>6639.14</t>
  </si>
  <si>
    <t>6636.32</t>
  </si>
  <si>
    <t>6635.75</t>
  </si>
  <si>
    <t>6625.56</t>
  </si>
  <si>
    <t>6622.48</t>
  </si>
  <si>
    <t>236.01</t>
  </si>
  <si>
    <t>6618.14</t>
  </si>
  <si>
    <t>237.21</t>
  </si>
  <si>
    <t>232.46</t>
  </si>
  <si>
    <t>6614.18</t>
  </si>
  <si>
    <t>6602.95</t>
  </si>
  <si>
    <t>231.89</t>
  </si>
  <si>
    <t>6601.96</t>
  </si>
  <si>
    <t>235.06</t>
  </si>
  <si>
    <t>6597.55</t>
  </si>
  <si>
    <t>6596.54</t>
  </si>
  <si>
    <t>6596.11</t>
  </si>
  <si>
    <t>6595.41</t>
  </si>
  <si>
    <t>6589.62</t>
  </si>
  <si>
    <t>6588.31</t>
  </si>
  <si>
    <t>6585.53</t>
  </si>
  <si>
    <t>6582.36</t>
  </si>
  <si>
    <t>6576.69</t>
  </si>
  <si>
    <t>6568.23</t>
  </si>
  <si>
    <t>6559.49</t>
  </si>
  <si>
    <t>6556.1</t>
  </si>
  <si>
    <t>223.93</t>
  </si>
  <si>
    <t>6550.16</t>
  </si>
  <si>
    <t>6544.43</t>
  </si>
  <si>
    <t>6543.2</t>
  </si>
  <si>
    <t>6534.88</t>
  </si>
  <si>
    <t>6529.59</t>
  </si>
  <si>
    <t>6529.17</t>
  </si>
  <si>
    <t>228.01</t>
  </si>
  <si>
    <t>6519.67</t>
  </si>
  <si>
    <t>6517.31</t>
  </si>
  <si>
    <t>6517.18</t>
  </si>
  <si>
    <t>229.92</t>
  </si>
  <si>
    <t>229.21</t>
  </si>
  <si>
    <t>6512.71</t>
  </si>
  <si>
    <t>6506.07</t>
  </si>
  <si>
    <t>6502.59</t>
  </si>
  <si>
    <t>650.96</t>
  </si>
  <si>
    <t>6499.27</t>
  </si>
  <si>
    <t>6495.84</t>
  </si>
  <si>
    <t>244.53</t>
  </si>
  <si>
    <t>64949.96</t>
  </si>
  <si>
    <t>245.1</t>
  </si>
  <si>
    <t>649.36</t>
  </si>
  <si>
    <t>6489.19</t>
  </si>
  <si>
    <t>6488.76</t>
  </si>
  <si>
    <t>6487.16</t>
  </si>
  <si>
    <t>6486.39</t>
  </si>
  <si>
    <t>6482.35</t>
  </si>
  <si>
    <t>6480.38</t>
  </si>
  <si>
    <t>6476.71</t>
  </si>
  <si>
    <t>6476.29</t>
  </si>
  <si>
    <t>6475.74</t>
  </si>
  <si>
    <t>6474.75</t>
  </si>
  <si>
    <t>6468.4</t>
  </si>
  <si>
    <t>6467.07</t>
  </si>
  <si>
    <t>254.2</t>
  </si>
  <si>
    <t>6465.41</t>
  </si>
  <si>
    <t>6461.01</t>
  </si>
  <si>
    <t>267.6</t>
  </si>
  <si>
    <t>6456.58</t>
  </si>
  <si>
    <t>6453.72</t>
  </si>
  <si>
    <t>6446.47</t>
  </si>
  <si>
    <t>284.88</t>
  </si>
  <si>
    <t>283.53</t>
  </si>
  <si>
    <t>6423.76</t>
  </si>
  <si>
    <t>293.14</t>
  </si>
  <si>
    <t>6419.66</t>
  </si>
  <si>
    <t>6411.27</t>
  </si>
  <si>
    <t>6409.22</t>
  </si>
  <si>
    <t>275.24</t>
  </si>
  <si>
    <t>6398.54</t>
  </si>
  <si>
    <t>280.28</t>
  </si>
  <si>
    <t>6394.71</t>
  </si>
  <si>
    <t>639.89</t>
  </si>
  <si>
    <t>275.67</t>
  </si>
  <si>
    <t>6388.44</t>
  </si>
  <si>
    <t>272.96</t>
  </si>
  <si>
    <t>6385.82</t>
  </si>
  <si>
    <t>6385.62</t>
  </si>
  <si>
    <t>6377.78</t>
  </si>
  <si>
    <t>6376.71</t>
  </si>
  <si>
    <t>6376.13</t>
  </si>
  <si>
    <t>6371.3</t>
  </si>
  <si>
    <t>288.64</t>
  </si>
  <si>
    <t>6371.27</t>
  </si>
  <si>
    <t>287.45</t>
  </si>
  <si>
    <t>637.96</t>
  </si>
  <si>
    <t>6361.26</t>
  </si>
  <si>
    <t>6359.64</t>
  </si>
  <si>
    <t>6359.49</t>
  </si>
  <si>
    <t>6357.6</t>
  </si>
  <si>
    <t>6351.8</t>
  </si>
  <si>
    <t>6349.9</t>
  </si>
  <si>
    <t>6334.73</t>
  </si>
  <si>
    <t>6334.27</t>
  </si>
  <si>
    <t>260.71</t>
  </si>
  <si>
    <t>6332.63</t>
  </si>
  <si>
    <t>6329.95</t>
  </si>
  <si>
    <t>6329.7</t>
  </si>
  <si>
    <t>6322.69</t>
  </si>
  <si>
    <t>6321.2</t>
  </si>
  <si>
    <t>6317.61</t>
  </si>
  <si>
    <t>262.44</t>
  </si>
  <si>
    <t>63109.7</t>
  </si>
  <si>
    <t>258.49</t>
  </si>
  <si>
    <t>6308.53</t>
  </si>
  <si>
    <t>6308.52</t>
  </si>
  <si>
    <t>6305.8</t>
  </si>
  <si>
    <t>6300.86</t>
  </si>
  <si>
    <t>630.52</t>
  </si>
  <si>
    <t>225.58</t>
  </si>
  <si>
    <t>6295.73</t>
  </si>
  <si>
    <t>6290.93</t>
  </si>
  <si>
    <t>6285.99</t>
  </si>
  <si>
    <t>226.05</t>
  </si>
  <si>
    <t>6281.2</t>
  </si>
  <si>
    <t>6276.12</t>
  </si>
  <si>
    <t>227.33</t>
  </si>
  <si>
    <t>6274.58</t>
  </si>
  <si>
    <t>6256.24</t>
  </si>
  <si>
    <t>6249.18</t>
  </si>
  <si>
    <t>226.86</t>
  </si>
  <si>
    <t>6238.05</t>
  </si>
  <si>
    <t>6228.81</t>
  </si>
  <si>
    <t>6225.98</t>
  </si>
  <si>
    <t>230.9</t>
  </si>
  <si>
    <t>234.87</t>
  </si>
  <si>
    <t>6218.3</t>
  </si>
  <si>
    <t>6199.71</t>
  </si>
  <si>
    <t>6184.71</t>
  </si>
  <si>
    <t>6173.23</t>
  </si>
  <si>
    <t>6162.48</t>
  </si>
  <si>
    <t>232.44</t>
  </si>
  <si>
    <t>6157.13</t>
  </si>
  <si>
    <t>230.25</t>
  </si>
  <si>
    <t>6153.85</t>
  </si>
  <si>
    <t>61452.23</t>
  </si>
  <si>
    <t>230.91</t>
  </si>
  <si>
    <t>6130.53</t>
  </si>
  <si>
    <t>61125.68</t>
  </si>
  <si>
    <t>6093.67</t>
  </si>
  <si>
    <t>6083.69</t>
  </si>
  <si>
    <t>60692.27</t>
  </si>
  <si>
    <t>236.64</t>
  </si>
  <si>
    <t>606.59</t>
  </si>
  <si>
    <t>237.94</t>
  </si>
  <si>
    <t>6031.6</t>
  </si>
  <si>
    <t>60204.96</t>
  </si>
  <si>
    <t>246.17</t>
  </si>
  <si>
    <t>6011.45</t>
  </si>
  <si>
    <t>6008.42</t>
  </si>
  <si>
    <t>243.74</t>
  </si>
  <si>
    <t>245.2</t>
  </si>
  <si>
    <t>5930.32</t>
  </si>
  <si>
    <t>592.69</t>
  </si>
  <si>
    <t>264.82</t>
  </si>
  <si>
    <t>5904.83</t>
  </si>
  <si>
    <t>5903.44</t>
  </si>
  <si>
    <t>270.77</t>
  </si>
  <si>
    <t>589.12</t>
  </si>
  <si>
    <t>285.3</t>
  </si>
  <si>
    <t>280.51</t>
  </si>
  <si>
    <t>318.17</t>
  </si>
  <si>
    <t>313.94</t>
  </si>
  <si>
    <t>5831.79</t>
  </si>
  <si>
    <t>365.36</t>
  </si>
  <si>
    <t>1.02E+08</t>
  </si>
  <si>
    <t>417.9</t>
  </si>
  <si>
    <t>2.06E+08</t>
  </si>
  <si>
    <t>2.64E+08</t>
  </si>
  <si>
    <t>1.52E+08</t>
  </si>
  <si>
    <t>1.23E+08</t>
  </si>
  <si>
    <t>368.7</t>
  </si>
  <si>
    <t>5780.9</t>
  </si>
  <si>
    <t>339.82</t>
  </si>
  <si>
    <t>57750.18</t>
  </si>
  <si>
    <t>577.47</t>
  </si>
  <si>
    <t>5768.29</t>
  </si>
  <si>
    <t>329.97</t>
  </si>
  <si>
    <t>317.49</t>
  </si>
  <si>
    <t>338.35</t>
  </si>
  <si>
    <t>5753.09</t>
  </si>
  <si>
    <t>330.64</t>
  </si>
  <si>
    <t>5750.8</t>
  </si>
  <si>
    <t>575.63</t>
  </si>
  <si>
    <t>327.01</t>
  </si>
  <si>
    <t>324.35</t>
  </si>
  <si>
    <t>321.29</t>
  </si>
  <si>
    <t>574.63</t>
  </si>
  <si>
    <t>316.77</t>
  </si>
  <si>
    <t>5738.35</t>
  </si>
  <si>
    <t>1.06E+08</t>
  </si>
  <si>
    <t>347.87</t>
  </si>
  <si>
    <t>57332.09</t>
  </si>
  <si>
    <t>5725.59</t>
  </si>
  <si>
    <t>57229.83</t>
  </si>
  <si>
    <t>5708.52</t>
  </si>
  <si>
    <t>57005.43</t>
  </si>
  <si>
    <t>389.95</t>
  </si>
  <si>
    <t>5678.19</t>
  </si>
  <si>
    <t>423.12</t>
  </si>
  <si>
    <t>567.24</t>
  </si>
  <si>
    <t>1.11E+08</t>
  </si>
  <si>
    <t>5648.03</t>
  </si>
  <si>
    <t>1.32E+08</t>
  </si>
  <si>
    <t>431.66</t>
  </si>
  <si>
    <t>441.68</t>
  </si>
  <si>
    <t>1.3E+08</t>
  </si>
  <si>
    <t>5647.21</t>
  </si>
  <si>
    <t>1.08E+08</t>
  </si>
  <si>
    <t>457.86</t>
  </si>
  <si>
    <t>454.94</t>
  </si>
  <si>
    <t>5623.54</t>
  </si>
  <si>
    <t>5605.51</t>
  </si>
  <si>
    <t>436.72</t>
  </si>
  <si>
    <t>405.76</t>
  </si>
  <si>
    <t>1.16E+08</t>
  </si>
  <si>
    <t>5590.69</t>
  </si>
  <si>
    <t>433.3</t>
  </si>
  <si>
    <t>5575.55</t>
  </si>
  <si>
    <t>431.87</t>
  </si>
  <si>
    <t>5554.33</t>
  </si>
  <si>
    <t>5526.64</t>
  </si>
  <si>
    <t>454.64</t>
  </si>
  <si>
    <t>435.69</t>
  </si>
  <si>
    <t>1.74E+08</t>
  </si>
  <si>
    <t>5446.91</t>
  </si>
  <si>
    <t>1.53E+08</t>
  </si>
  <si>
    <t>1.2E+08</t>
  </si>
  <si>
    <t>387.73</t>
  </si>
  <si>
    <t>379.74</t>
  </si>
  <si>
    <t>536.92</t>
  </si>
  <si>
    <t>1.22E+08</t>
  </si>
  <si>
    <t>406.3</t>
  </si>
  <si>
    <t>410.41</t>
  </si>
  <si>
    <t>387.51</t>
  </si>
  <si>
    <t>530.04</t>
  </si>
  <si>
    <t>5235.56</t>
  </si>
  <si>
    <t>369.35</t>
  </si>
  <si>
    <t>372.92</t>
  </si>
  <si>
    <t>374.95</t>
  </si>
  <si>
    <t>383.13</t>
  </si>
  <si>
    <t>379.6</t>
  </si>
  <si>
    <t>50809.52</t>
  </si>
  <si>
    <t>391.86</t>
  </si>
  <si>
    <t>407.23</t>
  </si>
  <si>
    <t>422.73</t>
  </si>
  <si>
    <t>5014.48</t>
  </si>
  <si>
    <t>425.55</t>
  </si>
  <si>
    <t>49958.22</t>
  </si>
  <si>
    <t>421.62</t>
  </si>
  <si>
    <t>423.82</t>
  </si>
  <si>
    <t>1.35E+08</t>
  </si>
  <si>
    <t>49150.54</t>
  </si>
  <si>
    <t>4892.01</t>
  </si>
  <si>
    <t>1.05E+08</t>
  </si>
  <si>
    <t>418.68</t>
  </si>
  <si>
    <t>418.08</t>
  </si>
  <si>
    <t>4871.49</t>
  </si>
  <si>
    <t>418.14</t>
  </si>
  <si>
    <t>4826.48</t>
  </si>
  <si>
    <t>416.76</t>
  </si>
  <si>
    <t>421.58</t>
  </si>
  <si>
    <t>4781.99</t>
  </si>
  <si>
    <t>423.62</t>
  </si>
  <si>
    <t>47771.28</t>
  </si>
  <si>
    <t>4772.02</t>
  </si>
  <si>
    <t>47465.73</t>
  </si>
  <si>
    <t>436.02</t>
  </si>
  <si>
    <t>449.81</t>
  </si>
  <si>
    <t>444.15</t>
  </si>
  <si>
    <t>450.56</t>
  </si>
  <si>
    <t>466.62</t>
  </si>
  <si>
    <t>436.65</t>
  </si>
  <si>
    <t>4703.39</t>
  </si>
  <si>
    <t>445.63</t>
  </si>
  <si>
    <t>449.25</t>
  </si>
  <si>
    <t>454.85</t>
  </si>
  <si>
    <t>458.2</t>
  </si>
  <si>
    <t>447.1</t>
  </si>
  <si>
    <t>443.93</t>
  </si>
  <si>
    <t>1.65E+08</t>
  </si>
  <si>
    <t>4610.48</t>
  </si>
  <si>
    <t>1.81E+08</t>
  </si>
  <si>
    <t>553.96</t>
  </si>
  <si>
    <t>1.49E+08</t>
  </si>
  <si>
    <t>4602.17</t>
  </si>
  <si>
    <t>1.38E+08</t>
  </si>
  <si>
    <t>543.08</t>
  </si>
  <si>
    <t>4597.12</t>
  </si>
  <si>
    <t>4582.96</t>
  </si>
  <si>
    <t>586.47</t>
  </si>
  <si>
    <t>4579.02</t>
  </si>
  <si>
    <t>4578.77</t>
  </si>
  <si>
    <t>573.13</t>
  </si>
  <si>
    <t>4565.3</t>
  </si>
  <si>
    <t>2.77E+08</t>
  </si>
  <si>
    <t>455.67</t>
  </si>
  <si>
    <t>2.43E+08</t>
  </si>
  <si>
    <t>45301.57</t>
  </si>
  <si>
    <t>1.87E+08</t>
  </si>
  <si>
    <t>453.23</t>
  </si>
  <si>
    <t>2.72E+08</t>
  </si>
  <si>
    <t>3.63E+08</t>
  </si>
  <si>
    <t>777.99</t>
  </si>
  <si>
    <t>2.53E+08</t>
  </si>
  <si>
    <t>1.36E+08</t>
  </si>
  <si>
    <t>1.75E+08</t>
  </si>
  <si>
    <t>639.07</t>
  </si>
  <si>
    <t>3.1E+08</t>
  </si>
  <si>
    <t>678.67</t>
  </si>
  <si>
    <t>2.66E+08</t>
  </si>
  <si>
    <t>2.24E+08</t>
  </si>
  <si>
    <t>4451.87</t>
  </si>
  <si>
    <t>1.27E+08</t>
  </si>
  <si>
    <t>665.98</t>
  </si>
  <si>
    <t>1.09E+08</t>
  </si>
  <si>
    <t>1.42E+08</t>
  </si>
  <si>
    <t>1.39E+08</t>
  </si>
  <si>
    <t>1.34E+08</t>
  </si>
  <si>
    <t>4426.89</t>
  </si>
  <si>
    <t>1.12E+08</t>
  </si>
  <si>
    <t>678.09</t>
  </si>
  <si>
    <t>2.58E+08</t>
  </si>
  <si>
    <t>4409.32</t>
  </si>
  <si>
    <t>4403.74</t>
  </si>
  <si>
    <t>1.03E+08</t>
  </si>
  <si>
    <t>644.98</t>
  </si>
  <si>
    <t>668.7</t>
  </si>
  <si>
    <t>1.31E+08</t>
  </si>
  <si>
    <t>659.04</t>
  </si>
  <si>
    <t>666.46</t>
  </si>
  <si>
    <t>663.36</t>
  </si>
  <si>
    <t>4382.88</t>
  </si>
  <si>
    <t>4382.66</t>
  </si>
  <si>
    <t>655.41</t>
  </si>
  <si>
    <t>663.11</t>
  </si>
  <si>
    <t>4376.63</t>
  </si>
  <si>
    <t>1.18E+08</t>
  </si>
  <si>
    <t>4376.53</t>
  </si>
  <si>
    <t>2.25E+08</t>
  </si>
  <si>
    <t>1.47E+08</t>
  </si>
  <si>
    <t>4371.6</t>
  </si>
  <si>
    <t>4370.81</t>
  </si>
  <si>
    <t>655.1</t>
  </si>
  <si>
    <t>4365.94</t>
  </si>
  <si>
    <t>3.31E+08</t>
  </si>
  <si>
    <t>573.36</t>
  </si>
  <si>
    <t>2.08E+08</t>
  </si>
  <si>
    <t>1.25E+08</t>
  </si>
  <si>
    <t>4352.4</t>
  </si>
  <si>
    <t>575.03</t>
  </si>
  <si>
    <t>4347.11</t>
  </si>
  <si>
    <t>4338.71</t>
  </si>
  <si>
    <t>4334.68</t>
  </si>
  <si>
    <t>589.91</t>
  </si>
  <si>
    <t>4331.69</t>
  </si>
  <si>
    <t>573.58</t>
  </si>
  <si>
    <t>563.24</t>
  </si>
  <si>
    <t>4328.41</t>
  </si>
  <si>
    <t>4325.13</t>
  </si>
  <si>
    <t>571.43</t>
  </si>
  <si>
    <t>573.43</t>
  </si>
  <si>
    <t>4317.48</t>
  </si>
  <si>
    <t>583.59</t>
  </si>
  <si>
    <t>580.18</t>
  </si>
  <si>
    <t>431.96</t>
  </si>
  <si>
    <t>568.63</t>
  </si>
  <si>
    <t>569.83</t>
  </si>
  <si>
    <t>569.74</t>
  </si>
  <si>
    <t>1.1E+08</t>
  </si>
  <si>
    <t>42952.61</t>
  </si>
  <si>
    <t>572.41</t>
  </si>
  <si>
    <t>599.5</t>
  </si>
  <si>
    <t>1.59E+08</t>
  </si>
  <si>
    <t>598.59</t>
  </si>
  <si>
    <t>608.99</t>
  </si>
  <si>
    <t>610.83</t>
  </si>
  <si>
    <t>628.77</t>
  </si>
  <si>
    <t>626.83</t>
  </si>
  <si>
    <t>608.41</t>
  </si>
  <si>
    <t>42627.86</t>
  </si>
  <si>
    <t>607.86</t>
  </si>
  <si>
    <t>426.62</t>
  </si>
  <si>
    <t>608.27</t>
  </si>
  <si>
    <t>4257.42</t>
  </si>
  <si>
    <t>604.58</t>
  </si>
  <si>
    <t>425.19</t>
  </si>
  <si>
    <t>604.11</t>
  </si>
  <si>
    <t>42451.79</t>
  </si>
  <si>
    <t>424.44</t>
  </si>
  <si>
    <t>424.03</t>
  </si>
  <si>
    <t>4236.31</t>
  </si>
  <si>
    <t>4229.36</t>
  </si>
  <si>
    <t>612.47</t>
  </si>
  <si>
    <t>4228.75</t>
  </si>
  <si>
    <t>4226.06</t>
  </si>
  <si>
    <t>642.08</t>
  </si>
  <si>
    <t>618.5</t>
  </si>
  <si>
    <t>1.04E+08</t>
  </si>
  <si>
    <t>636.03</t>
  </si>
  <si>
    <t>637.39</t>
  </si>
  <si>
    <t>421.69</t>
  </si>
  <si>
    <t>632.85</t>
  </si>
  <si>
    <t>4200.67</t>
  </si>
  <si>
    <t>420.23</t>
  </si>
  <si>
    <t>678.04</t>
  </si>
  <si>
    <t>4193.7</t>
  </si>
  <si>
    <t>41929.76</t>
  </si>
  <si>
    <t>1.01E+08</t>
  </si>
  <si>
    <t>702.64</t>
  </si>
  <si>
    <t>4181.93</t>
  </si>
  <si>
    <t>41801.16</t>
  </si>
  <si>
    <t>1.73E+08</t>
  </si>
  <si>
    <t>706.93</t>
  </si>
  <si>
    <t>707.51</t>
  </si>
  <si>
    <t>699.56</t>
  </si>
  <si>
    <t>4174.73</t>
  </si>
  <si>
    <t>702.39</t>
  </si>
  <si>
    <t>417.96</t>
  </si>
  <si>
    <t>708.61</t>
  </si>
  <si>
    <t>711.21</t>
  </si>
  <si>
    <t>4163.07</t>
  </si>
  <si>
    <t>714.41</t>
  </si>
  <si>
    <t>4161.27</t>
  </si>
  <si>
    <t>4160.62</t>
  </si>
  <si>
    <t>705.26</t>
  </si>
  <si>
    <t>416.83</t>
  </si>
  <si>
    <t>1.41E+08</t>
  </si>
  <si>
    <t>736.89</t>
  </si>
  <si>
    <t>4151.52</t>
  </si>
  <si>
    <t>755.48</t>
  </si>
  <si>
    <t>1.54E+08</t>
  </si>
  <si>
    <t>730.51</t>
  </si>
  <si>
    <t>753.87</t>
  </si>
  <si>
    <t>752.25</t>
  </si>
  <si>
    <t>744.62</t>
  </si>
  <si>
    <t>733.49</t>
  </si>
  <si>
    <t>414.86</t>
  </si>
  <si>
    <t>4130.81</t>
  </si>
  <si>
    <t>4122.94</t>
  </si>
  <si>
    <t>1.28E+08</t>
  </si>
  <si>
    <t>4106.66</t>
  </si>
  <si>
    <t>758.72</t>
  </si>
  <si>
    <t>4100.52</t>
  </si>
  <si>
    <t>759.75</t>
  </si>
  <si>
    <t>772.91</t>
  </si>
  <si>
    <t>770.04</t>
  </si>
  <si>
    <t>4073.26</t>
  </si>
  <si>
    <t>788.46</t>
  </si>
  <si>
    <t>4071.19</t>
  </si>
  <si>
    <t>780.07</t>
  </si>
  <si>
    <t>4065.2</t>
  </si>
  <si>
    <t>40553.46</t>
  </si>
  <si>
    <t>790.32</t>
  </si>
  <si>
    <t>40527.36</t>
  </si>
  <si>
    <t>1.56E+08</t>
  </si>
  <si>
    <t>834.18</t>
  </si>
  <si>
    <t>40406.27</t>
  </si>
  <si>
    <t>2.76E+08</t>
  </si>
  <si>
    <t>922.18</t>
  </si>
  <si>
    <t>1.44E+08</t>
  </si>
  <si>
    <t>1.24E+08</t>
  </si>
  <si>
    <t>1.67E+08</t>
  </si>
  <si>
    <t>4009.97</t>
  </si>
  <si>
    <t>2.37E+08</t>
  </si>
  <si>
    <t>1.99E+08</t>
  </si>
  <si>
    <t>4001.74</t>
  </si>
  <si>
    <t>1003.08</t>
  </si>
  <si>
    <t>1.48E+08</t>
  </si>
  <si>
    <t>1031.39</t>
  </si>
  <si>
    <t>400.87</t>
  </si>
  <si>
    <t>2.22E+08</t>
  </si>
  <si>
    <t>1021.6</t>
  </si>
  <si>
    <t>1044.08</t>
  </si>
  <si>
    <t>400.57</t>
  </si>
  <si>
    <t>1.85E+08</t>
  </si>
  <si>
    <t>1044.4</t>
  </si>
  <si>
    <t>1159.42</t>
  </si>
  <si>
    <t>3.45E+08</t>
  </si>
  <si>
    <t>1156.73</t>
  </si>
  <si>
    <t>3998.98</t>
  </si>
  <si>
    <t>5.1E+08</t>
  </si>
  <si>
    <t>1014.24</t>
  </si>
  <si>
    <t>1046.81</t>
  </si>
  <si>
    <t>3.52E+08</t>
  </si>
  <si>
    <t>39974.89</t>
  </si>
  <si>
    <t>2.8E+08</t>
  </si>
  <si>
    <t>902.44</t>
  </si>
  <si>
    <t>901.06</t>
  </si>
  <si>
    <t>399.52</t>
  </si>
  <si>
    <t>3.11E+08</t>
  </si>
  <si>
    <t>39773.83</t>
  </si>
  <si>
    <t>1.69E+08</t>
  </si>
  <si>
    <t>834.53</t>
  </si>
  <si>
    <t>1.55E+08</t>
  </si>
  <si>
    <t>3951.6</t>
  </si>
  <si>
    <t>39469.29</t>
  </si>
  <si>
    <t>1.17E+08</t>
  </si>
  <si>
    <t>1.21E+08</t>
  </si>
  <si>
    <t>1.26E+08</t>
  </si>
  <si>
    <t>3926.07</t>
  </si>
  <si>
    <t>3924.97</t>
  </si>
  <si>
    <t>1.5E+08</t>
  </si>
  <si>
    <t>1013.52</t>
  </si>
  <si>
    <t>1.46E+08</t>
  </si>
  <si>
    <t>1011.46</t>
  </si>
  <si>
    <t>1033.87</t>
  </si>
  <si>
    <t>1008.79</t>
  </si>
  <si>
    <t>2.01E+08</t>
  </si>
  <si>
    <t>1031.33</t>
  </si>
  <si>
    <t>1045.9</t>
  </si>
  <si>
    <t>1015.16</t>
  </si>
  <si>
    <t>1043.52</t>
  </si>
  <si>
    <t>1043.63</t>
  </si>
  <si>
    <t>1022.37</t>
  </si>
  <si>
    <t>1.14E+08</t>
  </si>
  <si>
    <t>1028.4</t>
  </si>
  <si>
    <t>1044.64</t>
  </si>
  <si>
    <t>1028.16</t>
  </si>
  <si>
    <t>1040.14</t>
  </si>
  <si>
    <t>1061.93</t>
  </si>
  <si>
    <t>1062.32</t>
  </si>
  <si>
    <t>1078.97</t>
  </si>
  <si>
    <t>1037.49</t>
  </si>
  <si>
    <t>2.02E+08</t>
  </si>
  <si>
    <t>1064.7</t>
  </si>
  <si>
    <t>1088.99</t>
  </si>
  <si>
    <t>4.07E+08</t>
  </si>
  <si>
    <t>3905.95</t>
  </si>
  <si>
    <t>1.9E+08</t>
  </si>
  <si>
    <t>1009.29</t>
  </si>
  <si>
    <t>982.83</t>
  </si>
  <si>
    <t>3892.35</t>
  </si>
  <si>
    <t>1003.52</t>
  </si>
  <si>
    <t>1004.76</t>
  </si>
  <si>
    <t>1002.1</t>
  </si>
  <si>
    <t>1011.51</t>
  </si>
  <si>
    <t>3884.71</t>
  </si>
  <si>
    <t>1006.21</t>
  </si>
  <si>
    <t>1008.84</t>
  </si>
  <si>
    <t>1001.58</t>
  </si>
  <si>
    <t>3882.59</t>
  </si>
  <si>
    <t>1007.65</t>
  </si>
  <si>
    <t>1033.37</t>
  </si>
  <si>
    <t>3880.76</t>
  </si>
  <si>
    <t>1026.12</t>
  </si>
  <si>
    <t>1053.17</t>
  </si>
  <si>
    <t>1025.64</t>
  </si>
  <si>
    <t>1049.21</t>
  </si>
  <si>
    <t>1061.1</t>
  </si>
  <si>
    <t>1046.96</t>
  </si>
  <si>
    <t>1054.76</t>
  </si>
  <si>
    <t>1056.81</t>
  </si>
  <si>
    <t>1043.46</t>
  </si>
  <si>
    <t>1048.69</t>
  </si>
  <si>
    <t>1080.49</t>
  </si>
  <si>
    <t>1041.69</t>
  </si>
  <si>
    <t>1079.28</t>
  </si>
  <si>
    <t>1117.25</t>
  </si>
  <si>
    <t>1076.93</t>
  </si>
  <si>
    <t>1114.8</t>
  </si>
  <si>
    <t>1125.39</t>
  </si>
  <si>
    <t>1100.55</t>
  </si>
  <si>
    <t>1117.27</t>
  </si>
  <si>
    <t>1176.62</t>
  </si>
  <si>
    <t>1116.96</t>
  </si>
  <si>
    <t>1.89E+08</t>
  </si>
  <si>
    <t>1172.71</t>
  </si>
  <si>
    <t>1200.39</t>
  </si>
  <si>
    <t>1131.96</t>
  </si>
  <si>
    <t>1170.41</t>
  </si>
  <si>
    <t>1174.85</t>
  </si>
  <si>
    <t>1124.59</t>
  </si>
  <si>
    <t>1.4E+08</t>
  </si>
  <si>
    <t>1144.27</t>
  </si>
  <si>
    <t>1167.47</t>
  </si>
  <si>
    <t>1130.2</t>
  </si>
  <si>
    <t>1163.78</t>
  </si>
  <si>
    <t>1181.98</t>
  </si>
  <si>
    <t>1163.38</t>
  </si>
  <si>
    <t>1180.72</t>
  </si>
  <si>
    <t>1193.25</t>
  </si>
  <si>
    <t>1171.82</t>
  </si>
  <si>
    <t>3843.52</t>
  </si>
  <si>
    <t>1180.04</t>
  </si>
  <si>
    <t>1222.5</t>
  </si>
  <si>
    <t>1179.69</t>
  </si>
  <si>
    <t>2.29E+08</t>
  </si>
  <si>
    <t>1224.68</t>
  </si>
  <si>
    <t>1262.13</t>
  </si>
  <si>
    <t>1215.62</t>
  </si>
  <si>
    <t>3.68E+08</t>
  </si>
  <si>
    <t>1250.71</t>
  </si>
  <si>
    <t>3.16E+08</t>
  </si>
  <si>
    <t>1277.43</t>
  </si>
  <si>
    <t>1279.4</t>
  </si>
  <si>
    <t>1230.51</t>
  </si>
  <si>
    <t>1.83E+08</t>
  </si>
  <si>
    <t>1254.29</t>
  </si>
  <si>
    <t>1267.29</t>
  </si>
  <si>
    <t>1238.06</t>
  </si>
  <si>
    <t>1267.47</t>
  </si>
  <si>
    <t>1264.6</t>
  </si>
  <si>
    <t>1273.21</t>
  </si>
  <si>
    <t>1275.55</t>
  </si>
  <si>
    <t>1204.8</t>
  </si>
  <si>
    <t>3820.72</t>
  </si>
  <si>
    <t>2.91E+08</t>
  </si>
  <si>
    <t>1223.23</t>
  </si>
  <si>
    <t>1232.16</t>
  </si>
  <si>
    <t>1148.08</t>
  </si>
  <si>
    <t>3.33E+08</t>
  </si>
  <si>
    <t>1150.35</t>
  </si>
  <si>
    <t>1197.46</t>
  </si>
  <si>
    <t>1141.23</t>
  </si>
  <si>
    <t>2.12E+08</t>
  </si>
  <si>
    <t>1189.36</t>
  </si>
  <si>
    <t>1270.47</t>
  </si>
  <si>
    <t>1077.25</t>
  </si>
  <si>
    <t>5.64E+08</t>
  </si>
  <si>
    <t>1116.32</t>
  </si>
  <si>
    <t>1193.83</t>
  </si>
  <si>
    <t>2.83E+08</t>
  </si>
  <si>
    <t>1226.98</t>
  </si>
  <si>
    <t>1175.36</t>
  </si>
  <si>
    <t>2.27E+08</t>
  </si>
  <si>
    <t>1221.78</t>
  </si>
  <si>
    <t>1237.37</t>
  </si>
  <si>
    <t>1217.03</t>
  </si>
  <si>
    <t>3.8E+08</t>
  </si>
  <si>
    <t>1244.81</t>
  </si>
  <si>
    <t>1220.72</t>
  </si>
  <si>
    <t>3792.4</t>
  </si>
  <si>
    <t>2.45E+08</t>
  </si>
  <si>
    <t>1240.16</t>
  </si>
  <si>
    <t>1251.61</t>
  </si>
  <si>
    <t>1239.75</t>
  </si>
  <si>
    <t>2.98E+08</t>
  </si>
  <si>
    <t>1251.33</t>
  </si>
  <si>
    <t>1257.98</t>
  </si>
  <si>
    <t>1152.44</t>
  </si>
  <si>
    <t>6.39E+08</t>
  </si>
  <si>
    <t>1180.16</t>
  </si>
  <si>
    <t>1099.57</t>
  </si>
  <si>
    <t>7.07E+08</t>
  </si>
  <si>
    <t>1099.69</t>
  </si>
  <si>
    <t>1114.07</t>
  </si>
  <si>
    <t>6.21E+08</t>
  </si>
  <si>
    <t>976.73</t>
  </si>
  <si>
    <t>1069.91</t>
  </si>
  <si>
    <t>1037.24</t>
  </si>
  <si>
    <t>1063.03</t>
  </si>
  <si>
    <t>1036.68</t>
  </si>
  <si>
    <t>2.87E+08</t>
  </si>
  <si>
    <t>1055.36</t>
  </si>
  <si>
    <t>1122.43</t>
  </si>
  <si>
    <t>3779.13</t>
  </si>
  <si>
    <t>3.37E+08</t>
  </si>
  <si>
    <t>1120.65</t>
  </si>
  <si>
    <t>1014.21</t>
  </si>
  <si>
    <t>3.81E+08</t>
  </si>
  <si>
    <t>1050.05</t>
  </si>
  <si>
    <t>1058.01</t>
  </si>
  <si>
    <t>1028.93</t>
  </si>
  <si>
    <t>2.49E+08</t>
  </si>
  <si>
    <t>1038.45</t>
  </si>
  <si>
    <t>1040.47</t>
  </si>
  <si>
    <t>4.91E+08</t>
  </si>
  <si>
    <t>936.54</t>
  </si>
  <si>
    <t>4.36E+08</t>
  </si>
  <si>
    <t>1007.96</t>
  </si>
  <si>
    <t>3.04E+08</t>
  </si>
  <si>
    <t>1046.4</t>
  </si>
  <si>
    <t>3.73E+08</t>
  </si>
  <si>
    <t>1044.58</t>
  </si>
  <si>
    <t>1064.65</t>
  </si>
  <si>
    <t>1027.73</t>
  </si>
  <si>
    <t>376.62</t>
  </si>
  <si>
    <t>3.26E+08</t>
  </si>
  <si>
    <t>1046.08</t>
  </si>
  <si>
    <t>1055.13</t>
  </si>
  <si>
    <t>1015.88</t>
  </si>
  <si>
    <t>1042.21</t>
  </si>
  <si>
    <t>1049.29</t>
  </si>
  <si>
    <t>1020.04</t>
  </si>
  <si>
    <t>3.53E+08</t>
  </si>
  <si>
    <t>1026.64</t>
  </si>
  <si>
    <t>1074.92</t>
  </si>
  <si>
    <t>375.01</t>
  </si>
  <si>
    <t>4.47E+08</t>
  </si>
  <si>
    <t>1071.71</t>
  </si>
  <si>
    <t>1091.72</t>
  </si>
  <si>
    <t>1061.09</t>
  </si>
  <si>
    <t>2.9E+08</t>
  </si>
  <si>
    <t>1080.61</t>
  </si>
  <si>
    <t>1107.59</t>
  </si>
  <si>
    <t>1075.45</t>
  </si>
  <si>
    <t>5.14E+08</t>
  </si>
  <si>
    <t>1102.95</t>
  </si>
  <si>
    <t>1151.74</t>
  </si>
  <si>
    <t>5.8E+08</t>
  </si>
  <si>
    <t>1145.52</t>
  </si>
  <si>
    <t>1156.44</t>
  </si>
  <si>
    <t>1120.52</t>
  </si>
  <si>
    <t>1134.14</t>
  </si>
  <si>
    <t>1135.09</t>
  </si>
  <si>
    <t>1113.63</t>
  </si>
  <si>
    <t>3742.7</t>
  </si>
  <si>
    <t>4.15E+08</t>
  </si>
  <si>
    <t>1125.81</t>
  </si>
  <si>
    <t>1188.37</t>
  </si>
  <si>
    <t>374.47</t>
  </si>
  <si>
    <t>5.11E+08</t>
  </si>
  <si>
    <t>1178.94</t>
  </si>
  <si>
    <t>1186.58</t>
  </si>
  <si>
    <t>1163.39</t>
  </si>
  <si>
    <t>3.17E+08</t>
  </si>
  <si>
    <t>1172.65</t>
  </si>
  <si>
    <t>1184.98</t>
  </si>
  <si>
    <t>1162.58</t>
  </si>
  <si>
    <t>2.09E+08</t>
  </si>
  <si>
    <t>1176.57</t>
  </si>
  <si>
    <t>1197.21</t>
  </si>
  <si>
    <t>1171.86</t>
  </si>
  <si>
    <t>2.42E+08</t>
  </si>
  <si>
    <t>1187.3</t>
  </si>
  <si>
    <t>1190.34</t>
  </si>
  <si>
    <t>1179.04</t>
  </si>
  <si>
    <t>2.16E+08</t>
  </si>
  <si>
    <t>1187.46</t>
  </si>
  <si>
    <t>1208.07</t>
  </si>
  <si>
    <t>1204.81</t>
  </si>
  <si>
    <t>1207.14</t>
  </si>
  <si>
    <t>1196.76</t>
  </si>
  <si>
    <t>2.89E+08</t>
  </si>
  <si>
    <t>1201.02</t>
  </si>
  <si>
    <t>1205.89</t>
  </si>
  <si>
    <t>1170.33</t>
  </si>
  <si>
    <t>1190.8</t>
  </si>
  <si>
    <t>1159.79</t>
  </si>
  <si>
    <t>37304.69</t>
  </si>
  <si>
    <t>2.55E+08</t>
  </si>
  <si>
    <t>1167.3</t>
  </si>
  <si>
    <t>1164.96</t>
  </si>
  <si>
    <t>2.04E+08</t>
  </si>
  <si>
    <t>1172.61</t>
  </si>
  <si>
    <t>1187.22</t>
  </si>
  <si>
    <t>1183.25</t>
  </si>
  <si>
    <t>1194.9</t>
  </si>
  <si>
    <t>1193.77</t>
  </si>
  <si>
    <t>1217.57</t>
  </si>
  <si>
    <t>2.71E+08</t>
  </si>
  <si>
    <t>1212.13</t>
  </si>
  <si>
    <t>1205.08</t>
  </si>
  <si>
    <t>2.88E+08</t>
  </si>
  <si>
    <t>1211.08</t>
  </si>
  <si>
    <t>1240.79</t>
  </si>
  <si>
    <t>1208.41</t>
  </si>
  <si>
    <t>3.15E+08</t>
  </si>
  <si>
    <t>1229.42</t>
  </si>
  <si>
    <t>1235.94</t>
  </si>
  <si>
    <t>1215.56</t>
  </si>
  <si>
    <t>1222.71</t>
  </si>
  <si>
    <t>1235.56</t>
  </si>
  <si>
    <t>1208.47</t>
  </si>
  <si>
    <t>1231.92</t>
  </si>
  <si>
    <t>1232.2</t>
  </si>
  <si>
    <t>1203.94</t>
  </si>
  <si>
    <t>37002.44</t>
  </si>
  <si>
    <t>2.59E+08</t>
  </si>
  <si>
    <t>1209.63</t>
  </si>
  <si>
    <t>1250.94</t>
  </si>
  <si>
    <t>2.36E+08</t>
  </si>
  <si>
    <t>1250.45</t>
  </si>
  <si>
    <t>1267.58</t>
  </si>
  <si>
    <t>1249.97</t>
  </si>
  <si>
    <t>1265.99</t>
  </si>
  <si>
    <t>1294.83</t>
  </si>
  <si>
    <t>1265.93</t>
  </si>
  <si>
    <t>369.67</t>
  </si>
  <si>
    <t>3.3E+08</t>
  </si>
  <si>
    <t>1281.88</t>
  </si>
  <si>
    <t>1319.7</t>
  </si>
  <si>
    <t>1281.3</t>
  </si>
  <si>
    <t>4.49E+08</t>
  </si>
  <si>
    <t>1317.74</t>
  </si>
  <si>
    <t>1331.28</t>
  </si>
  <si>
    <t>1292.37</t>
  </si>
  <si>
    <t>5.27E+08</t>
  </si>
  <si>
    <t>1317.84</t>
  </si>
  <si>
    <t>1327.2</t>
  </si>
  <si>
    <t>1315.21</t>
  </si>
  <si>
    <t>4.23E+08</t>
  </si>
  <si>
    <t>1321.87</t>
  </si>
  <si>
    <t>1347.91</t>
  </si>
  <si>
    <t>1314.92</t>
  </si>
  <si>
    <t>4.13E+08</t>
  </si>
  <si>
    <t>1348.3</t>
  </si>
  <si>
    <t>1434.32</t>
  </si>
  <si>
    <t>3682.84</t>
  </si>
  <si>
    <t>7.14E+08</t>
  </si>
  <si>
    <t>1421.03</t>
  </si>
  <si>
    <t>1473.9</t>
  </si>
  <si>
    <t>1415.69</t>
  </si>
  <si>
    <t>368.37</t>
  </si>
  <si>
    <t>4.77E+08</t>
  </si>
  <si>
    <t>1453.78</t>
  </si>
  <si>
    <t>1492.77</t>
  </si>
  <si>
    <t>1447.49</t>
  </si>
  <si>
    <t>1490.72</t>
  </si>
  <si>
    <t>1608.91</t>
  </si>
  <si>
    <t>9.34E+08</t>
  </si>
  <si>
    <t>1540.87</t>
  </si>
  <si>
    <t>1618.03</t>
  </si>
  <si>
    <t>1530.31</t>
  </si>
  <si>
    <t>9.46E+08</t>
  </si>
  <si>
    <t>1556.81</t>
  </si>
  <si>
    <t>1578.8</t>
  </si>
  <si>
    <t>1542.5</t>
  </si>
  <si>
    <t>3666.78</t>
  </si>
  <si>
    <t>5.83E+08</t>
  </si>
  <si>
    <t>1579.47</t>
  </si>
  <si>
    <t>1596.72</t>
  </si>
  <si>
    <t>1559.76</t>
  </si>
  <si>
    <t>1.08E+09</t>
  </si>
  <si>
    <t>1596.92</t>
  </si>
  <si>
    <t>1723.35</t>
  </si>
  <si>
    <t>1.34E+09</t>
  </si>
  <si>
    <t>1723.89</t>
  </si>
  <si>
    <t>1833.49</t>
  </si>
  <si>
    <t>1716.3</t>
  </si>
  <si>
    <t>1.17E+09</t>
  </si>
  <si>
    <t>1756.52</t>
  </si>
  <si>
    <t>1788.44</t>
  </si>
  <si>
    <t>1719.1</t>
  </si>
  <si>
    <t>9.16E+08</t>
  </si>
  <si>
    <t>1780.37</t>
  </si>
  <si>
    <t>1755.35</t>
  </si>
  <si>
    <t>7.99E+08</t>
  </si>
  <si>
    <t>1845.76</t>
  </si>
  <si>
    <t>1856.15</t>
  </si>
  <si>
    <t>1694.01</t>
  </si>
  <si>
    <t>7.41E+08</t>
  </si>
  <si>
    <t>1723.12</t>
  </si>
  <si>
    <t>1812.99</t>
  </si>
  <si>
    <t>1651.08</t>
  </si>
  <si>
    <t>3650.62</t>
  </si>
  <si>
    <t>1800.86</t>
  </si>
  <si>
    <t>1831.42</t>
  </si>
  <si>
    <t>1776.62</t>
  </si>
  <si>
    <t>4.37E+08</t>
  </si>
  <si>
    <t>1808.44</t>
  </si>
  <si>
    <t>1812.8</t>
  </si>
  <si>
    <t>1708.54</t>
  </si>
  <si>
    <t>3637.52</t>
  </si>
  <si>
    <t>7.32E+08</t>
  </si>
  <si>
    <t>1741.7</t>
  </si>
  <si>
    <t>1785.94</t>
  </si>
  <si>
    <t>1686.54</t>
  </si>
  <si>
    <t>3631.04</t>
  </si>
  <si>
    <t>9.59E+08</t>
  </si>
  <si>
    <t>1726.73</t>
  </si>
  <si>
    <t>1864.05</t>
  </si>
  <si>
    <t>1661.91</t>
  </si>
  <si>
    <t>3630.7</t>
  </si>
  <si>
    <t>1.06E+09</t>
  </si>
  <si>
    <t>1818.7</t>
  </si>
  <si>
    <t>1904.48</t>
  </si>
  <si>
    <t>1807.12</t>
  </si>
  <si>
    <t>8.94E+08</t>
  </si>
  <si>
    <t>1897.37</t>
  </si>
  <si>
    <t>2004.52</t>
  </si>
  <si>
    <t>1890.25</t>
  </si>
  <si>
    <t>3625.04</t>
  </si>
  <si>
    <t>1.16E+09</t>
  </si>
  <si>
    <t>1984.24</t>
  </si>
  <si>
    <t>2084.73</t>
  </si>
  <si>
    <t>1974.92</t>
  </si>
  <si>
    <t>9.61E+08</t>
  </si>
  <si>
    <t>2067.03</t>
  </si>
  <si>
    <t>2119.08</t>
  </si>
  <si>
    <t>2037.5</t>
  </si>
  <si>
    <t>1.15E+09</t>
  </si>
  <si>
    <t>2043.19</t>
  </si>
  <si>
    <t>2303.9</t>
  </si>
  <si>
    <t>2017.87</t>
  </si>
  <si>
    <t>1.94E+09</t>
  </si>
  <si>
    <t>2191.56</t>
  </si>
  <si>
    <t>2320.82</t>
  </si>
  <si>
    <t>2178.5</t>
  </si>
  <si>
    <t>1.38E+09</t>
  </si>
  <si>
    <t>2321.37</t>
  </si>
  <si>
    <t>2523.72</t>
  </si>
  <si>
    <t>3602.46</t>
  </si>
  <si>
    <t>1.73E+09</t>
  </si>
  <si>
    <t>2446.24</t>
  </si>
  <si>
    <t>2763.71</t>
  </si>
  <si>
    <t>2285.3</t>
  </si>
  <si>
    <t>2.41E+09</t>
  </si>
  <si>
    <t>2320.89</t>
  </si>
  <si>
    <t>2573.79</t>
  </si>
  <si>
    <t>2071.99</t>
  </si>
  <si>
    <t>1.76E+09</t>
  </si>
  <si>
    <t>2196.27</t>
  </si>
  <si>
    <t>2260.2</t>
  </si>
  <si>
    <t>1855.83</t>
  </si>
  <si>
    <t>3582.88</t>
  </si>
  <si>
    <t>1.7E+09</t>
  </si>
  <si>
    <t>2054.08</t>
  </si>
  <si>
    <t>2267.34</t>
  </si>
  <si>
    <t>2159.43</t>
  </si>
  <si>
    <t>2307.05</t>
  </si>
  <si>
    <t>2107.17</t>
  </si>
  <si>
    <t>9.95E+08</t>
  </si>
  <si>
    <t>2255.36</t>
  </si>
  <si>
    <t>2301.96</t>
  </si>
  <si>
    <t>2124.57</t>
  </si>
  <si>
    <t>1.44E+09</t>
  </si>
  <si>
    <t>2187.19</t>
  </si>
  <si>
    <t>2311.08</t>
  </si>
  <si>
    <t>2145.57</t>
  </si>
  <si>
    <t>357.84</t>
  </si>
  <si>
    <t>1.54E+09</t>
  </si>
  <si>
    <t>2288.33</t>
  </si>
  <si>
    <t>2448.39</t>
  </si>
  <si>
    <t>1.65E+09</t>
  </si>
  <si>
    <t>2404.03</t>
  </si>
  <si>
    <t>2488.55</t>
  </si>
  <si>
    <t>2373.32</t>
  </si>
  <si>
    <t>1.32E+09</t>
  </si>
  <si>
    <t>2493.72</t>
  </si>
  <si>
    <t>2581.91</t>
  </si>
  <si>
    <t>2423.57</t>
  </si>
  <si>
    <t>1.51E+09</t>
  </si>
  <si>
    <t>2547.79</t>
  </si>
  <si>
    <t>2585.89</t>
  </si>
  <si>
    <t>2452.54</t>
  </si>
  <si>
    <t>1.36E+09</t>
  </si>
  <si>
    <t>2512.4</t>
  </si>
  <si>
    <t>2686.81</t>
  </si>
  <si>
    <t>2510.22</t>
  </si>
  <si>
    <t>1.37E+09</t>
  </si>
  <si>
    <t>2690.84</t>
  </si>
  <si>
    <t>2999.91</t>
  </si>
  <si>
    <t>2.09E+09</t>
  </si>
  <si>
    <t>2869.38</t>
  </si>
  <si>
    <t>2700.56</t>
  </si>
  <si>
    <t>1.52E+09</t>
  </si>
  <si>
    <t>2720.49</t>
  </si>
  <si>
    <t>2815.3</t>
  </si>
  <si>
    <t>2670.95</t>
  </si>
  <si>
    <t>1.28E+09</t>
  </si>
  <si>
    <t>2807.44</t>
  </si>
  <si>
    <t>2901.71</t>
  </si>
  <si>
    <t>2795.62</t>
  </si>
  <si>
    <t>1.35E+09</t>
  </si>
  <si>
    <t>2828.14</t>
  </si>
  <si>
    <t>2950.99</t>
  </si>
  <si>
    <t>2746.55</t>
  </si>
  <si>
    <t>2.02E+09</t>
  </si>
  <si>
    <t>2942.41</t>
  </si>
  <si>
    <t>2996.6</t>
  </si>
  <si>
    <t>2840.53</t>
  </si>
  <si>
    <t>1.75E+09</t>
  </si>
  <si>
    <t>2953.22</t>
  </si>
  <si>
    <t>2518.56</t>
  </si>
  <si>
    <t>2.57E+09</t>
  </si>
  <si>
    <t>2680.91</t>
  </si>
  <si>
    <t>2789.04</t>
  </si>
  <si>
    <t>2650.38</t>
  </si>
  <si>
    <t>1.78E+09</t>
  </si>
  <si>
    <t>2716.88</t>
  </si>
  <si>
    <t>2786.83</t>
  </si>
  <si>
    <t>2412.94</t>
  </si>
  <si>
    <t>2499.58</t>
  </si>
  <si>
    <t>2534.71</t>
  </si>
  <si>
    <t>2212.96</t>
  </si>
  <si>
    <t>2.03E+09</t>
  </si>
  <si>
    <t>2469.57</t>
  </si>
  <si>
    <t>2539.92</t>
  </si>
  <si>
    <t>2385.15</t>
  </si>
  <si>
    <t>352.94</t>
  </si>
  <si>
    <t>1.2E+09</t>
  </si>
  <si>
    <t>2514.01</t>
  </si>
  <si>
    <t>2685.19</t>
  </si>
  <si>
    <t>2484.96</t>
  </si>
  <si>
    <t>352.92</t>
  </si>
  <si>
    <t>1.53E+09</t>
  </si>
  <si>
    <t>2655.35</t>
  </si>
  <si>
    <t>2662.1</t>
  </si>
  <si>
    <t>2516.33</t>
  </si>
  <si>
    <t>1.18E+09</t>
  </si>
  <si>
    <t>2549.03</t>
  </si>
  <si>
    <t>2662.85</t>
  </si>
  <si>
    <t>1.45E+09</t>
  </si>
  <si>
    <t>2591.26</t>
  </si>
  <si>
    <t>2589.82</t>
  </si>
  <si>
    <t>1.85E+09</t>
  </si>
  <si>
    <t>2709.43</t>
  </si>
  <si>
    <t>2772.01</t>
  </si>
  <si>
    <t>2660.4</t>
  </si>
  <si>
    <t>1.63E+09</t>
  </si>
  <si>
    <t>2691.03</t>
  </si>
  <si>
    <t>2723.74</t>
  </si>
  <si>
    <t>2642.36</t>
  </si>
  <si>
    <t>35030.25</t>
  </si>
  <si>
    <t>1.1E+09</t>
  </si>
  <si>
    <t>2707.34</t>
  </si>
  <si>
    <t>2765.17</t>
  </si>
  <si>
    <t>2706.37</t>
  </si>
  <si>
    <t>2738.52</t>
  </si>
  <si>
    <t>2757.94</t>
  </si>
  <si>
    <t>2583.19</t>
  </si>
  <si>
    <t>349.29</t>
  </si>
  <si>
    <t>9.83E+08</t>
  </si>
  <si>
    <t>2607.25</t>
  </si>
  <si>
    <t>2682.26</t>
  </si>
  <si>
    <t>2552.12</t>
  </si>
  <si>
    <t>3486.95</t>
  </si>
  <si>
    <t>2590.57</t>
  </si>
  <si>
    <t>2615.25</t>
  </si>
  <si>
    <t>2376.29</t>
  </si>
  <si>
    <t>1.66E+09</t>
  </si>
  <si>
    <t>2478.45</t>
  </si>
  <si>
    <t>2552.45</t>
  </si>
  <si>
    <t>2332.99</t>
  </si>
  <si>
    <t>1.49E+09</t>
  </si>
  <si>
    <t>2553.03</t>
  </si>
  <si>
    <t>2603.98</t>
  </si>
  <si>
    <t>2484.42</t>
  </si>
  <si>
    <t>3470.45</t>
  </si>
  <si>
    <t>2567.56</t>
  </si>
  <si>
    <t>2588.83</t>
  </si>
  <si>
    <t>2510.48</t>
  </si>
  <si>
    <t>9.5E+08</t>
  </si>
  <si>
    <t>2539.24</t>
  </si>
  <si>
    <t>2559.25</t>
  </si>
  <si>
    <t>2478.43</t>
  </si>
  <si>
    <t>8.6E+08</t>
  </si>
  <si>
    <t>2492.6</t>
  </si>
  <si>
    <t>2515.27</t>
  </si>
  <si>
    <t>2419.23</t>
  </si>
  <si>
    <t>7.8E+08</t>
  </si>
  <si>
    <t>2436.4</t>
  </si>
  <si>
    <t>2514.28</t>
  </si>
  <si>
    <t>2394.84</t>
  </si>
  <si>
    <t>8.04E+08</t>
  </si>
  <si>
    <t>2498.56</t>
  </si>
  <si>
    <t>2480.47</t>
  </si>
  <si>
    <t>9.64E+08</t>
  </si>
  <si>
    <t>2631.59</t>
  </si>
  <si>
    <t>2559.35</t>
  </si>
  <si>
    <t>9.86E+08</t>
  </si>
  <si>
    <t>2602.87</t>
  </si>
  <si>
    <t>2622.65</t>
  </si>
  <si>
    <t>2538.55</t>
  </si>
  <si>
    <t>9.42E+08</t>
  </si>
  <si>
    <t>2608.1</t>
  </si>
  <si>
    <t>2616.72</t>
  </si>
  <si>
    <t>2581.69</t>
  </si>
  <si>
    <t>7.62E+08</t>
  </si>
  <si>
    <t>2608.59</t>
  </si>
  <si>
    <t>2916.14</t>
  </si>
  <si>
    <t>2498.87</t>
  </si>
  <si>
    <t>9.17E+08</t>
  </si>
  <si>
    <t>2520.27</t>
  </si>
  <si>
    <t>2571.34</t>
  </si>
  <si>
    <t>2492.31</t>
  </si>
  <si>
    <t>7.33E+08</t>
  </si>
  <si>
    <t>2572.61</t>
  </si>
  <si>
    <t>2635.49</t>
  </si>
  <si>
    <t>2517.59</t>
  </si>
  <si>
    <t>5.28E+08</t>
  </si>
  <si>
    <t>2525.25</t>
  </si>
  <si>
    <t>2537.16</t>
  </si>
  <si>
    <t>2321.13</t>
  </si>
  <si>
    <t>1.11E+09</t>
  </si>
  <si>
    <t>2385.89</t>
  </si>
  <si>
    <t>2413.47</t>
  </si>
  <si>
    <t>2296.81</t>
  </si>
  <si>
    <t>1.33E+09</t>
  </si>
  <si>
    <t>2332.77</t>
  </si>
  <si>
    <t>2423.71</t>
  </si>
  <si>
    <t>2275.14</t>
  </si>
  <si>
    <t>1.12E+09</t>
  </si>
  <si>
    <t>2402.7</t>
  </si>
  <si>
    <t>2425.22</t>
  </si>
  <si>
    <t>2340.83</t>
  </si>
  <si>
    <t>3419.94</t>
  </si>
  <si>
    <t>8.36E+08</t>
  </si>
  <si>
    <t>2360.59</t>
  </si>
  <si>
    <t>2363.25</t>
  </si>
  <si>
    <t>2183.22</t>
  </si>
  <si>
    <t>8.83E+08</t>
  </si>
  <si>
    <t>2230.12</t>
  </si>
  <si>
    <t>2231.14</t>
  </si>
  <si>
    <t>1990.41</t>
  </si>
  <si>
    <t>9.94E+08</t>
  </si>
  <si>
    <t>1991.98</t>
  </si>
  <si>
    <t>2058.77</t>
  </si>
  <si>
    <t>1843.03</t>
  </si>
  <si>
    <t>1932.62</t>
  </si>
  <si>
    <t>2230.49</t>
  </si>
  <si>
    <t>2233.52</t>
  </si>
  <si>
    <t>2387.61</t>
  </si>
  <si>
    <t>2164.77</t>
  </si>
  <si>
    <t>2323.08</t>
  </si>
  <si>
    <t>2397.17</t>
  </si>
  <si>
    <t>2260.23</t>
  </si>
  <si>
    <t>1.25E+09</t>
  </si>
  <si>
    <t>2269.89</t>
  </si>
  <si>
    <t>2900.7</t>
  </si>
  <si>
    <t>2.25E+09</t>
  </si>
  <si>
    <t>2838.41</t>
  </si>
  <si>
    <t>2621.85</t>
  </si>
  <si>
    <t>2668.63</t>
  </si>
  <si>
    <t>2657.71</t>
  </si>
  <si>
    <t>3381.28</t>
  </si>
  <si>
    <t>2808.1</t>
  </si>
  <si>
    <t>2832.18</t>
  </si>
  <si>
    <t>2653.94</t>
  </si>
  <si>
    <t>1.07E+09</t>
  </si>
  <si>
    <t>2732.7</t>
  </si>
  <si>
    <t>2777.26</t>
  </si>
  <si>
    <t>2699.19</t>
  </si>
  <si>
    <t>3378.94</t>
  </si>
  <si>
    <t>8.66E+08</t>
  </si>
  <si>
    <t>2757.5</t>
  </si>
  <si>
    <t>2768.08</t>
  </si>
  <si>
    <t>2480.96</t>
  </si>
  <si>
    <t>1.46E+09</t>
  </si>
  <si>
    <t>2577.77</t>
  </si>
  <si>
    <t>2610.76</t>
  </si>
  <si>
    <t>2450.8</t>
  </si>
  <si>
    <t>9.37E+08</t>
  </si>
  <si>
    <t>2538.71</t>
  </si>
  <si>
    <t>2693.32</t>
  </si>
  <si>
    <t>2529.34</t>
  </si>
  <si>
    <t>7.89E+08</t>
  </si>
  <si>
    <t>2679.73</t>
  </si>
  <si>
    <t>2897.45</t>
  </si>
  <si>
    <t>2807.02</t>
  </si>
  <si>
    <t>2808.76</t>
  </si>
  <si>
    <t>2692.8</t>
  </si>
  <si>
    <t>33537.18</t>
  </si>
  <si>
    <t>2724.39</t>
  </si>
  <si>
    <t>2758.53</t>
  </si>
  <si>
    <t>2644.85</t>
  </si>
  <si>
    <t>7.06E+08</t>
  </si>
  <si>
    <t>2763.24</t>
  </si>
  <si>
    <t>2889.62</t>
  </si>
  <si>
    <t>2720.61</t>
  </si>
  <si>
    <t>8.61E+08</t>
  </si>
  <si>
    <t>2871.3</t>
  </si>
  <si>
    <t>2921.35</t>
  </si>
  <si>
    <t>2685.61</t>
  </si>
  <si>
    <t>2727.13</t>
  </si>
  <si>
    <t>2762.53</t>
  </si>
  <si>
    <t>2668.59</t>
  </si>
  <si>
    <t>3342.47</t>
  </si>
  <si>
    <t>1.09E+09</t>
  </si>
  <si>
    <t>2709.56</t>
  </si>
  <si>
    <t>2813.31</t>
  </si>
  <si>
    <t>2685.14</t>
  </si>
  <si>
    <t>334.59</t>
  </si>
  <si>
    <t>8.05E+08</t>
  </si>
  <si>
    <t>2806.93</t>
  </si>
  <si>
    <t>2899.33</t>
  </si>
  <si>
    <t>2743.72</t>
  </si>
  <si>
    <t>2897.63</t>
  </si>
  <si>
    <t>3290.01</t>
  </si>
  <si>
    <t>2874.83</t>
  </si>
  <si>
    <t>1.95E+09</t>
  </si>
  <si>
    <t>3257.61</t>
  </si>
  <si>
    <t>3293.29</t>
  </si>
  <si>
    <t>3155.6</t>
  </si>
  <si>
    <t>3212.78</t>
  </si>
  <si>
    <t>3397.68</t>
  </si>
  <si>
    <t>3180.89</t>
  </si>
  <si>
    <t>1.48E+09</t>
  </si>
  <si>
    <t>3370.22</t>
  </si>
  <si>
    <t>3484.85</t>
  </si>
  <si>
    <t>3345.83</t>
  </si>
  <si>
    <t>3420.4</t>
  </si>
  <si>
    <t>3422.76</t>
  </si>
  <si>
    <t>3247.67</t>
  </si>
  <si>
    <t>1.47E+09</t>
  </si>
  <si>
    <t>3341.84</t>
  </si>
  <si>
    <t>3453.45</t>
  </si>
  <si>
    <t>3319.47</t>
  </si>
  <si>
    <t>3373.82</t>
  </si>
  <si>
    <t>3679.72</t>
  </si>
  <si>
    <t>3372.12</t>
  </si>
  <si>
    <t>3650.63</t>
  </si>
  <si>
    <t>3949.92</t>
  </si>
  <si>
    <t>3613.7</t>
  </si>
  <si>
    <t>2.22E+09</t>
  </si>
  <si>
    <t>3880.04</t>
  </si>
  <si>
    <t>4208.39</t>
  </si>
  <si>
    <t>3857.8</t>
  </si>
  <si>
    <t>3252.91</t>
  </si>
  <si>
    <t>3.16E+09</t>
  </si>
  <si>
    <t>4066.1</t>
  </si>
  <si>
    <t>3989.16</t>
  </si>
  <si>
    <t>2.46E+09</t>
  </si>
  <si>
    <t>4326.99</t>
  </si>
  <si>
    <t>4455.97</t>
  </si>
  <si>
    <t>3906.18</t>
  </si>
  <si>
    <t>3.26E+09</t>
  </si>
  <si>
    <t>4200.34</t>
  </si>
  <si>
    <t>4381.23</t>
  </si>
  <si>
    <t>3994.42</t>
  </si>
  <si>
    <t>2.27E+09</t>
  </si>
  <si>
    <t>4384.44</t>
  </si>
  <si>
    <t>4484.7</t>
  </si>
  <si>
    <t>4243.71</t>
  </si>
  <si>
    <t>2.55E+09</t>
  </si>
  <si>
    <t>4324.34</t>
  </si>
  <si>
    <t>4370.13</t>
  </si>
  <si>
    <t>4015.4</t>
  </si>
  <si>
    <t>2.94E+09</t>
  </si>
  <si>
    <t>4137.75</t>
  </si>
  <si>
    <t>4243.26</t>
  </si>
  <si>
    <t>3970.55</t>
  </si>
  <si>
    <t>3213.94</t>
  </si>
  <si>
    <t>2.98E+09</t>
  </si>
  <si>
    <t>4189.31</t>
  </si>
  <si>
    <t>4196.29</t>
  </si>
  <si>
    <t>4069.88</t>
  </si>
  <si>
    <t>32127.27</t>
  </si>
  <si>
    <t>2.11E+09</t>
  </si>
  <si>
    <t>4090.48</t>
  </si>
  <si>
    <t>4109.14</t>
  </si>
  <si>
    <t>3988.6</t>
  </si>
  <si>
    <t>2.8E+09</t>
  </si>
  <si>
    <t>3998.35</t>
  </si>
  <si>
    <t>4128.76</t>
  </si>
  <si>
    <t>3674.58</t>
  </si>
  <si>
    <t>3.76E+09</t>
  </si>
  <si>
    <t>4089.01</t>
  </si>
  <si>
    <t>4255.78</t>
  </si>
  <si>
    <t>4078.41</t>
  </si>
  <si>
    <t>2.37E+09</t>
  </si>
  <si>
    <t>4137.6</t>
  </si>
  <si>
    <t>4376.39</t>
  </si>
  <si>
    <t>4130.26</t>
  </si>
  <si>
    <t>2.04E+09</t>
  </si>
  <si>
    <t>4332.82</t>
  </si>
  <si>
    <t>4455.7</t>
  </si>
  <si>
    <t>4307.35</t>
  </si>
  <si>
    <t>4372.06</t>
  </si>
  <si>
    <t>4379.28</t>
  </si>
  <si>
    <t>4269.52</t>
  </si>
  <si>
    <t>4345.1</t>
  </si>
  <si>
    <t>4416.59</t>
  </si>
  <si>
    <t>4317.29</t>
  </si>
  <si>
    <t>4384.45</t>
  </si>
  <si>
    <t>4403.93</t>
  </si>
  <si>
    <t>4224.64</t>
  </si>
  <si>
    <t>1.96E+09</t>
  </si>
  <si>
    <t>4389.21</t>
  </si>
  <si>
    <t>4625.68</t>
  </si>
  <si>
    <t>4352.13</t>
  </si>
  <si>
    <t>4570.36</t>
  </si>
  <si>
    <t>4626.52</t>
  </si>
  <si>
    <t>4471.41</t>
  </si>
  <si>
    <t>3154.95</t>
  </si>
  <si>
    <t>4555.59</t>
  </si>
  <si>
    <t>4736.05</t>
  </si>
  <si>
    <t>4549.4</t>
  </si>
  <si>
    <t>4701.76</t>
  </si>
  <si>
    <t>4678.53</t>
  </si>
  <si>
    <t>2.6E+09</t>
  </si>
  <si>
    <t>4901.42</t>
  </si>
  <si>
    <t>4975.04</t>
  </si>
  <si>
    <t>4469.24</t>
  </si>
  <si>
    <t>2.72E+09</t>
  </si>
  <si>
    <t>4585.27</t>
  </si>
  <si>
    <t>4714.08</t>
  </si>
  <si>
    <t>4417.59</t>
  </si>
  <si>
    <t>1.93E+09</t>
  </si>
  <si>
    <t>4591.63</t>
  </si>
  <si>
    <t>4108.4</t>
  </si>
  <si>
    <t>312.67</t>
  </si>
  <si>
    <t>2.99E+09</t>
  </si>
  <si>
    <t>4228.29</t>
  </si>
  <si>
    <t>4427.84</t>
  </si>
  <si>
    <t>3998.11</t>
  </si>
  <si>
    <t>2.7E+09</t>
  </si>
  <si>
    <t>4376.59</t>
  </si>
  <si>
    <t>4617.25</t>
  </si>
  <si>
    <t>2.17E+09</t>
  </si>
  <si>
    <t>4589.14</t>
  </si>
  <si>
    <t>4491.33</t>
  </si>
  <si>
    <t>1.84E+09</t>
  </si>
  <si>
    <t>4605.16</t>
  </si>
  <si>
    <t>4075.18</t>
  </si>
  <si>
    <t>4229.81</t>
  </si>
  <si>
    <t>4308.82</t>
  </si>
  <si>
    <t>4114.11</t>
  </si>
  <si>
    <t>1.39E+09</t>
  </si>
  <si>
    <t>4229.34</t>
  </si>
  <si>
    <t>4245.44</t>
  </si>
  <si>
    <t>3951.04</t>
  </si>
  <si>
    <t>1.68E+09</t>
  </si>
  <si>
    <t>4122.47</t>
  </si>
  <si>
    <t>4261.67</t>
  </si>
  <si>
    <t>4099.4</t>
  </si>
  <si>
    <t>1.56E+09</t>
  </si>
  <si>
    <t>4168.88</t>
  </si>
  <si>
    <t>4344.65</t>
  </si>
  <si>
    <t>4085.22</t>
  </si>
  <si>
    <t>1.86E+09</t>
  </si>
  <si>
    <t>4131.98</t>
  </si>
  <si>
    <t>3789.92</t>
  </si>
  <si>
    <t>30620.77</t>
  </si>
  <si>
    <t>3875.37</t>
  </si>
  <si>
    <t>3920.6</t>
  </si>
  <si>
    <t>3153.86</t>
  </si>
  <si>
    <t>3166.3</t>
  </si>
  <si>
    <t>3733.45</t>
  </si>
  <si>
    <t>2946.62</t>
  </si>
  <si>
    <t>4.15E+09</t>
  </si>
  <si>
    <t>3637.75</t>
  </si>
  <si>
    <t>3808.84</t>
  </si>
  <si>
    <t>3487.79</t>
  </si>
  <si>
    <t>1.82E+09</t>
  </si>
  <si>
    <t>3606.28</t>
  </si>
  <si>
    <t>3664.81</t>
  </si>
  <si>
    <t>3445.64</t>
  </si>
  <si>
    <t>1.24E+09</t>
  </si>
  <si>
    <t>3591.09</t>
  </si>
  <si>
    <t>4079.23</t>
  </si>
  <si>
    <t>4073.79</t>
  </si>
  <si>
    <t>4094.07</t>
  </si>
  <si>
    <t>3868.87</t>
  </si>
  <si>
    <t>3916.36</t>
  </si>
  <si>
    <t>3857.73</t>
  </si>
  <si>
    <t>1.21E+09</t>
  </si>
  <si>
    <t>3901.47</t>
  </si>
  <si>
    <t>3916.42</t>
  </si>
  <si>
    <t>3613.63</t>
  </si>
  <si>
    <t>1.41E+09</t>
  </si>
  <si>
    <t>3628.02</t>
  </si>
  <si>
    <t>3758.27</t>
  </si>
  <si>
    <t>3553.53</t>
  </si>
  <si>
    <t>1.19E+09</t>
  </si>
  <si>
    <t>3629.92</t>
  </si>
  <si>
    <t>3819.21</t>
  </si>
  <si>
    <t>3594.58</t>
  </si>
  <si>
    <t>9.28E+08</t>
  </si>
  <si>
    <t>3796.15</t>
  </si>
  <si>
    <t>3666.9</t>
  </si>
  <si>
    <t>7.68E+08</t>
  </si>
  <si>
    <t>3681.58</t>
  </si>
  <si>
    <t>3950.25</t>
  </si>
  <si>
    <t>3928.41</t>
  </si>
  <si>
    <t>3969.89</t>
  </si>
  <si>
    <t>3869.9</t>
  </si>
  <si>
    <t>1.04E+09</t>
  </si>
  <si>
    <t>3892.94</t>
  </si>
  <si>
    <t>4210.05</t>
  </si>
  <si>
    <t>3884.82</t>
  </si>
  <si>
    <t>1.69E+09</t>
  </si>
  <si>
    <t>4197.13</t>
  </si>
  <si>
    <t>4279.31</t>
  </si>
  <si>
    <t>4109.7</t>
  </si>
  <si>
    <t>1.71E+09</t>
  </si>
  <si>
    <t>4171.62</t>
  </si>
  <si>
    <t>4214.63</t>
  </si>
  <si>
    <t>4039.29</t>
  </si>
  <si>
    <t>4166.11</t>
  </si>
  <si>
    <t>4358.43</t>
  </si>
  <si>
    <t>4160.86</t>
  </si>
  <si>
    <t>4341.05</t>
  </si>
  <si>
    <t>4269.81</t>
  </si>
  <si>
    <t>4395.81</t>
  </si>
  <si>
    <t>4470.23</t>
  </si>
  <si>
    <t>4377.46</t>
  </si>
  <si>
    <t>1.43E+09</t>
  </si>
  <si>
    <t>4408.46</t>
  </si>
  <si>
    <t>4432.47</t>
  </si>
  <si>
    <t>4258.89</t>
  </si>
  <si>
    <t>1.29E+09</t>
  </si>
  <si>
    <t>4319.37</t>
  </si>
  <si>
    <t>4352.31</t>
  </si>
  <si>
    <t>4210.42</t>
  </si>
  <si>
    <t>30295.81</t>
  </si>
  <si>
    <t>4229.88</t>
  </si>
  <si>
    <t>4362.64</t>
  </si>
  <si>
    <t>4164.05</t>
  </si>
  <si>
    <t>4324.46</t>
  </si>
  <si>
    <t>4413.27</t>
  </si>
  <si>
    <t>4320.53</t>
  </si>
  <si>
    <t>4369.35</t>
  </si>
  <si>
    <t>4443.88</t>
  </si>
  <si>
    <t>4321.05</t>
  </si>
  <si>
    <t>9.07E+08</t>
  </si>
  <si>
    <t>4429.67</t>
  </si>
  <si>
    <t>4624.14</t>
  </si>
  <si>
    <t>4405.64</t>
  </si>
  <si>
    <t>1.31E+09</t>
  </si>
  <si>
    <t>4614.52</t>
  </si>
  <si>
    <t>4878.71</t>
  </si>
  <si>
    <t>4564.25</t>
  </si>
  <si>
    <t>1.97E+09</t>
  </si>
  <si>
    <t>4776.21</t>
  </si>
  <si>
    <t>4922.17</t>
  </si>
  <si>
    <t>4765.1</t>
  </si>
  <si>
    <t>1.6E+09</t>
  </si>
  <si>
    <t>4789.25</t>
  </si>
  <si>
    <t>4873.73</t>
  </si>
  <si>
    <t>4751.63</t>
  </si>
  <si>
    <t>1.22E+09</t>
  </si>
  <si>
    <t>4829.58</t>
  </si>
  <si>
    <t>2.79E+09</t>
  </si>
  <si>
    <t>5464.16</t>
  </si>
  <si>
    <t>5840.3</t>
  </si>
  <si>
    <t>5436.85</t>
  </si>
  <si>
    <t>3.62E+09</t>
  </si>
  <si>
    <t>5643.53</t>
  </si>
  <si>
    <t>5591.64</t>
  </si>
  <si>
    <t>1.67E+09</t>
  </si>
  <si>
    <t>5835.96</t>
  </si>
  <si>
    <t>5852.48</t>
  </si>
  <si>
    <t>5478.61</t>
  </si>
  <si>
    <t>1.98E+09</t>
  </si>
  <si>
    <t>5687.57</t>
  </si>
  <si>
    <t>5776.23</t>
  </si>
  <si>
    <t>5544.21</t>
  </si>
  <si>
    <t>2.01E+09</t>
  </si>
  <si>
    <t>5741.58</t>
  </si>
  <si>
    <t>5800.35</t>
  </si>
  <si>
    <t>5472.72</t>
  </si>
  <si>
    <t>5603.82</t>
  </si>
  <si>
    <t>5151.44</t>
  </si>
  <si>
    <t>2.4E+09</t>
  </si>
  <si>
    <t>5583.74</t>
  </si>
  <si>
    <t>5744.35</t>
  </si>
  <si>
    <t>5531.06</t>
  </si>
  <si>
    <t>5708.11</t>
  </si>
  <si>
    <t>6060.11</t>
  </si>
  <si>
    <t>5627.23</t>
  </si>
  <si>
    <t>2.35E+09</t>
  </si>
  <si>
    <t>5996.79</t>
  </si>
  <si>
    <t>6194.88</t>
  </si>
  <si>
    <t>5965.07</t>
  </si>
  <si>
    <t>2.21E+09</t>
  </si>
  <si>
    <t>6036.66</t>
  </si>
  <si>
    <t>6076.26</t>
  </si>
  <si>
    <t>5792.34</t>
  </si>
  <si>
    <t>6075.59</t>
  </si>
  <si>
    <t>5732.47</t>
  </si>
  <si>
    <t>5935.52</t>
  </si>
  <si>
    <t>5504.18</t>
  </si>
  <si>
    <t>5524.6</t>
  </si>
  <si>
    <t>5754.33</t>
  </si>
  <si>
    <t>5397.88</t>
  </si>
  <si>
    <t>5747.95</t>
  </si>
  <si>
    <t>5976.8</t>
  </si>
  <si>
    <t>5721.22</t>
  </si>
  <si>
    <t>1.91E+09</t>
  </si>
  <si>
    <t>5899.74</t>
  </si>
  <si>
    <t>5988.39</t>
  </si>
  <si>
    <t>5728.82</t>
  </si>
  <si>
    <t>5787.82</t>
  </si>
  <si>
    <t>5876.72</t>
  </si>
  <si>
    <t>5689.19</t>
  </si>
  <si>
    <t>1.4E+09</t>
  </si>
  <si>
    <t>5754.44</t>
  </si>
  <si>
    <t>6255.71</t>
  </si>
  <si>
    <t>5724.58</t>
  </si>
  <si>
    <t>2.86E+09</t>
  </si>
  <si>
    <t>6114.85</t>
  </si>
  <si>
    <t>6214.99</t>
  </si>
  <si>
    <t>6040.85</t>
  </si>
  <si>
    <t>1.77E+09</t>
  </si>
  <si>
    <t>6132.02</t>
  </si>
  <si>
    <t>6470.43</t>
  </si>
  <si>
    <t>6103.33</t>
  </si>
  <si>
    <t>2.31E+09</t>
  </si>
  <si>
    <t>6440.97</t>
  </si>
  <si>
    <t>6377.88</t>
  </si>
  <si>
    <t>2.87E+09</t>
  </si>
  <si>
    <t>6777.77</t>
  </si>
  <si>
    <t>7367.33</t>
  </si>
  <si>
    <t>6758.72</t>
  </si>
  <si>
    <t>4.65E+09</t>
  </si>
  <si>
    <t>7087.53</t>
  </si>
  <si>
    <t>7461.29</t>
  </si>
  <si>
    <t>7002.94</t>
  </si>
  <si>
    <t>3.37E+09</t>
  </si>
  <si>
    <t>7164.48</t>
  </si>
  <si>
    <t>7031.28</t>
  </si>
  <si>
    <t>2.48E+09</t>
  </si>
  <si>
    <t>7404.52</t>
  </si>
  <si>
    <t>7617.48</t>
  </si>
  <si>
    <t>7333.19</t>
  </si>
  <si>
    <t>2.38E+09</t>
  </si>
  <si>
    <t>7403.22</t>
  </si>
  <si>
    <t>7445.77</t>
  </si>
  <si>
    <t>7007.31</t>
  </si>
  <si>
    <t>3.11E+09</t>
  </si>
  <si>
    <t>7023.1</t>
  </si>
  <si>
    <t>7253.32</t>
  </si>
  <si>
    <t>2.33E+09</t>
  </si>
  <si>
    <t>7141.38</t>
  </si>
  <si>
    <t>7776.42</t>
  </si>
  <si>
    <t>7114.02</t>
  </si>
  <si>
    <t>4.6E+09</t>
  </si>
  <si>
    <t>7446.83</t>
  </si>
  <si>
    <t>7101.52</t>
  </si>
  <si>
    <t>2947.71</t>
  </si>
  <si>
    <t>3.23E+09</t>
  </si>
  <si>
    <t>7173.73</t>
  </si>
  <si>
    <t>6436.87</t>
  </si>
  <si>
    <t>5.21E+09</t>
  </si>
  <si>
    <t>6618.61</t>
  </si>
  <si>
    <t>6873.15</t>
  </si>
  <si>
    <t>6204.22</t>
  </si>
  <si>
    <t>4.91E+09</t>
  </si>
  <si>
    <t>6295.45</t>
  </si>
  <si>
    <t>5519.01</t>
  </si>
  <si>
    <t>8.96E+09</t>
  </si>
  <si>
    <t>5938.25</t>
  </si>
  <si>
    <t>6811.19</t>
  </si>
  <si>
    <t>5844.29</t>
  </si>
  <si>
    <t>6.26E+09</t>
  </si>
  <si>
    <t>6561.48</t>
  </si>
  <si>
    <t>6461.75</t>
  </si>
  <si>
    <t>3.2E+09</t>
  </si>
  <si>
    <t>6634.76</t>
  </si>
  <si>
    <t>7342.25</t>
  </si>
  <si>
    <t>4.2E+09</t>
  </si>
  <si>
    <t>7323.24</t>
  </si>
  <si>
    <t>7967.38</t>
  </si>
  <si>
    <t>7176.58</t>
  </si>
  <si>
    <t>5.12E+09</t>
  </si>
  <si>
    <t>7853.57</t>
  </si>
  <si>
    <t>8004.59</t>
  </si>
  <si>
    <t>7561.09</t>
  </si>
  <si>
    <t>7697.21</t>
  </si>
  <si>
    <t>7884.99</t>
  </si>
  <si>
    <t>7463.44</t>
  </si>
  <si>
    <t>3.67E+09</t>
  </si>
  <si>
    <t>7766.03</t>
  </si>
  <si>
    <t>8101.91</t>
  </si>
  <si>
    <t>7694.1</t>
  </si>
  <si>
    <t>3.15E+09</t>
  </si>
  <si>
    <t>8039.07</t>
  </si>
  <si>
    <t>8336.86</t>
  </si>
  <si>
    <t>7949.36</t>
  </si>
  <si>
    <t>3.49E+09</t>
  </si>
  <si>
    <t>8205.74</t>
  </si>
  <si>
    <t>8348.66</t>
  </si>
  <si>
    <t>7762.71</t>
  </si>
  <si>
    <t>4.28E+09</t>
  </si>
  <si>
    <t>8077.95</t>
  </si>
  <si>
    <t>8302.26</t>
  </si>
  <si>
    <t>8075.47</t>
  </si>
  <si>
    <t>3.63E+09</t>
  </si>
  <si>
    <t>8232.38</t>
  </si>
  <si>
    <t>8267.4</t>
  </si>
  <si>
    <t>4.23E+09</t>
  </si>
  <si>
    <t>8074.02</t>
  </si>
  <si>
    <t>8374.16</t>
  </si>
  <si>
    <t>7940.93</t>
  </si>
  <si>
    <t>5.06E+09</t>
  </si>
  <si>
    <t>8241.71</t>
  </si>
  <si>
    <t>8191.15</t>
  </si>
  <si>
    <t>4.34E+09</t>
  </si>
  <si>
    <t>8789.04</t>
  </si>
  <si>
    <t>9522.93</t>
  </si>
  <si>
    <t>8775.59</t>
  </si>
  <si>
    <t>5.48E+09</t>
  </si>
  <si>
    <t>9352.72</t>
  </si>
  <si>
    <t>5.65E+09</t>
  </si>
  <si>
    <t>9823.43</t>
  </si>
  <si>
    <t>10125.7</t>
  </si>
  <si>
    <t>9736.3</t>
  </si>
  <si>
    <t>6.35E+09</t>
  </si>
  <si>
    <t>10077.4</t>
  </si>
  <si>
    <t>9601.03</t>
  </si>
  <si>
    <t>1.16E+10</t>
  </si>
  <si>
    <t>9906.79</t>
  </si>
  <si>
    <t>9202.05</t>
  </si>
  <si>
    <t>8.31E+09</t>
  </si>
  <si>
    <t>10198.6</t>
  </si>
  <si>
    <t>11046.7</t>
  </si>
  <si>
    <t>9694.65</t>
  </si>
  <si>
    <t>6.78E+09</t>
  </si>
  <si>
    <t>10978.3</t>
  </si>
  <si>
    <t>11320.2</t>
  </si>
  <si>
    <t>10905.1</t>
  </si>
  <si>
    <t>5.14E+09</t>
  </si>
  <si>
    <t>11082.7</t>
  </si>
  <si>
    <t>11858.7</t>
  </si>
  <si>
    <t>6.61E+09</t>
  </si>
  <si>
    <t>11315.4</t>
  </si>
  <si>
    <t>11657.2</t>
  </si>
  <si>
    <t>11081.8</t>
  </si>
  <si>
    <t>6.13E+09</t>
  </si>
  <si>
    <t>11685.7</t>
  </si>
  <si>
    <t>11604.6</t>
  </si>
  <si>
    <t>6.9E+09</t>
  </si>
  <si>
    <t>11923.4</t>
  </si>
  <si>
    <t>14369.1</t>
  </si>
  <si>
    <t>291.76</t>
  </si>
  <si>
    <t>14266.1</t>
  </si>
  <si>
    <t>17899.7</t>
  </si>
  <si>
    <t>14057.3</t>
  </si>
  <si>
    <t>1.8E+10</t>
  </si>
  <si>
    <t>17802.9</t>
  </si>
  <si>
    <t>18353.4</t>
  </si>
  <si>
    <t>14336.9</t>
  </si>
  <si>
    <t>2.11E+10</t>
  </si>
  <si>
    <t>16523.3</t>
  </si>
  <si>
    <t>13674.9</t>
  </si>
  <si>
    <t>1.39E+10</t>
  </si>
  <si>
    <t>15168.4</t>
  </si>
  <si>
    <t>15850.6</t>
  </si>
  <si>
    <t>13226.6</t>
  </si>
  <si>
    <t>1.34E+10</t>
  </si>
  <si>
    <t>15427.4</t>
  </si>
  <si>
    <t>17513.9</t>
  </si>
  <si>
    <t>15404.8</t>
  </si>
  <si>
    <t>1.22E+10</t>
  </si>
  <si>
    <t>17781.8</t>
  </si>
  <si>
    <t>16571.6</t>
  </si>
  <si>
    <t>1.46E+10</t>
  </si>
  <si>
    <t>17653.1</t>
  </si>
  <si>
    <t>16039.7</t>
  </si>
  <si>
    <t>1.3E+10</t>
  </si>
  <si>
    <t>16384.6</t>
  </si>
  <si>
    <t>17085.8</t>
  </si>
  <si>
    <t>16185.9</t>
  </si>
  <si>
    <t>1.38E+10</t>
  </si>
  <si>
    <t>16601.3</t>
  </si>
  <si>
    <t>18154.1</t>
  </si>
  <si>
    <t>2895.89</t>
  </si>
  <si>
    <t>1.43E+10</t>
  </si>
  <si>
    <t>17760.3</t>
  </si>
  <si>
    <t>19716.7</t>
  </si>
  <si>
    <t>17515.3</t>
  </si>
  <si>
    <t>19475.8</t>
  </si>
  <si>
    <t>18974.1</t>
  </si>
  <si>
    <t>289.59</t>
  </si>
  <si>
    <t>19106.4</t>
  </si>
  <si>
    <t>18355.9</t>
  </si>
  <si>
    <t>19118.3</t>
  </si>
  <si>
    <t>19177.8</t>
  </si>
  <si>
    <t>17275.4</t>
  </si>
  <si>
    <t>1.69E+10</t>
  </si>
  <si>
    <t>17934.7</t>
  </si>
  <si>
    <t>16077.7</t>
  </si>
  <si>
    <t>2.21E+10</t>
  </si>
  <si>
    <t>16642.4</t>
  </si>
  <si>
    <t>17567.7</t>
  </si>
  <si>
    <t>15342.7</t>
  </si>
  <si>
    <t>1.65E+10</t>
  </si>
  <si>
    <t>15943.4</t>
  </si>
  <si>
    <t>2875.34</t>
  </si>
  <si>
    <t>2.22E+10</t>
  </si>
  <si>
    <t>13948.7</t>
  </si>
  <si>
    <t>15603.2</t>
  </si>
  <si>
    <t>13828.8</t>
  </si>
  <si>
    <t>1.31E+10</t>
  </si>
  <si>
    <t>14608.2</t>
  </si>
  <si>
    <t>12747.7</t>
  </si>
  <si>
    <t>13995.9</t>
  </si>
  <si>
    <t>13448.9</t>
  </si>
  <si>
    <t>14036.6</t>
  </si>
  <si>
    <t>16461.2</t>
  </si>
  <si>
    <t>14028.9</t>
  </si>
  <si>
    <t>1.35E+10</t>
  </si>
  <si>
    <t>16163.5</t>
  </si>
  <si>
    <t>16930.9</t>
  </si>
  <si>
    <t>15114.3</t>
  </si>
  <si>
    <t>2863.2</t>
  </si>
  <si>
    <t>1.25E+10</t>
  </si>
  <si>
    <t>15864.1</t>
  </si>
  <si>
    <t>15888.4</t>
  </si>
  <si>
    <t>13937.3</t>
  </si>
  <si>
    <t>1.23E+10</t>
  </si>
  <si>
    <t>14695.8</t>
  </si>
  <si>
    <t>14681.9</t>
  </si>
  <si>
    <t>12350.1</t>
  </si>
  <si>
    <t>12897.7</t>
  </si>
  <si>
    <t>14377.4</t>
  </si>
  <si>
    <t>12755.6</t>
  </si>
  <si>
    <t>1.21E+10</t>
  </si>
  <si>
    <t>14112.2</t>
  </si>
  <si>
    <t>13154.7</t>
  </si>
  <si>
    <t>1.03E+10</t>
  </si>
  <si>
    <t>15444.6</t>
  </si>
  <si>
    <t>13163.6</t>
  </si>
  <si>
    <t>1.68E+10</t>
  </si>
  <si>
    <t>14978.2</t>
  </si>
  <si>
    <t>15572.8</t>
  </si>
  <si>
    <t>14844.5</t>
  </si>
  <si>
    <t>15270.7</t>
  </si>
  <si>
    <t>15739.7</t>
  </si>
  <si>
    <t>14522.2</t>
  </si>
  <si>
    <t>284.65</t>
  </si>
  <si>
    <t>2.18E+10</t>
  </si>
  <si>
    <t>15477.2</t>
  </si>
  <si>
    <t>17705.2</t>
  </si>
  <si>
    <t>15202.8</t>
  </si>
  <si>
    <t>2.38E+10</t>
  </si>
  <si>
    <t>17462.1</t>
  </si>
  <si>
    <t>17712.4</t>
  </si>
  <si>
    <t>16764.6</t>
  </si>
  <si>
    <t>1.83E+10</t>
  </si>
  <si>
    <t>17527.3</t>
  </si>
  <si>
    <t>17579.6</t>
  </si>
  <si>
    <t>16087.7</t>
  </si>
  <si>
    <t>1.59E+10</t>
  </si>
  <si>
    <t>16476.2</t>
  </si>
  <si>
    <t>16537.9</t>
  </si>
  <si>
    <t>14208.2</t>
  </si>
  <si>
    <t>1.84E+10</t>
  </si>
  <si>
    <t>15123.7</t>
  </si>
  <si>
    <t>15497.5</t>
  </si>
  <si>
    <t>1.67E+10</t>
  </si>
  <si>
    <t>14588.5</t>
  </si>
  <si>
    <t>14973.3</t>
  </si>
  <si>
    <t>13691.2</t>
  </si>
  <si>
    <t>1.85E+10</t>
  </si>
  <si>
    <t>14968.2</t>
  </si>
  <si>
    <t>15018.8</t>
  </si>
  <si>
    <t>13105.9</t>
  </si>
  <si>
    <t>13453.9</t>
  </si>
  <si>
    <t>14229.9</t>
  </si>
  <si>
    <t>13158.1</t>
  </si>
  <si>
    <t>283.68</t>
  </si>
  <si>
    <t>13952.4</t>
  </si>
  <si>
    <t>14659.5</t>
  </si>
  <si>
    <t>1.28E+10</t>
  </si>
  <si>
    <t>14370.8</t>
  </si>
  <si>
    <t>14511.8</t>
  </si>
  <si>
    <t>2823.81</t>
  </si>
  <si>
    <t>1.11E+10</t>
  </si>
  <si>
    <t>13767.3</t>
  </si>
  <si>
    <t>14445.5</t>
  </si>
  <si>
    <t>13641.7</t>
  </si>
  <si>
    <t>13836.1</t>
  </si>
  <si>
    <t>13843.1</t>
  </si>
  <si>
    <t>10194.9</t>
  </si>
  <si>
    <t>1.89E+10</t>
  </si>
  <si>
    <t>11431.1</t>
  </si>
  <si>
    <t>9402.29</t>
  </si>
  <si>
    <t>1.88E+10</t>
  </si>
  <si>
    <t>11198.8</t>
  </si>
  <si>
    <t>12107.3</t>
  </si>
  <si>
    <t>10942.5</t>
  </si>
  <si>
    <t>2817.6</t>
  </si>
  <si>
    <t>11429.8</t>
  </si>
  <si>
    <t>11992.8</t>
  </si>
  <si>
    <t>11172.1</t>
  </si>
  <si>
    <t>11656.2</t>
  </si>
  <si>
    <t>2810.12</t>
  </si>
  <si>
    <t>1.18E+10</t>
  </si>
  <si>
    <t>12889.2</t>
  </si>
  <si>
    <t>12895.9</t>
  </si>
  <si>
    <t>11288.2</t>
  </si>
  <si>
    <t>2809.01</t>
  </si>
  <si>
    <t>9.94E+09</t>
  </si>
  <si>
    <t>11633.1</t>
  </si>
  <si>
    <t>11966.4</t>
  </si>
  <si>
    <t>10240.2</t>
  </si>
  <si>
    <t>1.05E+10</t>
  </si>
  <si>
    <t>10944.5</t>
  </si>
  <si>
    <t>11377.6</t>
  </si>
  <si>
    <t>10129.7</t>
  </si>
  <si>
    <t>2805.62</t>
  </si>
  <si>
    <t>9.66E+09</t>
  </si>
  <si>
    <t>10903.4</t>
  </si>
  <si>
    <t>11501.4</t>
  </si>
  <si>
    <t>10639.8</t>
  </si>
  <si>
    <t>11421.7</t>
  </si>
  <si>
    <t>11785.7</t>
  </si>
  <si>
    <t>11057.4</t>
  </si>
  <si>
    <t>2804.73</t>
  </si>
  <si>
    <t>8.87E+09</t>
  </si>
  <si>
    <t>11656.7</t>
  </si>
  <si>
    <t>10470.3</t>
  </si>
  <si>
    <t>9.75E+09</t>
  </si>
  <si>
    <t>11174.9</t>
  </si>
  <si>
    <t>11614.9</t>
  </si>
  <si>
    <t>10989.2</t>
  </si>
  <si>
    <t>7.58E+09</t>
  </si>
  <si>
    <t>11475.3</t>
  </si>
  <si>
    <t>12040.3</t>
  </si>
  <si>
    <t>8.35E+09</t>
  </si>
  <si>
    <t>11755.5</t>
  </si>
  <si>
    <t>11875.6</t>
  </si>
  <si>
    <t>11179.2</t>
  </si>
  <si>
    <t>7.11E+09</t>
  </si>
  <si>
    <t>11306.8</t>
  </si>
  <si>
    <t>11307.2</t>
  </si>
  <si>
    <t>10036.2</t>
  </si>
  <si>
    <t>8.64E+09</t>
  </si>
  <si>
    <t>10108.2</t>
  </si>
  <si>
    <t>10381.6</t>
  </si>
  <si>
    <t>9777.42</t>
  </si>
  <si>
    <t>8.04E+09</t>
  </si>
  <si>
    <t>10237.3</t>
  </si>
  <si>
    <t>10288.8</t>
  </si>
  <si>
    <t>8812.28</t>
  </si>
  <si>
    <t>9.96E+09</t>
  </si>
  <si>
    <t>9142.28</t>
  </si>
  <si>
    <t>7796.49</t>
  </si>
  <si>
    <t>8852.12</t>
  </si>
  <si>
    <t>9430.75</t>
  </si>
  <si>
    <t>8251.63</t>
  </si>
  <si>
    <t>7.26E+09</t>
  </si>
  <si>
    <t>9175.7</t>
  </si>
  <si>
    <t>9334.87</t>
  </si>
  <si>
    <t>8031.22</t>
  </si>
  <si>
    <t>27817.5</t>
  </si>
  <si>
    <t>7.07E+09</t>
  </si>
  <si>
    <t>8270.54</t>
  </si>
  <si>
    <t>8364.84</t>
  </si>
  <si>
    <t>6756.68</t>
  </si>
  <si>
    <t>9.29E+09</t>
  </si>
  <si>
    <t>7051.75</t>
  </si>
  <si>
    <t>7850.7</t>
  </si>
  <si>
    <t>6048.26</t>
  </si>
  <si>
    <t>1.4E+10</t>
  </si>
  <si>
    <t>7755.49</t>
  </si>
  <si>
    <t>8509.11</t>
  </si>
  <si>
    <t>7236.79</t>
  </si>
  <si>
    <t>9.17E+09</t>
  </si>
  <si>
    <t>7637.86</t>
  </si>
  <si>
    <t>8558.77</t>
  </si>
  <si>
    <t>9.35E+09</t>
  </si>
  <si>
    <t>8271.84</t>
  </si>
  <si>
    <t>7884.71</t>
  </si>
  <si>
    <t>8720.08</t>
  </si>
  <si>
    <t>9122.55</t>
  </si>
  <si>
    <t>8295.47</t>
  </si>
  <si>
    <t>7.78E+09</t>
  </si>
  <si>
    <t>8616.13</t>
  </si>
  <si>
    <t>7931.1</t>
  </si>
  <si>
    <t>6.12E+09</t>
  </si>
  <si>
    <t>8141.43</t>
  </si>
  <si>
    <t>8985.92</t>
  </si>
  <si>
    <t>8926.72</t>
  </si>
  <si>
    <t>8958.47</t>
  </si>
  <si>
    <t>8455.41</t>
  </si>
  <si>
    <t>5.7E+09</t>
  </si>
  <si>
    <t>8599.92</t>
  </si>
  <si>
    <t>9518.54</t>
  </si>
  <si>
    <t>7.91E+09</t>
  </si>
  <si>
    <t>9488.32</t>
  </si>
  <si>
    <t>10234.8</t>
  </si>
  <si>
    <t>9395.58</t>
  </si>
  <si>
    <t>9.06E+09</t>
  </si>
  <si>
    <t>10135.7</t>
  </si>
  <si>
    <t>10324.1</t>
  </si>
  <si>
    <t>9824.82</t>
  </si>
  <si>
    <t>2757.18</t>
  </si>
  <si>
    <t>7.3E+09</t>
  </si>
  <si>
    <t>10207.5</t>
  </si>
  <si>
    <t>10149.4</t>
  </si>
  <si>
    <t>2754.86</t>
  </si>
  <si>
    <t>8.66E+09</t>
  </si>
  <si>
    <t>11123.4</t>
  </si>
  <si>
    <t>11349.8</t>
  </si>
  <si>
    <t>8.74E+09</t>
  </si>
  <si>
    <t>10552.6</t>
  </si>
  <si>
    <t>11273.8</t>
  </si>
  <si>
    <t>10513.2</t>
  </si>
  <si>
    <t>7.65E+09</t>
  </si>
  <si>
    <t>11231.8</t>
  </si>
  <si>
    <t>11958.5</t>
  </si>
  <si>
    <t>9.93E+09</t>
  </si>
  <si>
    <t>11372.2</t>
  </si>
  <si>
    <t>11418.5</t>
  </si>
  <si>
    <t>10479.1</t>
  </si>
  <si>
    <t>9.41E+09</t>
  </si>
  <si>
    <t>10660.4</t>
  </si>
  <si>
    <t>11039.1</t>
  </si>
  <si>
    <t>9939.09</t>
  </si>
  <si>
    <t>9937.07</t>
  </si>
  <si>
    <t>10487.3</t>
  </si>
  <si>
    <t>9734.56</t>
  </si>
  <si>
    <t>2744.91</t>
  </si>
  <si>
    <t>7.74E+09</t>
  </si>
  <si>
    <t>10287.7</t>
  </si>
  <si>
    <t>10597.2</t>
  </si>
  <si>
    <t>9546.97</t>
  </si>
  <si>
    <t>6.92E+09</t>
  </si>
  <si>
    <t>9796.42</t>
  </si>
  <si>
    <t>9923.22</t>
  </si>
  <si>
    <t>9407.06</t>
  </si>
  <si>
    <t>5.71E+09</t>
  </si>
  <si>
    <t>9669.43</t>
  </si>
  <si>
    <t>9501.73</t>
  </si>
  <si>
    <t>7.29E+09</t>
  </si>
  <si>
    <t>10393.9</t>
  </si>
  <si>
    <t>10878.5</t>
  </si>
  <si>
    <t>10246.1</t>
  </si>
  <si>
    <t>6.97E+09</t>
  </si>
  <si>
    <t>10687.2</t>
  </si>
  <si>
    <t>11089.8</t>
  </si>
  <si>
    <t>10393.1</t>
  </si>
  <si>
    <t>6.94E+09</t>
  </si>
  <si>
    <t>11052.3</t>
  </si>
  <si>
    <t>10352.7</t>
  </si>
  <si>
    <t>7.32E+09</t>
  </si>
  <si>
    <t>10977.4</t>
  </si>
  <si>
    <t>10850.1</t>
  </si>
  <si>
    <t>2732.16</t>
  </si>
  <si>
    <t>7.62E+09</t>
  </si>
  <si>
    <t>11101.9</t>
  </si>
  <si>
    <t>11528.2</t>
  </si>
  <si>
    <t>11002.4</t>
  </si>
  <si>
    <t>6.69E+09</t>
  </si>
  <si>
    <t>11497.4</t>
  </si>
  <si>
    <t>11512.6</t>
  </si>
  <si>
    <t>11136.1</t>
  </si>
  <si>
    <t>2730.4</t>
  </si>
  <si>
    <t>6.08E+09</t>
  </si>
  <si>
    <t>11532.4</t>
  </si>
  <si>
    <t>11704.1</t>
  </si>
  <si>
    <t>11443.9</t>
  </si>
  <si>
    <t>6.47E+09</t>
  </si>
  <si>
    <t>11500.1</t>
  </si>
  <si>
    <t>10694.3</t>
  </si>
  <si>
    <t>6.83E+09</t>
  </si>
  <si>
    <t>10803.9</t>
  </si>
  <si>
    <t>10929.5</t>
  </si>
  <si>
    <t>9692.12</t>
  </si>
  <si>
    <t>8.8E+09</t>
  </si>
  <si>
    <t>9951.44</t>
  </si>
  <si>
    <t>10147.4</t>
  </si>
  <si>
    <t>9335.87</t>
  </si>
  <si>
    <t>2726.45</t>
  </si>
  <si>
    <t>7.19E+09</t>
  </si>
  <si>
    <t>9414.69</t>
  </si>
  <si>
    <t>9466.35</t>
  </si>
  <si>
    <t>8513.03</t>
  </si>
  <si>
    <t>8.7E+09</t>
  </si>
  <si>
    <t>9350.59</t>
  </si>
  <si>
    <t>9531.32</t>
  </si>
  <si>
    <t>8828.47</t>
  </si>
  <si>
    <t>5.39E+09</t>
  </si>
  <si>
    <t>8852.78</t>
  </si>
  <si>
    <t>9711.89</t>
  </si>
  <si>
    <t>8607.12</t>
  </si>
  <si>
    <t>6.3E+09</t>
  </si>
  <si>
    <t>9602.93</t>
  </si>
  <si>
    <t>9937.5</t>
  </si>
  <si>
    <t>8956.43</t>
  </si>
  <si>
    <t>6.46E+09</t>
  </si>
  <si>
    <t>9173.04</t>
  </si>
  <si>
    <t>9470.38</t>
  </si>
  <si>
    <t>8958.19</t>
  </si>
  <si>
    <t>5.99E+09</t>
  </si>
  <si>
    <t>9214.65</t>
  </si>
  <si>
    <t>9355.85</t>
  </si>
  <si>
    <t>8068.59</t>
  </si>
  <si>
    <t>2721.79</t>
  </si>
  <si>
    <t>6.44E+09</t>
  </si>
  <si>
    <t>8290.76</t>
  </si>
  <si>
    <t>8428.35</t>
  </si>
  <si>
    <t>7783.05</t>
  </si>
  <si>
    <t>8322.91</t>
  </si>
  <si>
    <t>8585.15</t>
  </si>
  <si>
    <t>8005.31</t>
  </si>
  <si>
    <t>2718.26</t>
  </si>
  <si>
    <t>5.29E+09</t>
  </si>
  <si>
    <t>8321.91</t>
  </si>
  <si>
    <t>8346.53</t>
  </si>
  <si>
    <t>7812.82</t>
  </si>
  <si>
    <t>2717.02</t>
  </si>
  <si>
    <t>4.43E+09</t>
  </si>
  <si>
    <t>7890.52</t>
  </si>
  <si>
    <t>8245.51</t>
  </si>
  <si>
    <t>7397.99</t>
  </si>
  <si>
    <t>6.64E+09</t>
  </si>
  <si>
    <t>8344.12</t>
  </si>
  <si>
    <t>8675.87</t>
  </si>
  <si>
    <t>8182.4</t>
  </si>
  <si>
    <t>6.73E+09</t>
  </si>
  <si>
    <t>8619.67</t>
  </si>
  <si>
    <t>9051.02</t>
  </si>
  <si>
    <t>8389.89</t>
  </si>
  <si>
    <t>6.36E+09</t>
  </si>
  <si>
    <t>8937.48</t>
  </si>
  <si>
    <t>9177.37</t>
  </si>
  <si>
    <t>8846.33</t>
  </si>
  <si>
    <t>6.04E+09</t>
  </si>
  <si>
    <t>8939.44</t>
  </si>
  <si>
    <t>9100.71</t>
  </si>
  <si>
    <t>8564.9</t>
  </si>
  <si>
    <t>5.53E+09</t>
  </si>
  <si>
    <t>8736.25</t>
  </si>
  <si>
    <t>8360.62</t>
  </si>
  <si>
    <t>2710.67</t>
  </si>
  <si>
    <t>5.95E+09</t>
  </si>
  <si>
    <t>8901.95</t>
  </si>
  <si>
    <t>8996.18</t>
  </si>
  <si>
    <t>8665.7</t>
  </si>
  <si>
    <t>5.66E+09</t>
  </si>
  <si>
    <t>8612.81</t>
  </si>
  <si>
    <t>8682.01</t>
  </si>
  <si>
    <t>8449.1</t>
  </si>
  <si>
    <t>27075.13</t>
  </si>
  <si>
    <t>4.57E+09</t>
  </si>
  <si>
    <t>8498.47</t>
  </si>
  <si>
    <t>8530.08</t>
  </si>
  <si>
    <t>7921.43</t>
  </si>
  <si>
    <t>2705.41</t>
  </si>
  <si>
    <t>5.92E+09</t>
  </si>
  <si>
    <t>8232.78</t>
  </si>
  <si>
    <t>7797.28</t>
  </si>
  <si>
    <t>5.38E+09</t>
  </si>
  <si>
    <t>7836.83</t>
  </si>
  <si>
    <t>8122.89</t>
  </si>
  <si>
    <t>7809.17</t>
  </si>
  <si>
    <t>4.94E+09</t>
  </si>
  <si>
    <t>7979.07</t>
  </si>
  <si>
    <t>7994.33</t>
  </si>
  <si>
    <t>7081.38</t>
  </si>
  <si>
    <t>7171.45</t>
  </si>
  <si>
    <t>7276.66</t>
  </si>
  <si>
    <t>6683.93</t>
  </si>
  <si>
    <t>270.64</t>
  </si>
  <si>
    <t>6.29E+09</t>
  </si>
  <si>
    <t>6892.48</t>
  </si>
  <si>
    <t>7207.85</t>
  </si>
  <si>
    <t>6863.52</t>
  </si>
  <si>
    <t>4.55E+09</t>
  </si>
  <si>
    <t>7003.06</t>
  </si>
  <si>
    <t>7060.95</t>
  </si>
  <si>
    <t>6526.87</t>
  </si>
  <si>
    <t>4.53E+09</t>
  </si>
  <si>
    <t>6844.86</t>
  </si>
  <si>
    <t>7135.47</t>
  </si>
  <si>
    <t>6816.58</t>
  </si>
  <si>
    <t>4.33E+09</t>
  </si>
  <si>
    <t>7102.26</t>
  </si>
  <si>
    <t>7530.94</t>
  </si>
  <si>
    <t>7072.49</t>
  </si>
  <si>
    <t>5.5E+09</t>
  </si>
  <si>
    <t>7456.41</t>
  </si>
  <si>
    <t>7469.88</t>
  </si>
  <si>
    <t>6803.88</t>
  </si>
  <si>
    <t>269.03</t>
  </si>
  <si>
    <t>6848.65</t>
  </si>
  <si>
    <t>6933.82</t>
  </si>
  <si>
    <t>6644.8</t>
  </si>
  <si>
    <t>5.64E+09</t>
  </si>
  <si>
    <t>6815.96</t>
  </si>
  <si>
    <t>6857.49</t>
  </si>
  <si>
    <t>2689.1</t>
  </si>
  <si>
    <t>3.77E+09</t>
  </si>
  <si>
    <t>6630.51</t>
  </si>
  <si>
    <t>7050.54</t>
  </si>
  <si>
    <t>3.98E+09</t>
  </si>
  <si>
    <t>6919.98</t>
  </si>
  <si>
    <t>3.65E+09</t>
  </si>
  <si>
    <t>7044.32</t>
  </si>
  <si>
    <t>7178.11</t>
  </si>
  <si>
    <t>6661.99</t>
  </si>
  <si>
    <t>4.89E+09</t>
  </si>
  <si>
    <t>6795.44</t>
  </si>
  <si>
    <t>6872.41</t>
  </si>
  <si>
    <t>6704.15</t>
  </si>
  <si>
    <t>4.27E+09</t>
  </si>
  <si>
    <t>6843.47</t>
  </si>
  <si>
    <t>6968.32</t>
  </si>
  <si>
    <t>6817.59</t>
  </si>
  <si>
    <t>4.64E+09</t>
  </si>
  <si>
    <t>6955.38</t>
  </si>
  <si>
    <t>7899.23</t>
  </si>
  <si>
    <t>6806.51</t>
  </si>
  <si>
    <t>8.91E+09</t>
  </si>
  <si>
    <t>7901.09</t>
  </si>
  <si>
    <t>8183.96</t>
  </si>
  <si>
    <t>7758.93</t>
  </si>
  <si>
    <t>7.76E+09</t>
  </si>
  <si>
    <t>7874.67</t>
  </si>
  <si>
    <t>8140.71</t>
  </si>
  <si>
    <t>5.19E+09</t>
  </si>
  <si>
    <t>7999.33</t>
  </si>
  <si>
    <t>8338.42</t>
  </si>
  <si>
    <t>5.24E+09</t>
  </si>
  <si>
    <t>8337.57</t>
  </si>
  <si>
    <t>8371.15</t>
  </si>
  <si>
    <t>7925.73</t>
  </si>
  <si>
    <t>5.63E+09</t>
  </si>
  <si>
    <t>8071.66</t>
  </si>
  <si>
    <t>8285.96</t>
  </si>
  <si>
    <t>7881.72</t>
  </si>
  <si>
    <t>26784.08</t>
  </si>
  <si>
    <t>7944.43</t>
  </si>
  <si>
    <t>8197.8</t>
  </si>
  <si>
    <t>7886.01</t>
  </si>
  <si>
    <t>6.53E+09</t>
  </si>
  <si>
    <t>8159.27</t>
  </si>
  <si>
    <t>8298.69</t>
  </si>
  <si>
    <t>8138.78</t>
  </si>
  <si>
    <t>7.06E+09</t>
  </si>
  <si>
    <t>8286.88</t>
  </si>
  <si>
    <t>8880.23</t>
  </si>
  <si>
    <t>8244.54</t>
  </si>
  <si>
    <t>8.44E+09</t>
  </si>
  <si>
    <t>8848.79</t>
  </si>
  <si>
    <t>8997.57</t>
  </si>
  <si>
    <t>8652.15</t>
  </si>
  <si>
    <t>7.55E+09</t>
  </si>
  <si>
    <t>8925.06</t>
  </si>
  <si>
    <t>9001.64</t>
  </si>
  <si>
    <t>8779.61</t>
  </si>
  <si>
    <t>6.63E+09</t>
  </si>
  <si>
    <t>8794.39</t>
  </si>
  <si>
    <t>8958.55</t>
  </si>
  <si>
    <t>8788.81</t>
  </si>
  <si>
    <t>2671.78</t>
  </si>
  <si>
    <t>6.93E+09</t>
  </si>
  <si>
    <t>8934.34</t>
  </si>
  <si>
    <t>9732.61</t>
  </si>
  <si>
    <t>8927.83</t>
  </si>
  <si>
    <t>267.96</t>
  </si>
  <si>
    <t>9701.03</t>
  </si>
  <si>
    <t>9745.32</t>
  </si>
  <si>
    <t>8799.84</t>
  </si>
  <si>
    <t>2667.76</t>
  </si>
  <si>
    <t>8867.32</t>
  </si>
  <si>
    <t>9281.51</t>
  </si>
  <si>
    <t>8727.09</t>
  </si>
  <si>
    <t>8.97E+09</t>
  </si>
  <si>
    <t>9290.63</t>
  </si>
  <si>
    <t>9375.47</t>
  </si>
  <si>
    <t>7.57E+09</t>
  </si>
  <si>
    <t>8939.27</t>
  </si>
  <si>
    <t>9412.09</t>
  </si>
  <si>
    <t>8931.99</t>
  </si>
  <si>
    <t>266.74</t>
  </si>
  <si>
    <t>7.81E+09</t>
  </si>
  <si>
    <t>9346.41</t>
  </si>
  <si>
    <t>9531.49</t>
  </si>
  <si>
    <t>9193.71</t>
  </si>
  <si>
    <t>2659.63</t>
  </si>
  <si>
    <t>8.85E+09</t>
  </si>
  <si>
    <t>9426.11</t>
  </si>
  <si>
    <t>9477.14</t>
  </si>
  <si>
    <t>9166.81</t>
  </si>
  <si>
    <t>8.67E+09</t>
  </si>
  <si>
    <t>9251.47</t>
  </si>
  <si>
    <t>8891.05</t>
  </si>
  <si>
    <t>7.71E+09</t>
  </si>
  <si>
    <t>9104.6</t>
  </si>
  <si>
    <t>9256.52</t>
  </si>
  <si>
    <t>9015.14</t>
  </si>
  <si>
    <t>7.56E+09</t>
  </si>
  <si>
    <t>9233.97</t>
  </si>
  <si>
    <t>9798.33</t>
  </si>
  <si>
    <t>9188.15</t>
  </si>
  <si>
    <t>2655.88</t>
  </si>
  <si>
    <t>1.02E+10</t>
  </si>
  <si>
    <t>9695.5</t>
  </si>
  <si>
    <t>9779.2</t>
  </si>
  <si>
    <t>9585.96</t>
  </si>
  <si>
    <t>8.22E+09</t>
  </si>
  <si>
    <t>9700.28</t>
  </si>
  <si>
    <t>9964.5</t>
  </si>
  <si>
    <t>9695.12</t>
  </si>
  <si>
    <t>9845.31</t>
  </si>
  <si>
    <t>9940.14</t>
  </si>
  <si>
    <t>9465.25</t>
  </si>
  <si>
    <t>7.22E+09</t>
  </si>
  <si>
    <t>9645.67</t>
  </si>
  <si>
    <t>9665.85</t>
  </si>
  <si>
    <t>9231.53</t>
  </si>
  <si>
    <t>7.39E+09</t>
  </si>
  <si>
    <t>9380.87</t>
  </si>
  <si>
    <t>9462.75</t>
  </si>
  <si>
    <t>9127.77</t>
  </si>
  <si>
    <t>265.68</t>
  </si>
  <si>
    <t>7.42E+09</t>
  </si>
  <si>
    <t>9223.73</t>
  </si>
  <si>
    <t>9374.76</t>
  </si>
  <si>
    <t>9031.62</t>
  </si>
  <si>
    <t>265.66</t>
  </si>
  <si>
    <t>7.23E+09</t>
  </si>
  <si>
    <t>9325.96</t>
  </si>
  <si>
    <t>9396.04</t>
  </si>
  <si>
    <t>9040.52</t>
  </si>
  <si>
    <t>6.91E+09</t>
  </si>
  <si>
    <t>9052.96</t>
  </si>
  <si>
    <t>8394.46</t>
  </si>
  <si>
    <t>8.49E+09</t>
  </si>
  <si>
    <t>8441.44</t>
  </si>
  <si>
    <t>8664.86</t>
  </si>
  <si>
    <t>8223.5</t>
  </si>
  <si>
    <t>26437.04</t>
  </si>
  <si>
    <t>6.82E+09</t>
  </si>
  <si>
    <t>8515.49</t>
  </si>
  <si>
    <t>8773.55</t>
  </si>
  <si>
    <t>8395.12</t>
  </si>
  <si>
    <t>5.87E+09</t>
  </si>
  <si>
    <t>8713.1</t>
  </si>
  <si>
    <t>8881.12</t>
  </si>
  <si>
    <t>8367.97</t>
  </si>
  <si>
    <t>264.47</t>
  </si>
  <si>
    <t>7.36E+09</t>
  </si>
  <si>
    <t>8705.19</t>
  </si>
  <si>
    <t>8836.19</t>
  </si>
  <si>
    <t>8456.45</t>
  </si>
  <si>
    <t>264.08</t>
  </si>
  <si>
    <t>6.71E+09</t>
  </si>
  <si>
    <t>8504.41</t>
  </si>
  <si>
    <t>8508.43</t>
  </si>
  <si>
    <t>8175.49</t>
  </si>
  <si>
    <t>6.76E+09</t>
  </si>
  <si>
    <t>8370.05</t>
  </si>
  <si>
    <t>8445.54</t>
  </si>
  <si>
    <t>8054.12</t>
  </si>
  <si>
    <t>5.86E+09</t>
  </si>
  <si>
    <t>8091.83</t>
  </si>
  <si>
    <t>8274.12</t>
  </si>
  <si>
    <t>7974.82</t>
  </si>
  <si>
    <t>5.76E+09</t>
  </si>
  <si>
    <t>8255.73</t>
  </si>
  <si>
    <t>8372.06</t>
  </si>
  <si>
    <t>8183.35</t>
  </si>
  <si>
    <t>4.71E+09</t>
  </si>
  <si>
    <t>8246.99</t>
  </si>
  <si>
    <t>8562.41</t>
  </si>
  <si>
    <t>8205.24</t>
  </si>
  <si>
    <t>8522.33</t>
  </si>
  <si>
    <t>8557.52</t>
  </si>
  <si>
    <t>8365.12</t>
  </si>
  <si>
    <t>5.15E+09</t>
  </si>
  <si>
    <t>8419.87</t>
  </si>
  <si>
    <t>8423.25</t>
  </si>
  <si>
    <t>8004.58</t>
  </si>
  <si>
    <t>8037.08</t>
  </si>
  <si>
    <t>8054.66</t>
  </si>
  <si>
    <t>7507.88</t>
  </si>
  <si>
    <t>6.49E+09</t>
  </si>
  <si>
    <t>7561.12</t>
  </si>
  <si>
    <t>7738.6</t>
  </si>
  <si>
    <t>7331.14</t>
  </si>
  <si>
    <t>6.05E+09</t>
  </si>
  <si>
    <t>7592.3</t>
  </si>
  <si>
    <t>7659.14</t>
  </si>
  <si>
    <t>7392.65</t>
  </si>
  <si>
    <t>4.87E+09</t>
  </si>
  <si>
    <t>7486.48</t>
  </si>
  <si>
    <t>7595.16</t>
  </si>
  <si>
    <t>7349.12</t>
  </si>
  <si>
    <t>4.05E+09</t>
  </si>
  <si>
    <t>7362.08</t>
  </si>
  <si>
    <t>7381.74</t>
  </si>
  <si>
    <t>7270.96</t>
  </si>
  <si>
    <t>4.06E+09</t>
  </si>
  <si>
    <t>7371.31</t>
  </si>
  <si>
    <t>7419.05</t>
  </si>
  <si>
    <t>7100.89</t>
  </si>
  <si>
    <t>26124.14</t>
  </si>
  <si>
    <t>5.04E+09</t>
  </si>
  <si>
    <t>7129.46</t>
  </si>
  <si>
    <t>7526.42</t>
  </si>
  <si>
    <t>7090.68</t>
  </si>
  <si>
    <t>26106.15</t>
  </si>
  <si>
    <t>7469.73</t>
  </si>
  <si>
    <t>7573.77</t>
  </si>
  <si>
    <t>7313.6</t>
  </si>
  <si>
    <t>4.92E+09</t>
  </si>
  <si>
    <t>7406.15</t>
  </si>
  <si>
    <t>7608.9</t>
  </si>
  <si>
    <t>7361.13</t>
  </si>
  <si>
    <t>26089.69</t>
  </si>
  <si>
    <t>5.13E+09</t>
  </si>
  <si>
    <t>7500.7</t>
  </si>
  <si>
    <t>7604.73</t>
  </si>
  <si>
    <t>7407.34</t>
  </si>
  <si>
    <t>2608.72</t>
  </si>
  <si>
    <t>7536.72</t>
  </si>
  <si>
    <t>7695.83</t>
  </si>
  <si>
    <t>7497.26</t>
  </si>
  <si>
    <t>2608.56</t>
  </si>
  <si>
    <t>7632.09</t>
  </si>
  <si>
    <t>7754.89</t>
  </si>
  <si>
    <t>7613.04</t>
  </si>
  <si>
    <t>4.85E+09</t>
  </si>
  <si>
    <t>7722.53</t>
  </si>
  <si>
    <t>7753.82</t>
  </si>
  <si>
    <t>7474.04</t>
  </si>
  <si>
    <t>4.99E+09</t>
  </si>
  <si>
    <t>7500.9</t>
  </si>
  <si>
    <t>7643.23</t>
  </si>
  <si>
    <t>4.96E+09</t>
  </si>
  <si>
    <t>7625.97</t>
  </si>
  <si>
    <t>7680.43</t>
  </si>
  <si>
    <t>7502.01</t>
  </si>
  <si>
    <t>2601.99</t>
  </si>
  <si>
    <t>4.69E+09</t>
  </si>
  <si>
    <t>7650.82</t>
  </si>
  <si>
    <t>7741.27</t>
  </si>
  <si>
    <t>2601.64</t>
  </si>
  <si>
    <t>4.49E+09</t>
  </si>
  <si>
    <t>7685.14</t>
  </si>
  <si>
    <t>7698.19</t>
  </si>
  <si>
    <t>7558.4</t>
  </si>
  <si>
    <t>7632.52</t>
  </si>
  <si>
    <t>7683.58</t>
  </si>
  <si>
    <t>3.85E+09</t>
  </si>
  <si>
    <t>7499.55</t>
  </si>
  <si>
    <t>6709.07</t>
  </si>
  <si>
    <t>25940.17</t>
  </si>
  <si>
    <t>5.8E+09</t>
  </si>
  <si>
    <t>6799.29</t>
  </si>
  <si>
    <t>6910.18</t>
  </si>
  <si>
    <t>6706.63</t>
  </si>
  <si>
    <t>10019.72</t>
  </si>
  <si>
    <t>4.75E+09</t>
  </si>
  <si>
    <t>6905.82</t>
  </si>
  <si>
    <t>6907.96</t>
  </si>
  <si>
    <t>6542.08</t>
  </si>
  <si>
    <t>1004.45</t>
  </si>
  <si>
    <t>6596.88</t>
  </si>
  <si>
    <t>6631.66</t>
  </si>
  <si>
    <t>6285.63</t>
  </si>
  <si>
    <t>1004.55</t>
  </si>
  <si>
    <t>5.05E+09</t>
  </si>
  <si>
    <t>6342.75</t>
  </si>
  <si>
    <t>6707.14</t>
  </si>
  <si>
    <t>6334.46</t>
  </si>
  <si>
    <t>10051.7</t>
  </si>
  <si>
    <t>6674.08</t>
  </si>
  <si>
    <t>6681.08</t>
  </si>
  <si>
    <t>6433.87</t>
  </si>
  <si>
    <t>10058.8</t>
  </si>
  <si>
    <t>3.96E+09</t>
  </si>
  <si>
    <t>6455.45</t>
  </si>
  <si>
    <t>6592.49</t>
  </si>
  <si>
    <t>6402.29</t>
  </si>
  <si>
    <t>2589.6</t>
  </si>
  <si>
    <t>1007.48</t>
  </si>
  <si>
    <t>3.19E+09</t>
  </si>
  <si>
    <t>6545.53</t>
  </si>
  <si>
    <t>6589.11</t>
  </si>
  <si>
    <t>2589.41</t>
  </si>
  <si>
    <t>10070.39</t>
  </si>
  <si>
    <t>3.1E+09</t>
  </si>
  <si>
    <t>6510.07</t>
  </si>
  <si>
    <t>6446.68</t>
  </si>
  <si>
    <t>10085.63</t>
  </si>
  <si>
    <t>4.04E+09</t>
  </si>
  <si>
    <t>6742.39</t>
  </si>
  <si>
    <t>6822.5</t>
  </si>
  <si>
    <t>6709.92</t>
  </si>
  <si>
    <t>10106.3</t>
  </si>
  <si>
    <t>6770.76</t>
  </si>
  <si>
    <t>6821.56</t>
  </si>
  <si>
    <t>6611.88</t>
  </si>
  <si>
    <t>1011.8</t>
  </si>
  <si>
    <t>3.89E+09</t>
  </si>
  <si>
    <t>6780.09</t>
  </si>
  <si>
    <t>6810.94</t>
  </si>
  <si>
    <t>6715.17</t>
  </si>
  <si>
    <t>10115.98</t>
  </si>
  <si>
    <t>3.53E+09</t>
  </si>
  <si>
    <t>6737.88</t>
  </si>
  <si>
    <t>6747.08</t>
  </si>
  <si>
    <t>6006.6</t>
  </si>
  <si>
    <t>10116.67</t>
  </si>
  <si>
    <t>5.08E+09</t>
  </si>
  <si>
    <t>6090.1</t>
  </si>
  <si>
    <t>6224.82</t>
  </si>
  <si>
    <t>6071.81</t>
  </si>
  <si>
    <t>1013.38</t>
  </si>
  <si>
    <t>3.43E+09</t>
  </si>
  <si>
    <t>6164.28</t>
  </si>
  <si>
    <t>6223.78</t>
  </si>
  <si>
    <t>5826.41</t>
  </si>
  <si>
    <t>10131.06</t>
  </si>
  <si>
    <t>6171.97</t>
  </si>
  <si>
    <t>6327.37</t>
  </si>
  <si>
    <t>6119.68</t>
  </si>
  <si>
    <t>10131.52</t>
  </si>
  <si>
    <t>6253.55</t>
  </si>
  <si>
    <t>6290.16</t>
  </si>
  <si>
    <t>2576.48</t>
  </si>
  <si>
    <t>10138.05</t>
  </si>
  <si>
    <t>3.28E+09</t>
  </si>
  <si>
    <t>6084.4</t>
  </si>
  <si>
    <t>6052.85</t>
  </si>
  <si>
    <t>2574.79</t>
  </si>
  <si>
    <t>10138.52</t>
  </si>
  <si>
    <t>3.3E+09</t>
  </si>
  <si>
    <t>6153.16</t>
  </si>
  <si>
    <t>6170.41</t>
  </si>
  <si>
    <t>5873.05</t>
  </si>
  <si>
    <t>10144.56</t>
  </si>
  <si>
    <t>3.47E+09</t>
  </si>
  <si>
    <t>5898.13</t>
  </si>
  <si>
    <t>6261.66</t>
  </si>
  <si>
    <t>5835.75</t>
  </si>
  <si>
    <t>2564.06</t>
  </si>
  <si>
    <t>10159.96</t>
  </si>
  <si>
    <t>3.97E+09</t>
  </si>
  <si>
    <t>6214.22</t>
  </si>
  <si>
    <t>6465.51</t>
  </si>
  <si>
    <t>10166.4</t>
  </si>
  <si>
    <t>4.54E+09</t>
  </si>
  <si>
    <t>6411.68</t>
  </si>
  <si>
    <t>6432.85</t>
  </si>
  <si>
    <t>6289.29</t>
  </si>
  <si>
    <t>10167.27</t>
  </si>
  <si>
    <t>4.79E+09</t>
  </si>
  <si>
    <t>6380.38</t>
  </si>
  <si>
    <t>6683.86</t>
  </si>
  <si>
    <t>6305.7</t>
  </si>
  <si>
    <t>2548.29</t>
  </si>
  <si>
    <t>10169.57</t>
  </si>
  <si>
    <t>4.4E+09</t>
  </si>
  <si>
    <t>6596.66</t>
  </si>
  <si>
    <t>6671.37</t>
  </si>
  <si>
    <t>6447.75</t>
  </si>
  <si>
    <t>254.32</t>
  </si>
  <si>
    <t>10178.37</t>
  </si>
  <si>
    <t>4.67E+09</t>
  </si>
  <si>
    <t>6550.87</t>
  </si>
  <si>
    <t>6771.92</t>
  </si>
  <si>
    <t>6450.46</t>
  </si>
  <si>
    <t>2539.32</t>
  </si>
  <si>
    <t>10181.64</t>
  </si>
  <si>
    <t>4.18E+09</t>
  </si>
  <si>
    <t>6599.71</t>
  </si>
  <si>
    <t>6749.54</t>
  </si>
  <si>
    <t>6546.65</t>
  </si>
  <si>
    <t>253.18</t>
  </si>
  <si>
    <t>10185.5</t>
  </si>
  <si>
    <t>6638.69</t>
  </si>
  <si>
    <t>6700.94</t>
  </si>
  <si>
    <t>6533.55</t>
  </si>
  <si>
    <t>2529.45</t>
  </si>
  <si>
    <t>10198.25</t>
  </si>
  <si>
    <t>4.31E+09</t>
  </si>
  <si>
    <t>6668.71</t>
  </si>
  <si>
    <t>6863.99</t>
  </si>
  <si>
    <t>6579.24</t>
  </si>
  <si>
    <t>2518.66</t>
  </si>
  <si>
    <t>10208.24</t>
  </si>
  <si>
    <t>6857.8</t>
  </si>
  <si>
    <t>6885.91</t>
  </si>
  <si>
    <t>6747.98</t>
  </si>
  <si>
    <t>1021.75</t>
  </si>
  <si>
    <t>3.39E+09</t>
  </si>
  <si>
    <t>6775.08</t>
  </si>
  <si>
    <t>6838.68</t>
  </si>
  <si>
    <t>6724.34</t>
  </si>
  <si>
    <t>2518.44</t>
  </si>
  <si>
    <t>10214.38</t>
  </si>
  <si>
    <t>3.72E+09</t>
  </si>
  <si>
    <t>6739.21</t>
  </si>
  <si>
    <t>6767.74</t>
  </si>
  <si>
    <t>6320.72</t>
  </si>
  <si>
    <t>10221.1</t>
  </si>
  <si>
    <t>6330.77</t>
  </si>
  <si>
    <t>6444.96</t>
  </si>
  <si>
    <t>6330.47</t>
  </si>
  <si>
    <t>2515.35</t>
  </si>
  <si>
    <t>10231.74</t>
  </si>
  <si>
    <t>3.64E+09</t>
  </si>
  <si>
    <t>6396.78</t>
  </si>
  <si>
    <t>6397.1</t>
  </si>
  <si>
    <t>6136.42</t>
  </si>
  <si>
    <t>10233.6</t>
  </si>
  <si>
    <t>6235.03</t>
  </si>
  <si>
    <t>6310.55</t>
  </si>
  <si>
    <t>6192.24</t>
  </si>
  <si>
    <t>2511.81</t>
  </si>
  <si>
    <t>10233.9</t>
  </si>
  <si>
    <t>3.81E+09</t>
  </si>
  <si>
    <t>6247.5</t>
  </si>
  <si>
    <t>6298.19</t>
  </si>
  <si>
    <t>6212.22</t>
  </si>
  <si>
    <t>2506.47</t>
  </si>
  <si>
    <t>10241.27</t>
  </si>
  <si>
    <t>2.92E+09</t>
  </si>
  <si>
    <t>6272.7</t>
  </si>
  <si>
    <t>6403.46</t>
  </si>
  <si>
    <t>6256.51</t>
  </si>
  <si>
    <t>2506.37</t>
  </si>
  <si>
    <t>10242.35</t>
  </si>
  <si>
    <t>3.29E+09</t>
  </si>
  <si>
    <t>6357.01</t>
  </si>
  <si>
    <t>10245.3</t>
  </si>
  <si>
    <t>4.73E+09</t>
  </si>
  <si>
    <t>6739.65</t>
  </si>
  <si>
    <t>7387.24</t>
  </si>
  <si>
    <t>6684.17</t>
  </si>
  <si>
    <t>250.99</t>
  </si>
  <si>
    <t>10246.19</t>
  </si>
  <si>
    <t>5.96E+09</t>
  </si>
  <si>
    <t>7315.32</t>
  </si>
  <si>
    <t>7534.99</t>
  </si>
  <si>
    <t>7280.47</t>
  </si>
  <si>
    <t>10256.06</t>
  </si>
  <si>
    <t>6.1E+09</t>
  </si>
  <si>
    <t>7378.2</t>
  </si>
  <si>
    <t>7494.46</t>
  </si>
  <si>
    <t>7295.46</t>
  </si>
  <si>
    <t>1026.43</t>
  </si>
  <si>
    <t>5.11E+09</t>
  </si>
  <si>
    <t>7467.4</t>
  </si>
  <si>
    <t>7594.67</t>
  </si>
  <si>
    <t>7323.26</t>
  </si>
  <si>
    <t>2480.84</t>
  </si>
  <si>
    <t>10266.42</t>
  </si>
  <si>
    <t>7352.72</t>
  </si>
  <si>
    <t>7437.64</t>
  </si>
  <si>
    <t>7262.41</t>
  </si>
  <si>
    <t>1027.34</t>
  </si>
  <si>
    <t>3.73E+09</t>
  </si>
  <si>
    <t>7417.8</t>
  </si>
  <si>
    <t>7537.95</t>
  </si>
  <si>
    <t>7383.82</t>
  </si>
  <si>
    <t>1027.44</t>
  </si>
  <si>
    <t>3.7E+09</t>
  </si>
  <si>
    <t>7414.71</t>
  </si>
  <si>
    <t>7771.5</t>
  </si>
  <si>
    <t>7409.1</t>
  </si>
  <si>
    <t>247.05</t>
  </si>
  <si>
    <t>10276.79</t>
  </si>
  <si>
    <t>7716.51</t>
  </si>
  <si>
    <t>7705.5</t>
  </si>
  <si>
    <t>1029.91</t>
  </si>
  <si>
    <t>7.28E+09</t>
  </si>
  <si>
    <t>8379.66</t>
  </si>
  <si>
    <t>8416.87</t>
  </si>
  <si>
    <t>8086.36</t>
  </si>
  <si>
    <t>10301.1</t>
  </si>
  <si>
    <t>5.85E+09</t>
  </si>
  <si>
    <t>8176.85</t>
  </si>
  <si>
    <t>8290.33</t>
  </si>
  <si>
    <t>7878.71</t>
  </si>
  <si>
    <t>246.99</t>
  </si>
  <si>
    <t>10311.55</t>
  </si>
  <si>
    <t>4.9E+09</t>
  </si>
  <si>
    <t>7950.4</t>
  </si>
  <si>
    <t>8262.66</t>
  </si>
  <si>
    <t>7839.76</t>
  </si>
  <si>
    <t>10312.12</t>
  </si>
  <si>
    <t>5.2E+09</t>
  </si>
  <si>
    <t>8169.06</t>
  </si>
  <si>
    <t>8222.85</t>
  </si>
  <si>
    <t>8110.77</t>
  </si>
  <si>
    <t>24436.35</t>
  </si>
  <si>
    <t>10326.05</t>
  </si>
  <si>
    <t>3.99E+09</t>
  </si>
  <si>
    <t>8205.82</t>
  </si>
  <si>
    <t>8272.26</t>
  </si>
  <si>
    <t>8141.18</t>
  </si>
  <si>
    <t>2443.64</t>
  </si>
  <si>
    <t>10334.97</t>
  </si>
  <si>
    <t>4.11E+09</t>
  </si>
  <si>
    <t>8221.58</t>
  </si>
  <si>
    <t>8235.5</t>
  </si>
  <si>
    <t>7917.5</t>
  </si>
  <si>
    <t>10343.11</t>
  </si>
  <si>
    <t>5.55E+09</t>
  </si>
  <si>
    <t>8181.2</t>
  </si>
  <si>
    <t>8181.53</t>
  </si>
  <si>
    <t>7696.93</t>
  </si>
  <si>
    <t>10345.81</t>
  </si>
  <si>
    <t>7769.04</t>
  </si>
  <si>
    <t>7504.95</t>
  </si>
  <si>
    <t>10347.71</t>
  </si>
  <si>
    <t>4.8E+09</t>
  </si>
  <si>
    <t>7634.19</t>
  </si>
  <si>
    <t>7712.77</t>
  </si>
  <si>
    <t>7523.44</t>
  </si>
  <si>
    <t>2434.55</t>
  </si>
  <si>
    <t>10353.3</t>
  </si>
  <si>
    <t>4.21E+09</t>
  </si>
  <si>
    <t>7562.14</t>
  </si>
  <si>
    <t>7328.65</t>
  </si>
  <si>
    <t>10358.05</t>
  </si>
  <si>
    <t>4.63E+09</t>
  </si>
  <si>
    <t>7438.67</t>
  </si>
  <si>
    <t>7497.49</t>
  </si>
  <si>
    <t>6984.07</t>
  </si>
  <si>
    <t>1036.74</t>
  </si>
  <si>
    <t>7031.08</t>
  </si>
  <si>
    <t>7102.77</t>
  </si>
  <si>
    <t>6940.7</t>
  </si>
  <si>
    <t>10360.55</t>
  </si>
  <si>
    <t>3.68E+09</t>
  </si>
  <si>
    <t>7062.94</t>
  </si>
  <si>
    <t>7166.55</t>
  </si>
  <si>
    <t>6890.54</t>
  </si>
  <si>
    <t>243.61</t>
  </si>
  <si>
    <t>10363.14</t>
  </si>
  <si>
    <t>3.93E+09</t>
  </si>
  <si>
    <t>6958.32</t>
  </si>
  <si>
    <t>7146.56</t>
  </si>
  <si>
    <t>6748.24</t>
  </si>
  <si>
    <t>10366.7</t>
  </si>
  <si>
    <t>6746.85</t>
  </si>
  <si>
    <t>6226.22</t>
  </si>
  <si>
    <t>10369.56</t>
  </si>
  <si>
    <t>6305.56</t>
  </si>
  <si>
    <t>6625.73</t>
  </si>
  <si>
    <t>6249.07</t>
  </si>
  <si>
    <t>10370.82</t>
  </si>
  <si>
    <t>6571.42</t>
  </si>
  <si>
    <t>6591.26</t>
  </si>
  <si>
    <t>6124.52</t>
  </si>
  <si>
    <t>2407.88</t>
  </si>
  <si>
    <t>1038.15</t>
  </si>
  <si>
    <t>6185.79</t>
  </si>
  <si>
    <t>6455.74</t>
  </si>
  <si>
    <t>6109.03</t>
  </si>
  <si>
    <t>2398.84</t>
  </si>
  <si>
    <t>1038.59</t>
  </si>
  <si>
    <t>6283.65</t>
  </si>
  <si>
    <t>6409.85</t>
  </si>
  <si>
    <t>6237.5</t>
  </si>
  <si>
    <t>1039.97</t>
  </si>
  <si>
    <t>5.67E+09</t>
  </si>
  <si>
    <t>6341.36</t>
  </si>
  <si>
    <t>6225.72</t>
  </si>
  <si>
    <t>10397.9</t>
  </si>
  <si>
    <t>4.08E+09</t>
  </si>
  <si>
    <t>6287.66</t>
  </si>
  <si>
    <t>6287.94</t>
  </si>
  <si>
    <t>5971.05</t>
  </si>
  <si>
    <t>10399.67</t>
  </si>
  <si>
    <t>5.3E+09</t>
  </si>
  <si>
    <t>6221.42</t>
  </si>
  <si>
    <t>6588.49</t>
  </si>
  <si>
    <t>239.84</t>
  </si>
  <si>
    <t>10400.92</t>
  </si>
  <si>
    <t>6294.23</t>
  </si>
  <si>
    <t>6473.5</t>
  </si>
  <si>
    <t>6276.41</t>
  </si>
  <si>
    <t>10407.96</t>
  </si>
  <si>
    <t>6340.91</t>
  </si>
  <si>
    <t>6582.5</t>
  </si>
  <si>
    <t>6324.97</t>
  </si>
  <si>
    <t>10410.13</t>
  </si>
  <si>
    <t>6583.43</t>
  </si>
  <si>
    <t>6617.35</t>
  </si>
  <si>
    <t>6353.73</t>
  </si>
  <si>
    <t>1042.9</t>
  </si>
  <si>
    <t>6422.57</t>
  </si>
  <si>
    <t>6537.98</t>
  </si>
  <si>
    <t>6361.55</t>
  </si>
  <si>
    <t>1043.84</t>
  </si>
  <si>
    <t>3.31E+09</t>
  </si>
  <si>
    <t>6500.51</t>
  </si>
  <si>
    <t>6536.92</t>
  </si>
  <si>
    <t>6297.93</t>
  </si>
  <si>
    <t>10441.28</t>
  </si>
  <si>
    <t>6301.07</t>
  </si>
  <si>
    <t>6500.87</t>
  </si>
  <si>
    <t>6298.24</t>
  </si>
  <si>
    <t>238.73</t>
  </si>
  <si>
    <t>10442.17</t>
  </si>
  <si>
    <t>3.38E+09</t>
  </si>
  <si>
    <t>6486.25</t>
  </si>
  <si>
    <t>6816.79</t>
  </si>
  <si>
    <t>6310.11</t>
  </si>
  <si>
    <t>1045.77</t>
  </si>
  <si>
    <t>6371.34</t>
  </si>
  <si>
    <t>6546.54</t>
  </si>
  <si>
    <t>1046.21</t>
  </si>
  <si>
    <t>6551.52</t>
  </si>
  <si>
    <t>6498.64</t>
  </si>
  <si>
    <t>10462.26</t>
  </si>
  <si>
    <t>4.1E+09</t>
  </si>
  <si>
    <t>6719.95</t>
  </si>
  <si>
    <t>6789.63</t>
  </si>
  <si>
    <t>6700.96</t>
  </si>
  <si>
    <t>1047.15</t>
  </si>
  <si>
    <t>6754.64</t>
  </si>
  <si>
    <t>6620.75</t>
  </si>
  <si>
    <t>2372.56</t>
  </si>
  <si>
    <t>1049.14</t>
  </si>
  <si>
    <t>6710.8</t>
  </si>
  <si>
    <t>6689.71</t>
  </si>
  <si>
    <t>237.47</t>
  </si>
  <si>
    <t>10517.25</t>
  </si>
  <si>
    <t>4.02E+09</t>
  </si>
  <si>
    <t>6891.08</t>
  </si>
  <si>
    <t>7109.56</t>
  </si>
  <si>
    <t>6882.34</t>
  </si>
  <si>
    <t>237.11</t>
  </si>
  <si>
    <t>10518.17</t>
  </si>
  <si>
    <t>4.66E+09</t>
  </si>
  <si>
    <t>7091.71</t>
  </si>
  <si>
    <t>7113.3</t>
  </si>
  <si>
    <t>6970.82</t>
  </si>
  <si>
    <t>10530.73</t>
  </si>
  <si>
    <t>7043.76</t>
  </si>
  <si>
    <t>7072.69</t>
  </si>
  <si>
    <t>6834.69</t>
  </si>
  <si>
    <t>10538.46</t>
  </si>
  <si>
    <t>4.46E+09</t>
  </si>
  <si>
    <t>6973.97</t>
  </si>
  <si>
    <t>7057.17</t>
  </si>
  <si>
    <t>6920.16</t>
  </si>
  <si>
    <t>1054.23</t>
  </si>
  <si>
    <t>4.5E+09</t>
  </si>
  <si>
    <t>7044.81</t>
  </si>
  <si>
    <t>7242.29</t>
  </si>
  <si>
    <t>7038.05</t>
  </si>
  <si>
    <t>236.06</t>
  </si>
  <si>
    <t>1054.42</t>
  </si>
  <si>
    <t>4.12E+09</t>
  </si>
  <si>
    <t>7189.58</t>
  </si>
  <si>
    <t>7306.31</t>
  </si>
  <si>
    <t>7132.16</t>
  </si>
  <si>
    <t>2357.9</t>
  </si>
  <si>
    <t>7279.03</t>
  </si>
  <si>
    <t>7208.15</t>
  </si>
  <si>
    <t>10551.8</t>
  </si>
  <si>
    <t>4.09E+09</t>
  </si>
  <si>
    <t>7388.26</t>
  </si>
  <si>
    <t>7255.44</t>
  </si>
  <si>
    <t>235.35</t>
  </si>
  <si>
    <t>10575.53</t>
  </si>
  <si>
    <t>7361.46</t>
  </si>
  <si>
    <t>7388.43</t>
  </si>
  <si>
    <t>6755.14</t>
  </si>
  <si>
    <t>6404.72</t>
  </si>
  <si>
    <t>10583.13</t>
  </si>
  <si>
    <t>5.52E+09</t>
  </si>
  <si>
    <t>6528.92</t>
  </si>
  <si>
    <t>6555.29</t>
  </si>
  <si>
    <t>6396.87</t>
  </si>
  <si>
    <t>23471.87</t>
  </si>
  <si>
    <t>10594.49</t>
  </si>
  <si>
    <t>4.26E+09</t>
  </si>
  <si>
    <t>6460.17</t>
  </si>
  <si>
    <t>6534.25</t>
  </si>
  <si>
    <t>6197.52</t>
  </si>
  <si>
    <t>10599.11</t>
  </si>
  <si>
    <t>3.84E+09</t>
  </si>
  <si>
    <t>6223.38</t>
  </si>
  <si>
    <t>6446.26</t>
  </si>
  <si>
    <t>6201.22</t>
  </si>
  <si>
    <t>234.93</t>
  </si>
  <si>
    <t>6301.57</t>
  </si>
  <si>
    <t>6374.98</t>
  </si>
  <si>
    <t>6292.76</t>
  </si>
  <si>
    <t>234.34</t>
  </si>
  <si>
    <t>1061.35</t>
  </si>
  <si>
    <t>3.71E+09</t>
  </si>
  <si>
    <t>6331.88</t>
  </si>
  <si>
    <t>6398.92</t>
  </si>
  <si>
    <t>6260.21</t>
  </si>
  <si>
    <t>10623.54</t>
  </si>
  <si>
    <t>6317.01</t>
  </si>
  <si>
    <t>6363.87</t>
  </si>
  <si>
    <t>6265.09</t>
  </si>
  <si>
    <t>2337.79</t>
  </si>
  <si>
    <t>1063.07</t>
  </si>
  <si>
    <t>6354.24</t>
  </si>
  <si>
    <t>6535.41</t>
  </si>
  <si>
    <t>10666.48</t>
  </si>
  <si>
    <t>6515.41</t>
  </si>
  <si>
    <t>6596.1</t>
  </si>
  <si>
    <t>6456.17</t>
  </si>
  <si>
    <t>6509.4</t>
  </si>
  <si>
    <t>6561.72</t>
  </si>
  <si>
    <t>6493.55</t>
  </si>
  <si>
    <t>3.22E+09</t>
  </si>
  <si>
    <t>6536.68</t>
  </si>
  <si>
    <t>6544.33</t>
  </si>
  <si>
    <t>6460.1</t>
  </si>
  <si>
    <t>23289.31</t>
  </si>
  <si>
    <t>10680.84</t>
  </si>
  <si>
    <t>3.27E+09</t>
  </si>
  <si>
    <t>6514.06</t>
  </si>
  <si>
    <t>6540.21</t>
  </si>
  <si>
    <t>6257.52</t>
  </si>
  <si>
    <t>10690.4</t>
  </si>
  <si>
    <t>3.91E+09</t>
  </si>
  <si>
    <t>6280.91</t>
  </si>
  <si>
    <t>6384.18</t>
  </si>
  <si>
    <t>6265.71</t>
  </si>
  <si>
    <t>10692.72</t>
  </si>
  <si>
    <t>6371.85</t>
  </si>
  <si>
    <t>6448.46</t>
  </si>
  <si>
    <t>6208.34</t>
  </si>
  <si>
    <t>10701.69</t>
  </si>
  <si>
    <t>6398.85</t>
  </si>
  <si>
    <t>6529.26</t>
  </si>
  <si>
    <t>6395.95</t>
  </si>
  <si>
    <t>10709.65</t>
  </si>
  <si>
    <t>4.35E+09</t>
  </si>
  <si>
    <t>6513.87</t>
  </si>
  <si>
    <t>6794.33</t>
  </si>
  <si>
    <t>6496.36</t>
  </si>
  <si>
    <t>2320.42</t>
  </si>
  <si>
    <t>1071.79</t>
  </si>
  <si>
    <t>6735.05</t>
  </si>
  <si>
    <t>6814.56</t>
  </si>
  <si>
    <t>6616.8</t>
  </si>
  <si>
    <t>10725.6</t>
  </si>
  <si>
    <t>4.51E+09</t>
  </si>
  <si>
    <t>6715.32</t>
  </si>
  <si>
    <t>6766.15</t>
  </si>
  <si>
    <t>6679.42</t>
  </si>
  <si>
    <t>2318.88</t>
  </si>
  <si>
    <t>10750.72</t>
  </si>
  <si>
    <t>6704.77</t>
  </si>
  <si>
    <t>6713.56</t>
  </si>
  <si>
    <t>6580.9</t>
  </si>
  <si>
    <t>10760.07</t>
  </si>
  <si>
    <t>6603.64</t>
  </si>
  <si>
    <t>6381.86</t>
  </si>
  <si>
    <t>10763.23</t>
  </si>
  <si>
    <t>6452.79</t>
  </si>
  <si>
    <t>6585.91</t>
  </si>
  <si>
    <t>6397.89</t>
  </si>
  <si>
    <t>10767.14</t>
  </si>
  <si>
    <t>4.44E+09</t>
  </si>
  <si>
    <t>6495.29</t>
  </si>
  <si>
    <t>6712.1</t>
  </si>
  <si>
    <t>6464.95</t>
  </si>
  <si>
    <t>10775.27</t>
  </si>
  <si>
    <t>4.61E+09</t>
  </si>
  <si>
    <t>6678.75</t>
  </si>
  <si>
    <t>6598.32</t>
  </si>
  <si>
    <t>10779.9</t>
  </si>
  <si>
    <t>5.01E+09</t>
  </si>
  <si>
    <t>6643.1</t>
  </si>
  <si>
    <t>6511.65</t>
  </si>
  <si>
    <t>23139.28</t>
  </si>
  <si>
    <t>10784.49</t>
  </si>
  <si>
    <t>4.36E+09</t>
  </si>
  <si>
    <t>6604.71</t>
  </si>
  <si>
    <t>6643.78</t>
  </si>
  <si>
    <t>6566.54</t>
  </si>
  <si>
    <t>1079.98</t>
  </si>
  <si>
    <t>6619.85</t>
  </si>
  <si>
    <t>6653.3</t>
  </si>
  <si>
    <t>6549.08</t>
  </si>
  <si>
    <t>6593.24</t>
  </si>
  <si>
    <t>6611.84</t>
  </si>
  <si>
    <t>6537.9</t>
  </si>
  <si>
    <t>10796.95</t>
  </si>
  <si>
    <t>6553.86</t>
  </si>
  <si>
    <t>6571.46</t>
  </si>
  <si>
    <t>6454.03</t>
  </si>
  <si>
    <t>2304.98</t>
  </si>
  <si>
    <t>1080.5</t>
  </si>
  <si>
    <t>6497.91</t>
  </si>
  <si>
    <t>6603.31</t>
  </si>
  <si>
    <t>10801.68</t>
  </si>
  <si>
    <t>6574.15</t>
  </si>
  <si>
    <t>6623.62</t>
  </si>
  <si>
    <t>6557.41</t>
  </si>
  <si>
    <t>10821.73</t>
  </si>
  <si>
    <t>6622.45</t>
  </si>
  <si>
    <t>6628.54</t>
  </si>
  <si>
    <t>6577.8</t>
  </si>
  <si>
    <t>230.39</t>
  </si>
  <si>
    <t>10844.64</t>
  </si>
  <si>
    <t>6590.68</t>
  </si>
  <si>
    <t>6641.49</t>
  </si>
  <si>
    <t>6557.04</t>
  </si>
  <si>
    <t>10855.37</t>
  </si>
  <si>
    <t>6600.19</t>
  </si>
  <si>
    <t>6675.06</t>
  </si>
  <si>
    <t>6576.04</t>
  </si>
  <si>
    <t>10868.4</t>
  </si>
  <si>
    <t>6653.08</t>
  </si>
  <si>
    <t>6661.41</t>
  </si>
  <si>
    <t>6606.94</t>
  </si>
  <si>
    <t>10895.09</t>
  </si>
  <si>
    <t>3.58E+09</t>
  </si>
  <si>
    <t>6640.29</t>
  </si>
  <si>
    <t>6538.96</t>
  </si>
  <si>
    <t>10895.83</t>
  </si>
  <si>
    <t>3.79E+09</t>
  </si>
  <si>
    <t>6586.74</t>
  </si>
  <si>
    <t>6243.74</t>
  </si>
  <si>
    <t>10912.82</t>
  </si>
  <si>
    <t>5.18E+09</t>
  </si>
  <si>
    <t>6239.25</t>
  </si>
  <si>
    <t>6328.5</t>
  </si>
  <si>
    <t>6236.47</t>
  </si>
  <si>
    <t>10915.69</t>
  </si>
  <si>
    <t>3.78E+09</t>
  </si>
  <si>
    <t>6278.08</t>
  </si>
  <si>
    <t>6308.51</t>
  </si>
  <si>
    <t>6259.81</t>
  </si>
  <si>
    <t>229.81</t>
  </si>
  <si>
    <t>10916.05</t>
  </si>
  <si>
    <t>3.06E+09</t>
  </si>
  <si>
    <t>6288.49</t>
  </si>
  <si>
    <t>6363.21</t>
  </si>
  <si>
    <t>6280.15</t>
  </si>
  <si>
    <t>229.78</t>
  </si>
  <si>
    <t>10931.4</t>
  </si>
  <si>
    <t>3.09E+09</t>
  </si>
  <si>
    <t>6292.64</t>
  </si>
  <si>
    <t>6965.06</t>
  </si>
  <si>
    <t>6258.68</t>
  </si>
  <si>
    <t>2286.41</t>
  </si>
  <si>
    <t>10944.59</t>
  </si>
  <si>
    <t>7.37E+09</t>
  </si>
  <si>
    <t>6601.41</t>
  </si>
  <si>
    <t>6673.59</t>
  </si>
  <si>
    <t>6571.37</t>
  </si>
  <si>
    <t>10948.99</t>
  </si>
  <si>
    <t>4.07E+09</t>
  </si>
  <si>
    <t>6590.52</t>
  </si>
  <si>
    <t>6601.21</t>
  </si>
  <si>
    <t>6517.45</t>
  </si>
  <si>
    <t>10974.91</t>
  </si>
  <si>
    <t>6542.33</t>
  </si>
  <si>
    <t>6567.54</t>
  </si>
  <si>
    <t>6450.04</t>
  </si>
  <si>
    <t>10975.6</t>
  </si>
  <si>
    <t>3.92E+09</t>
  </si>
  <si>
    <t>6478.07</t>
  </si>
  <si>
    <t>6493.68</t>
  </si>
  <si>
    <t>6445.31</t>
  </si>
  <si>
    <t>10978.46</t>
  </si>
  <si>
    <t>6460.92</t>
  </si>
  <si>
    <t>6497.72</t>
  </si>
  <si>
    <t>10990.87</t>
  </si>
  <si>
    <t>6490.09</t>
  </si>
  <si>
    <t>6556.38</t>
  </si>
  <si>
    <t>1100.23</t>
  </si>
  <si>
    <t>3.25E+09</t>
  </si>
  <si>
    <t>6486.05</t>
  </si>
  <si>
    <t>6543.8</t>
  </si>
  <si>
    <t>6462.98</t>
  </si>
  <si>
    <t>2273.43</t>
  </si>
  <si>
    <t>11011.1</t>
  </si>
  <si>
    <t>6472.36</t>
  </si>
  <si>
    <t>6506.01</t>
  </si>
  <si>
    <t>6451.27</t>
  </si>
  <si>
    <t>1102.17</t>
  </si>
  <si>
    <t>6478.89</t>
  </si>
  <si>
    <t>6521.99</t>
  </si>
  <si>
    <t>6468.86</t>
  </si>
  <si>
    <t>11053.61</t>
  </si>
  <si>
    <t>3.42E+09</t>
  </si>
  <si>
    <t>6484.65</t>
  </si>
  <si>
    <t>6504.65</t>
  </si>
  <si>
    <t>6447.03</t>
  </si>
  <si>
    <t>6468.44</t>
  </si>
  <si>
    <t>6498.29</t>
  </si>
  <si>
    <t>6449.61</t>
  </si>
  <si>
    <t>11074.6</t>
  </si>
  <si>
    <t>6480.84</t>
  </si>
  <si>
    <t>6507.41</t>
  </si>
  <si>
    <t>6453.53</t>
  </si>
  <si>
    <t>11086.4</t>
  </si>
  <si>
    <t>6482.66</t>
  </si>
  <si>
    <t>6502.28</t>
  </si>
  <si>
    <t>6447.91</t>
  </si>
  <si>
    <t>11094.35</t>
  </si>
  <si>
    <t>3.45E+09</t>
  </si>
  <si>
    <t>6492.35</t>
  </si>
  <si>
    <t>6503.6</t>
  </si>
  <si>
    <t>6306.99</t>
  </si>
  <si>
    <t>226.39</t>
  </si>
  <si>
    <t>11100.47</t>
  </si>
  <si>
    <t>6337.04</t>
  </si>
  <si>
    <t>6364.99</t>
  </si>
  <si>
    <t>6310.14</t>
  </si>
  <si>
    <t>11112.7</t>
  </si>
  <si>
    <t>6336.99</t>
  </si>
  <si>
    <t>6349.16</t>
  </si>
  <si>
    <t>6316.88</t>
  </si>
  <si>
    <t>2255.61</t>
  </si>
  <si>
    <t>1115.3</t>
  </si>
  <si>
    <t>4.19E+09</t>
  </si>
  <si>
    <t>6318.14</t>
  </si>
  <si>
    <t>6547.14</t>
  </si>
  <si>
    <t>6311.83</t>
  </si>
  <si>
    <t>1116.72</t>
  </si>
  <si>
    <t>6378.92</t>
  </si>
  <si>
    <t>6396.86</t>
  </si>
  <si>
    <t>6327.38</t>
  </si>
  <si>
    <t>1117.44</t>
  </si>
  <si>
    <t>6387.24</t>
  </si>
  <si>
    <t>6400.07</t>
  </si>
  <si>
    <t>6342.37</t>
  </si>
  <si>
    <t>11171.4</t>
  </si>
  <si>
    <t>3.66E+09</t>
  </si>
  <si>
    <t>6365.47</t>
  </si>
  <si>
    <t>6388.63</t>
  </si>
  <si>
    <t>6294.57</t>
  </si>
  <si>
    <t>11182.81</t>
  </si>
  <si>
    <t>4.39E+09</t>
  </si>
  <si>
    <t>6363.62</t>
  </si>
  <si>
    <t>6480.59</t>
  </si>
  <si>
    <t>1120.54</t>
  </si>
  <si>
    <t>6433.38</t>
  </si>
  <si>
    <t>6463.55</t>
  </si>
  <si>
    <t>6408.16</t>
  </si>
  <si>
    <t>11205.89</t>
  </si>
  <si>
    <t>4.7E+09</t>
  </si>
  <si>
    <t>6468.5</t>
  </si>
  <si>
    <t>6552.16</t>
  </si>
  <si>
    <t>6468.31</t>
  </si>
  <si>
    <t>11208.55</t>
  </si>
  <si>
    <t>6522.27</t>
  </si>
  <si>
    <t>6438.53</t>
  </si>
  <si>
    <t>11215.44</t>
  </si>
  <si>
    <t>6442.6</t>
  </si>
  <si>
    <t>6373.37</t>
  </si>
  <si>
    <t>2233.34</t>
  </si>
  <si>
    <t>11225.3</t>
  </si>
  <si>
    <t>6386.13</t>
  </si>
  <si>
    <t>6437.28</t>
  </si>
  <si>
    <t>6385.31</t>
  </si>
  <si>
    <t>2228.41</t>
  </si>
  <si>
    <t>1124.78</t>
  </si>
  <si>
    <t>6413.63</t>
  </si>
  <si>
    <t>6350.17</t>
  </si>
  <si>
    <t>11246.35</t>
  </si>
  <si>
    <t>3.94E+09</t>
  </si>
  <si>
    <t>6411.76</t>
  </si>
  <si>
    <t>6434.21</t>
  </si>
  <si>
    <t>6360.47</t>
  </si>
  <si>
    <t>11259.4</t>
  </si>
  <si>
    <t>4.3E+09</t>
  </si>
  <si>
    <t>6373.19</t>
  </si>
  <si>
    <t>6395.27</t>
  </si>
  <si>
    <t>6342.67</t>
  </si>
  <si>
    <t>22206.79</t>
  </si>
  <si>
    <t>6351.24</t>
  </si>
  <si>
    <t>6371.55</t>
  </si>
  <si>
    <t>5544.09</t>
  </si>
  <si>
    <t>222.6</t>
  </si>
  <si>
    <t>11296.4</t>
  </si>
  <si>
    <t>7.4E+09</t>
  </si>
  <si>
    <t>5736.15</t>
  </si>
  <si>
    <t>5774.82</t>
  </si>
  <si>
    <t>5358.38</t>
  </si>
  <si>
    <t>7.03E+09</t>
  </si>
  <si>
    <t>5645.32</t>
  </si>
  <si>
    <t>5657.02</t>
  </si>
  <si>
    <t>5498.94</t>
  </si>
  <si>
    <t>2202.42</t>
  </si>
  <si>
    <t>11323.2</t>
  </si>
  <si>
    <t>5.28E+09</t>
  </si>
  <si>
    <t>5578.58</t>
  </si>
  <si>
    <t>5519.56</t>
  </si>
  <si>
    <t>220.11</t>
  </si>
  <si>
    <t>11323.4</t>
  </si>
  <si>
    <t>5559.74</t>
  </si>
  <si>
    <t>5653.61</t>
  </si>
  <si>
    <t>219.43</t>
  </si>
  <si>
    <t>11323.47</t>
  </si>
  <si>
    <t>4.16E+09</t>
  </si>
  <si>
    <t>5620.78</t>
  </si>
  <si>
    <t>4842.91</t>
  </si>
  <si>
    <t>1133.25</t>
  </si>
  <si>
    <t>7.04E+09</t>
  </si>
  <si>
    <t>4863.93</t>
  </si>
  <si>
    <t>4951.61</t>
  </si>
  <si>
    <t>4272.11</t>
  </si>
  <si>
    <t>11354.02</t>
  </si>
  <si>
    <t>8.43E+09</t>
  </si>
  <si>
    <t>4465.54</t>
  </si>
  <si>
    <t>4675.73</t>
  </si>
  <si>
    <t>4343.98</t>
  </si>
  <si>
    <t>4611.57</t>
  </si>
  <si>
    <t>4629.64</t>
  </si>
  <si>
    <t>4365.64</t>
  </si>
  <si>
    <t>11358.66</t>
  </si>
  <si>
    <t>4360.7</t>
  </si>
  <si>
    <t>4396.42</t>
  </si>
  <si>
    <t>4195.68</t>
  </si>
  <si>
    <t>11359.4</t>
  </si>
  <si>
    <t>4347.69</t>
  </si>
  <si>
    <t>4413.09</t>
  </si>
  <si>
    <t>3795.16</t>
  </si>
  <si>
    <t>2175.47</t>
  </si>
  <si>
    <t>11366.13</t>
  </si>
  <si>
    <t>4.68E+09</t>
  </si>
  <si>
    <t>3880.78</t>
  </si>
  <si>
    <t>4120.87</t>
  </si>
  <si>
    <t>3585.06</t>
  </si>
  <si>
    <t>11382.62</t>
  </si>
  <si>
    <t>4015.07</t>
  </si>
  <si>
    <t>4107.14</t>
  </si>
  <si>
    <t>3643.92</t>
  </si>
  <si>
    <t>2173.4</t>
  </si>
  <si>
    <t>6.48E+09</t>
  </si>
  <si>
    <t>3765.95</t>
  </si>
  <si>
    <t>3862.96</t>
  </si>
  <si>
    <t>3661.01</t>
  </si>
  <si>
    <t>11392.38</t>
  </si>
  <si>
    <t>3822.47</t>
  </si>
  <si>
    <t>4385.9</t>
  </si>
  <si>
    <t>11403.7</t>
  </si>
  <si>
    <t>11410.53</t>
  </si>
  <si>
    <t>6.5E+09</t>
  </si>
  <si>
    <t>4301.52</t>
  </si>
  <si>
    <t>1143.81</t>
  </si>
  <si>
    <t>5.26E+09</t>
  </si>
  <si>
    <t>2155.8</t>
  </si>
  <si>
    <t>1143.84</t>
  </si>
  <si>
    <t>5.09E+09</t>
  </si>
  <si>
    <t>3832.75</t>
  </si>
  <si>
    <t>11440.7</t>
  </si>
  <si>
    <t>11450.85</t>
  </si>
  <si>
    <t>11474.9</t>
  </si>
  <si>
    <t>5.88E+09</t>
  </si>
  <si>
    <t>3512.59</t>
  </si>
  <si>
    <t>11478.17</t>
  </si>
  <si>
    <t>6.84E+09</t>
  </si>
  <si>
    <t>3421.91</t>
  </si>
  <si>
    <t>5.31E+09</t>
  </si>
  <si>
    <t>11488.36</t>
  </si>
  <si>
    <t>4.95E+09</t>
  </si>
  <si>
    <t>11489.7</t>
  </si>
  <si>
    <t>5.02E+09</t>
  </si>
  <si>
    <t>3392.25</t>
  </si>
  <si>
    <t>11490.5</t>
  </si>
  <si>
    <t>4.14E+09</t>
  </si>
  <si>
    <t>3489.74</t>
  </si>
  <si>
    <t>11506.87</t>
  </si>
  <si>
    <t>4.37E+09</t>
  </si>
  <si>
    <t>11523.58</t>
  </si>
  <si>
    <t>3.55E+09</t>
  </si>
  <si>
    <t>3233.82</t>
  </si>
  <si>
    <t>1154.73</t>
  </si>
  <si>
    <t>3.74E+09</t>
  </si>
  <si>
    <t>11542.5</t>
  </si>
  <si>
    <t>5.41E+09</t>
  </si>
  <si>
    <t>5.91E+09</t>
  </si>
  <si>
    <t>3687.23</t>
  </si>
  <si>
    <t>11573.3</t>
  </si>
  <si>
    <t>6.81E+09</t>
  </si>
  <si>
    <t>11584.93</t>
  </si>
  <si>
    <t>8.93E+09</t>
  </si>
  <si>
    <t>4198.43</t>
  </si>
  <si>
    <t>11592.49</t>
  </si>
  <si>
    <t>7.21E+09</t>
  </si>
  <si>
    <t>11600.1</t>
  </si>
  <si>
    <t>5.61E+09</t>
  </si>
  <si>
    <t>11601.47</t>
  </si>
  <si>
    <t>6.15E+09</t>
  </si>
  <si>
    <t>11607.4</t>
  </si>
  <si>
    <t>7.24E+09</t>
  </si>
  <si>
    <t>1165.2</t>
  </si>
  <si>
    <t>6.16E+09</t>
  </si>
  <si>
    <t>3893.36</t>
  </si>
  <si>
    <t>5.33E+09</t>
  </si>
  <si>
    <t>1166.72</t>
  </si>
  <si>
    <t>11664.85</t>
  </si>
  <si>
    <t>1167.54</t>
  </si>
  <si>
    <t>11675.74</t>
  </si>
  <si>
    <t>4.77E+09</t>
  </si>
  <si>
    <t>11680.82</t>
  </si>
  <si>
    <t>11681.83</t>
  </si>
  <si>
    <t>4.32E+09</t>
  </si>
  <si>
    <t>1169.28</t>
  </si>
  <si>
    <t>11711.51</t>
  </si>
  <si>
    <t>3832.04</t>
  </si>
  <si>
    <t>1172.52</t>
  </si>
  <si>
    <t>3836.9</t>
  </si>
  <si>
    <t>1173.68</t>
  </si>
  <si>
    <t>5.6E+09</t>
  </si>
  <si>
    <t>11747.02</t>
  </si>
  <si>
    <t>5.23E+09</t>
  </si>
  <si>
    <t>1175.83</t>
  </si>
  <si>
    <t>1175.95</t>
  </si>
  <si>
    <t>11754.05</t>
  </si>
  <si>
    <t>6.87E+09</t>
  </si>
  <si>
    <t>3653.07</t>
  </si>
  <si>
    <t>11758.28</t>
  </si>
  <si>
    <t>5.54E+09</t>
  </si>
  <si>
    <t>11759.59</t>
  </si>
  <si>
    <t>4.78E+09</t>
  </si>
  <si>
    <t>3674.76</t>
  </si>
  <si>
    <t>1176.9</t>
  </si>
  <si>
    <t>2041.2</t>
  </si>
  <si>
    <t>11768.87</t>
  </si>
  <si>
    <t>11774.6</t>
  </si>
  <si>
    <t>3631.51</t>
  </si>
  <si>
    <t>2038.87</t>
  </si>
  <si>
    <t>11779.77</t>
  </si>
  <si>
    <t>11784.14</t>
  </si>
  <si>
    <t>5.46E+09</t>
  </si>
  <si>
    <t>3677.99</t>
  </si>
  <si>
    <t>3682.52</t>
  </si>
  <si>
    <t>11786.3</t>
  </si>
  <si>
    <t>1179.97</t>
  </si>
  <si>
    <t>3583.02</t>
  </si>
  <si>
    <t>20296.71</t>
  </si>
  <si>
    <t>5.58E+09</t>
  </si>
  <si>
    <t>11790.92</t>
  </si>
  <si>
    <t>11805.65</t>
  </si>
  <si>
    <t>11815.99</t>
  </si>
  <si>
    <t>5.43E+09</t>
  </si>
  <si>
    <t>3584.5</t>
  </si>
  <si>
    <t>1182.68</t>
  </si>
  <si>
    <t>3607.39</t>
  </si>
  <si>
    <t>20231.26</t>
  </si>
  <si>
    <t>1182.94</t>
  </si>
  <si>
    <t>11862.94</t>
  </si>
  <si>
    <t>5.1E+09</t>
  </si>
  <si>
    <t>11865.7</t>
  </si>
  <si>
    <t>5.57E+09</t>
  </si>
  <si>
    <t>1187.13</t>
  </si>
  <si>
    <t>3468.87</t>
  </si>
  <si>
    <t>3400.82</t>
  </si>
  <si>
    <t>1187.81</t>
  </si>
  <si>
    <t>5.9E+09</t>
  </si>
  <si>
    <t>1187.87</t>
  </si>
  <si>
    <t>11878.11</t>
  </si>
  <si>
    <t>5.83E+09</t>
  </si>
  <si>
    <t>11878.37</t>
  </si>
  <si>
    <t>5.42E+09</t>
  </si>
  <si>
    <t>20095.86</t>
  </si>
  <si>
    <t>1188.49</t>
  </si>
  <si>
    <t>5.07E+09</t>
  </si>
  <si>
    <t>3516.14</t>
  </si>
  <si>
    <t>11892.8</t>
  </si>
  <si>
    <t>11916.7</t>
  </si>
  <si>
    <t>1193.91</t>
  </si>
  <si>
    <t>1998.86</t>
  </si>
  <si>
    <t>11941.97</t>
  </si>
  <si>
    <t>11959.37</t>
  </si>
  <si>
    <t>11961.27</t>
  </si>
  <si>
    <t>3640.98</t>
  </si>
  <si>
    <t>19955.44</t>
  </si>
  <si>
    <t>11966.41</t>
  </si>
  <si>
    <t>6.28E+09</t>
  </si>
  <si>
    <t>11970.48</t>
  </si>
  <si>
    <t>199.26</t>
  </si>
  <si>
    <t>11991.23</t>
  </si>
  <si>
    <t>1987.71</t>
  </si>
  <si>
    <t>1200.37</t>
  </si>
  <si>
    <t>3631.17</t>
  </si>
  <si>
    <t>1205.01</t>
  </si>
  <si>
    <t>6.27E+09</t>
  </si>
  <si>
    <t>1207.21</t>
  </si>
  <si>
    <t>6.09E+09</t>
  </si>
  <si>
    <t>3615.27</t>
  </si>
  <si>
    <t>1210.29</t>
  </si>
  <si>
    <t>5.93E+09</t>
  </si>
  <si>
    <t>1211.67</t>
  </si>
  <si>
    <t>3671.37</t>
  </si>
  <si>
    <t>12156.51</t>
  </si>
  <si>
    <t>9.91E+09</t>
  </si>
  <si>
    <t>1221.38</t>
  </si>
  <si>
    <t>1222.05</t>
  </si>
  <si>
    <t>8.69E+09</t>
  </si>
  <si>
    <t>4010.01</t>
  </si>
  <si>
    <t>1223.54</t>
  </si>
  <si>
    <t>7.83E+09</t>
  </si>
  <si>
    <t>12254.4</t>
  </si>
  <si>
    <t>8.92E+09</t>
  </si>
  <si>
    <t>12285.96</t>
  </si>
  <si>
    <t>1.08E+10</t>
  </si>
  <si>
    <t>1229.08</t>
  </si>
  <si>
    <t>9.32E+09</t>
  </si>
  <si>
    <t>1231.71</t>
  </si>
  <si>
    <t>7.93E+09</t>
  </si>
  <si>
    <t>3857.48</t>
  </si>
  <si>
    <t>19497.4</t>
  </si>
  <si>
    <t>12407.33</t>
  </si>
  <si>
    <t>8.4E+09</t>
  </si>
  <si>
    <t>1249.61</t>
  </si>
  <si>
    <t>7.66E+09</t>
  </si>
  <si>
    <t>1250.15</t>
  </si>
  <si>
    <t>1251.01</t>
  </si>
  <si>
    <t>7.25E+09</t>
  </si>
  <si>
    <t>3733.75</t>
  </si>
  <si>
    <t>1255.15</t>
  </si>
  <si>
    <t>9.03E+09</t>
  </si>
  <si>
    <t>12573.81</t>
  </si>
  <si>
    <t>3919.51</t>
  </si>
  <si>
    <t>1265.49</t>
  </si>
  <si>
    <t>9.18E+09</t>
  </si>
  <si>
    <t>1267.12</t>
  </si>
  <si>
    <t>9.58E+09</t>
  </si>
  <si>
    <t>1272.83</t>
  </si>
  <si>
    <t>1.06E+10</t>
  </si>
  <si>
    <t>3892.39</t>
  </si>
  <si>
    <t>1274.99</t>
  </si>
  <si>
    <t>1281.08</t>
  </si>
  <si>
    <t>9.71E+09</t>
  </si>
  <si>
    <t>3953.74</t>
  </si>
  <si>
    <t>12823.69</t>
  </si>
  <si>
    <t>1.01E+10</t>
  </si>
  <si>
    <t>12899.2</t>
  </si>
  <si>
    <t>9.81E+09</t>
  </si>
  <si>
    <t>9.47E+09</t>
  </si>
  <si>
    <t>12952.2</t>
  </si>
  <si>
    <t>9.39E+09</t>
  </si>
  <si>
    <t>3963.9</t>
  </si>
  <si>
    <t>13016.23</t>
  </si>
  <si>
    <t>9.86E+09</t>
  </si>
  <si>
    <t>1929.82</t>
  </si>
  <si>
    <t>13075.25</t>
  </si>
  <si>
    <t>9.65E+09</t>
  </si>
  <si>
    <t>9.34E+09</t>
  </si>
  <si>
    <t>1316.48</t>
  </si>
  <si>
    <t>4097.36</t>
  </si>
  <si>
    <t>1317.73</t>
  </si>
  <si>
    <t>1321.79</t>
  </si>
  <si>
    <t>9.25E+09</t>
  </si>
  <si>
    <t>19208.19</t>
  </si>
  <si>
    <t>4040.7</t>
  </si>
  <si>
    <t>9.14E+09</t>
  </si>
  <si>
    <t>1347.89</t>
  </si>
  <si>
    <t>1.04E+10</t>
  </si>
  <si>
    <t>1.09E+10</t>
  </si>
  <si>
    <t>4068.3</t>
  </si>
  <si>
    <t>13657.2</t>
  </si>
  <si>
    <t>4053.91</t>
  </si>
  <si>
    <t>9.73E+09</t>
  </si>
  <si>
    <t>13819.8</t>
  </si>
  <si>
    <t>9.05E+09</t>
  </si>
  <si>
    <t>19140.8</t>
  </si>
  <si>
    <t>13831.8</t>
  </si>
  <si>
    <t>2.13E+10</t>
  </si>
  <si>
    <t>19114.2</t>
  </si>
  <si>
    <t>13980.6</t>
  </si>
  <si>
    <t>2.29E+10</t>
  </si>
  <si>
    <t>5063.16</t>
  </si>
  <si>
    <t>14026.6</t>
  </si>
  <si>
    <t>5053.51</t>
  </si>
  <si>
    <t>14156.4</t>
  </si>
  <si>
    <t>1421.6</t>
  </si>
  <si>
    <t>14291.5</t>
  </si>
  <si>
    <t>1.72E+10</t>
  </si>
  <si>
    <t>14360.2</t>
  </si>
  <si>
    <t>19017.64</t>
  </si>
  <si>
    <t>1452.82</t>
  </si>
  <si>
    <t>1.55E+10</t>
  </si>
  <si>
    <t>14595.4</t>
  </si>
  <si>
    <t>1.66E+10</t>
  </si>
  <si>
    <t>14606.5</t>
  </si>
  <si>
    <t>1.37E+10</t>
  </si>
  <si>
    <t>5088.85</t>
  </si>
  <si>
    <t>1888.65</t>
  </si>
  <si>
    <t>14656.2</t>
  </si>
  <si>
    <t>14699.2</t>
  </si>
  <si>
    <t>1490.09</t>
  </si>
  <si>
    <t>1.24E+10</t>
  </si>
  <si>
    <t>5251.48</t>
  </si>
  <si>
    <t>14982.1</t>
  </si>
  <si>
    <t>5336.68</t>
  </si>
  <si>
    <t>15170.1</t>
  </si>
  <si>
    <t>15178.2</t>
  </si>
  <si>
    <t>1.32E+10</t>
  </si>
  <si>
    <t>1537.67</t>
  </si>
  <si>
    <t>15455.4</t>
  </si>
  <si>
    <t>1.7E+10</t>
  </si>
  <si>
    <t>1848.57</t>
  </si>
  <si>
    <t>1.53E+10</t>
  </si>
  <si>
    <t>1839.09</t>
  </si>
  <si>
    <t>1555.45</t>
  </si>
  <si>
    <t>5310.75</t>
  </si>
  <si>
    <t>15599.2</t>
  </si>
  <si>
    <t>5224.19</t>
  </si>
  <si>
    <t>1808.91</t>
  </si>
  <si>
    <t>1804.91</t>
  </si>
  <si>
    <t>15802.9</t>
  </si>
  <si>
    <t>1.87E+10</t>
  </si>
  <si>
    <t>15838.5</t>
  </si>
  <si>
    <t>1.76E+10</t>
  </si>
  <si>
    <t>1787.13</t>
  </si>
  <si>
    <t>1596.71</t>
  </si>
  <si>
    <t>16099.8</t>
  </si>
  <si>
    <t>1.94E+10</t>
  </si>
  <si>
    <t>17776.7</t>
  </si>
  <si>
    <t>2.89E+10</t>
  </si>
  <si>
    <t>2.78E+10</t>
  </si>
  <si>
    <t>17706.9</t>
  </si>
  <si>
    <t>2.87E+10</t>
  </si>
  <si>
    <t>3.2E+10</t>
  </si>
  <si>
    <t>2.83E+10</t>
  </si>
  <si>
    <t>1755.36</t>
  </si>
  <si>
    <t>17446.29</t>
  </si>
  <si>
    <t>3.01E+10</t>
  </si>
  <si>
    <t>17429.5</t>
  </si>
  <si>
    <t>17415.4</t>
  </si>
  <si>
    <t>2.59E+10</t>
  </si>
  <si>
    <t>1738.43</t>
  </si>
  <si>
    <t>16477.6</t>
  </si>
  <si>
    <t>7843.34</t>
  </si>
  <si>
    <t>2.51E+10</t>
  </si>
  <si>
    <t>1734.45</t>
  </si>
  <si>
    <t>2.47E+10</t>
  </si>
  <si>
    <t>1724.24</t>
  </si>
  <si>
    <t>2.45E+10</t>
  </si>
  <si>
    <t>8140.72</t>
  </si>
  <si>
    <t>16569.4</t>
  </si>
  <si>
    <t>2.23E+10</t>
  </si>
  <si>
    <t>7924.67</t>
  </si>
  <si>
    <t>2.67E+10</t>
  </si>
  <si>
    <t>2.42E+10</t>
  </si>
  <si>
    <t>16624.6</t>
  </si>
  <si>
    <t>2.35E+10</t>
  </si>
  <si>
    <t>2.92E+10</t>
  </si>
  <si>
    <t>2.54E+10</t>
  </si>
  <si>
    <t>8573.84</t>
  </si>
  <si>
    <t>2.25E+10</t>
  </si>
  <si>
    <t>2.03E+10</t>
  </si>
  <si>
    <t>8743.5</t>
  </si>
  <si>
    <t>2.2E+10</t>
  </si>
  <si>
    <t>16687.52</t>
  </si>
  <si>
    <t>2.46E+10</t>
  </si>
  <si>
    <t>16697.78</t>
  </si>
  <si>
    <t>17034.29</t>
  </si>
  <si>
    <t>7583.22</t>
  </si>
  <si>
    <t>8031.91</t>
  </si>
  <si>
    <t>1.71E+10</t>
  </si>
  <si>
    <t>7862.36</t>
  </si>
  <si>
    <t>16936.8</t>
  </si>
  <si>
    <t>1.9E+10</t>
  </si>
  <si>
    <t>1.98E+10</t>
  </si>
  <si>
    <t>8841.44</t>
  </si>
  <si>
    <t>2.33E+10</t>
  </si>
  <si>
    <t>1.56E+10</t>
  </si>
  <si>
    <t>1.58E+10</t>
  </si>
  <si>
    <t>9594.42</t>
  </si>
  <si>
    <t>1.78E+10</t>
  </si>
  <si>
    <t>2.06E+10</t>
  </si>
  <si>
    <t>10175.92</t>
  </si>
  <si>
    <t>11157.35</t>
  </si>
  <si>
    <t>10107.04</t>
  </si>
  <si>
    <t>10696.69</t>
  </si>
  <si>
    <t>11246.14</t>
  </si>
  <si>
    <t>10556.1</t>
  </si>
  <si>
    <t>2.1E+10</t>
  </si>
  <si>
    <t>10853.74</t>
  </si>
  <si>
    <t>11065.9</t>
  </si>
  <si>
    <t>10610.43</t>
  </si>
  <si>
    <t>1.93E+10</t>
  </si>
  <si>
    <t>11007.2</t>
  </si>
  <si>
    <t>2.49E+10</t>
  </si>
  <si>
    <t>11778.58</t>
  </si>
  <si>
    <t>13796.49</t>
  </si>
  <si>
    <t>11755.6</t>
  </si>
  <si>
    <t>4.51E+10</t>
  </si>
  <si>
    <t>13017.13</t>
  </si>
  <si>
    <t>13311.14</t>
  </si>
  <si>
    <t>10491.85</t>
  </si>
  <si>
    <t>11162.17</t>
  </si>
  <si>
    <t>12445.17</t>
  </si>
  <si>
    <t>10914.5</t>
  </si>
  <si>
    <t>3.51E+10</t>
  </si>
  <si>
    <t>12400.76</t>
  </si>
  <si>
    <t>12400.91</t>
  </si>
  <si>
    <t>11508.38</t>
  </si>
  <si>
    <t>11931.99</t>
  </si>
  <si>
    <t>12178.38</t>
  </si>
  <si>
    <t>10799.01</t>
  </si>
  <si>
    <t>2.73E+10</t>
  </si>
  <si>
    <t>10796.93</t>
  </si>
  <si>
    <t>11206.44</t>
  </si>
  <si>
    <t>10089.31</t>
  </si>
  <si>
    <t>2.94E+10</t>
  </si>
  <si>
    <t>10588.68</t>
  </si>
  <si>
    <t>10912.19</t>
  </si>
  <si>
    <t>3.1E+10</t>
  </si>
  <si>
    <t>10818.16</t>
  </si>
  <si>
    <t>11968.08</t>
  </si>
  <si>
    <t>3.08E+10</t>
  </si>
  <si>
    <t>11972.72</t>
  </si>
  <si>
    <t>12006.08</t>
  </si>
  <si>
    <t>11166.57</t>
  </si>
  <si>
    <t>11203.1</t>
  </si>
  <si>
    <t>11395.66</t>
  </si>
  <si>
    <t>10874.96</t>
  </si>
  <si>
    <t>10982.54</t>
  </si>
  <si>
    <t>11620.96</t>
  </si>
  <si>
    <t>11217.62</t>
  </si>
  <si>
    <t>11541.62</t>
  </si>
  <si>
    <t>11148.8</t>
  </si>
  <si>
    <t>11446.6</t>
  </si>
  <si>
    <t>11393.37</t>
  </si>
  <si>
    <t>12284.33</t>
  </si>
  <si>
    <t>12779.13</t>
  </si>
  <si>
    <t>12233.26</t>
  </si>
  <si>
    <t>2.82E+10</t>
  </si>
  <si>
    <t>12571.54</t>
  </si>
  <si>
    <t>13129.53</t>
  </si>
  <si>
    <t>11710.98</t>
  </si>
  <si>
    <t>3.36E+10</t>
  </si>
  <si>
    <t>12139.71</t>
  </si>
  <si>
    <t>12144.62</t>
  </si>
  <si>
    <t>11158.92</t>
  </si>
  <si>
    <t>2.86E+10</t>
  </si>
  <si>
    <t>11354.3</t>
  </si>
  <si>
    <t>11905.49</t>
  </si>
  <si>
    <t>11179.14</t>
  </si>
  <si>
    <t>11813.13</t>
  </si>
  <si>
    <t>11841.96</t>
  </si>
  <si>
    <t>10908.48</t>
  </si>
  <si>
    <t>11381.02</t>
  </si>
  <si>
    <t>11451.2</t>
  </si>
  <si>
    <t>10234.58</t>
  </si>
  <si>
    <t>10257.84</t>
  </si>
  <si>
    <t>11052.77</t>
  </si>
  <si>
    <t>10896.65</t>
  </si>
  <si>
    <t>10996.63</t>
  </si>
  <si>
    <t>10736.84</t>
  </si>
  <si>
    <t>2.52E+10</t>
  </si>
  <si>
    <t>10653.96</t>
  </si>
  <si>
    <t>10716.98</t>
  </si>
  <si>
    <t>10229.63</t>
  </si>
  <si>
    <t>2.07E+10</t>
  </si>
  <si>
    <t>10525.82</t>
  </si>
  <si>
    <t>11048.66</t>
  </si>
  <si>
    <t>10451.28</t>
  </si>
  <si>
    <t>2.02E+10</t>
  </si>
  <si>
    <t>10777.53</t>
  </si>
  <si>
    <t>10841.89</t>
  </si>
  <si>
    <t>10389.6</t>
  </si>
  <si>
    <t>10596.95</t>
  </si>
  <si>
    <t>10651.79</t>
  </si>
  <si>
    <t>10154.92</t>
  </si>
  <si>
    <t>16408.2</t>
  </si>
  <si>
    <t>1.63E+10</t>
  </si>
  <si>
    <t>10346.75</t>
  </si>
  <si>
    <t>1.79E+10</t>
  </si>
  <si>
    <t>9887.73</t>
  </si>
  <si>
    <t>1.74E+10</t>
  </si>
  <si>
    <t>10154.25</t>
  </si>
  <si>
    <t>10167.32</t>
  </si>
  <si>
    <t>9701.76</t>
  </si>
  <si>
    <t>10077.44</t>
  </si>
  <si>
    <t>10446.92</t>
  </si>
  <si>
    <t>9922.02</t>
  </si>
  <si>
    <t>10402.04</t>
  </si>
  <si>
    <t>10657.95</t>
  </si>
  <si>
    <t>10371.01</t>
  </si>
  <si>
    <t>1.75E+10</t>
  </si>
  <si>
    <t>10519.28</t>
  </si>
  <si>
    <t>10946.78</t>
  </si>
  <si>
    <t>10503.5</t>
  </si>
  <si>
    <t>1.54E+10</t>
  </si>
  <si>
    <t>10821.63</t>
  </si>
  <si>
    <t>11009.21</t>
  </si>
  <si>
    <t>10620.28</t>
  </si>
  <si>
    <t>10960.74</t>
  </si>
  <si>
    <t>11895.09</t>
  </si>
  <si>
    <t>2.39E+10</t>
  </si>
  <si>
    <t>11811.54</t>
  </si>
  <si>
    <t>12273.82</t>
  </si>
  <si>
    <t>11290.73</t>
  </si>
  <si>
    <t>2.36E+10</t>
  </si>
  <si>
    <t>11476.19</t>
  </si>
  <si>
    <t>12036.99</t>
  </si>
  <si>
    <t>11433.7</t>
  </si>
  <si>
    <t>11954.04</t>
  </si>
  <si>
    <t>11556.17</t>
  </si>
  <si>
    <t>11953.47</t>
  </si>
  <si>
    <t>11970.46</t>
  </si>
  <si>
    <t>11709.75</t>
  </si>
  <si>
    <t>11861.56</t>
  </si>
  <si>
    <t>11915.66</t>
  </si>
  <si>
    <t>11323.9</t>
  </si>
  <si>
    <t>1.81E+10</t>
  </si>
  <si>
    <t>11349.74</t>
  </si>
  <si>
    <t>11248.29</t>
  </si>
  <si>
    <t>11528.19</t>
  </si>
  <si>
    <t>11320.95</t>
  </si>
  <si>
    <t>1.36E+10</t>
  </si>
  <si>
    <t>11385.05</t>
  </si>
  <si>
    <t>11420.05</t>
  </si>
  <si>
    <t>10830.33</t>
  </si>
  <si>
    <t>10889.49</t>
  </si>
  <si>
    <t>10889.56</t>
  </si>
  <si>
    <t>10028.14</t>
  </si>
  <si>
    <t>10038.42</t>
  </si>
  <si>
    <t>10437.41</t>
  </si>
  <si>
    <t>10319.42</t>
  </si>
  <si>
    <t>10524.35</t>
  </si>
  <si>
    <t>10358.72</t>
  </si>
  <si>
    <t>10452.63</t>
  </si>
  <si>
    <t>10086.7</t>
  </si>
  <si>
    <t>10233.01</t>
  </si>
  <si>
    <t>10487.07</t>
  </si>
  <si>
    <t>10119.09</t>
  </si>
  <si>
    <t>10350.28</t>
  </si>
  <si>
    <t>10313.2</t>
  </si>
  <si>
    <t>1.6E+10</t>
  </si>
  <si>
    <t>10916.35</t>
  </si>
  <si>
    <t>10947.04</t>
  </si>
  <si>
    <t>10618.96</t>
  </si>
  <si>
    <t>1.51E+10</t>
  </si>
  <si>
    <t>10764.57</t>
  </si>
  <si>
    <t>10798.73</t>
  </si>
  <si>
    <t>10142.52</t>
  </si>
  <si>
    <t>10136.31</t>
  </si>
  <si>
    <t>10442.44</t>
  </si>
  <si>
    <t>10078.19</t>
  </si>
  <si>
    <t>10407.64</t>
  </si>
  <si>
    <t>10418.02</t>
  </si>
  <si>
    <t>10160.74</t>
  </si>
  <si>
    <t>10304.62</t>
  </si>
  <si>
    <t>10008.79</t>
  </si>
  <si>
    <t>1.42E+10</t>
  </si>
  <si>
    <t>10126.3</t>
  </si>
  <si>
    <t>10512.33</t>
  </si>
  <si>
    <t>10372.83</t>
  </si>
  <si>
    <t>10381.33</t>
  </si>
  <si>
    <t>10087.3</t>
  </si>
  <si>
    <t>10203.43</t>
  </si>
  <si>
    <t>10279.37</t>
  </si>
  <si>
    <t>9421.63</t>
  </si>
  <si>
    <t>9531.8</t>
  </si>
  <si>
    <t>1.15E+10</t>
  </si>
  <si>
    <t>1.14E+10</t>
  </si>
  <si>
    <t>10396.59</t>
  </si>
  <si>
    <t>9730.65</t>
  </si>
  <si>
    <t>10345.73</t>
  </si>
  <si>
    <t>10736.1</t>
  </si>
  <si>
    <t>10308.55</t>
  </si>
  <si>
    <t>10621.18</t>
  </si>
  <si>
    <t>10762.64</t>
  </si>
  <si>
    <t>10434.71</t>
  </si>
  <si>
    <t>13925.8</t>
  </si>
  <si>
    <t>10588.18</t>
  </si>
  <si>
    <t>10627.27</t>
  </si>
  <si>
    <t>10516.42</t>
  </si>
  <si>
    <t>10578.2</t>
  </si>
  <si>
    <t>10898.76</t>
  </si>
  <si>
    <t>10292.3</t>
  </si>
  <si>
    <t>10353.93</t>
  </si>
  <si>
    <t>10558.67</t>
  </si>
  <si>
    <t>10348.92</t>
  </si>
  <si>
    <t>10518.11</t>
  </si>
  <si>
    <t>10409.09</t>
  </si>
  <si>
    <t>10443.23</t>
  </si>
  <si>
    <t>10450.31</t>
  </si>
  <si>
    <t>10144.93</t>
  </si>
  <si>
    <t>10336.41</t>
  </si>
  <si>
    <t>10394.35</t>
  </si>
  <si>
    <t>10020.57</t>
  </si>
  <si>
    <t>1.49E+10</t>
  </si>
  <si>
    <t>10123.04</t>
  </si>
  <si>
    <t>10215.95</t>
  </si>
  <si>
    <t>10176.82</t>
  </si>
  <si>
    <t>10442.25</t>
  </si>
  <si>
    <t>10099.24</t>
  </si>
  <si>
    <t>10415.36</t>
  </si>
  <si>
    <t>10441.49</t>
  </si>
  <si>
    <t>10226.6</t>
  </si>
  <si>
    <t>1.41E+10</t>
  </si>
  <si>
    <t>10345.4</t>
  </si>
  <si>
    <t>10422.13</t>
  </si>
  <si>
    <t>10291.69</t>
  </si>
  <si>
    <t>13405.8</t>
  </si>
  <si>
    <t>10356.47</t>
  </si>
  <si>
    <t>10387.04</t>
  </si>
  <si>
    <t>10313.09</t>
  </si>
  <si>
    <t>1.2E+10</t>
  </si>
  <si>
    <t>10347.22</t>
  </si>
  <si>
    <t>10386.87</t>
  </si>
  <si>
    <t>10189.74</t>
  </si>
  <si>
    <t>10281.51</t>
  </si>
  <si>
    <t>10296.77</t>
  </si>
  <si>
    <t>10199.74</t>
  </si>
  <si>
    <t>10247.8</t>
  </si>
  <si>
    <t>10275.93</t>
  </si>
  <si>
    <t>10191.47</t>
  </si>
  <si>
    <t>10200.5</t>
  </si>
  <si>
    <t>10295.67</t>
  </si>
  <si>
    <t>10266.32</t>
  </si>
  <si>
    <t>10285.87</t>
  </si>
  <si>
    <t>10132.19</t>
  </si>
  <si>
    <t>10183.65</t>
  </si>
  <si>
    <t>10188.1</t>
  </si>
  <si>
    <t>10000.71</t>
  </si>
  <si>
    <t>10024.12</t>
  </si>
  <si>
    <t>10074.44</t>
  </si>
  <si>
    <t>10067.96</t>
  </si>
  <si>
    <t>19329.83</t>
  </si>
  <si>
    <t>2.5E+10</t>
  </si>
  <si>
    <t>2.17E+10</t>
  </si>
  <si>
    <t>8487.67</t>
  </si>
  <si>
    <t>1.64E+10</t>
  </si>
  <si>
    <t>8232.68</t>
  </si>
  <si>
    <t>8161.41</t>
  </si>
  <si>
    <t>8308.45</t>
  </si>
  <si>
    <t>8246.85</t>
  </si>
  <si>
    <t>8585.28</t>
  </si>
  <si>
    <t>8721.78</t>
  </si>
  <si>
    <t>1.96E+10</t>
  </si>
  <si>
    <t>19616.81</t>
  </si>
  <si>
    <t>7985.09</t>
  </si>
  <si>
    <t>1.61E+10</t>
  </si>
  <si>
    <t>8691.54</t>
  </si>
  <si>
    <t>10021.74</t>
  </si>
  <si>
    <t>4.45E+10</t>
  </si>
  <si>
    <t>3.26E+10</t>
  </si>
  <si>
    <t>3.09E+10</t>
  </si>
  <si>
    <t>9248.44</t>
  </si>
  <si>
    <t>2.84E+10</t>
  </si>
  <si>
    <t>9085.37</t>
  </si>
  <si>
    <t>2.77E+10</t>
  </si>
  <si>
    <t>2.66E+10</t>
  </si>
  <si>
    <t>2.43E+10</t>
  </si>
  <si>
    <t>2.12E+10</t>
  </si>
  <si>
    <t>2.62E+10</t>
  </si>
  <si>
    <t>2.31E+10</t>
  </si>
  <si>
    <t>2.27E+10</t>
  </si>
  <si>
    <t>9272.76</t>
  </si>
  <si>
    <t>20190.12</t>
  </si>
  <si>
    <t>20212.07</t>
  </si>
  <si>
    <t>1.91E+10</t>
  </si>
  <si>
    <t>8573.98</t>
  </si>
  <si>
    <t>2.16E+10</t>
  </si>
  <si>
    <t>8237.24</t>
  </si>
  <si>
    <t>2.08E+10</t>
  </si>
  <si>
    <t>3.42E+10</t>
  </si>
  <si>
    <t>3.04E+10</t>
  </si>
  <si>
    <t>4.27E+10</t>
  </si>
  <si>
    <t>7320.23</t>
  </si>
  <si>
    <t>2.4E+10</t>
  </si>
  <si>
    <t>7536.82</t>
  </si>
  <si>
    <t>7781.18</t>
  </si>
  <si>
    <t>1.97E+10</t>
  </si>
  <si>
    <t>7515.85</t>
  </si>
  <si>
    <t>20599.54</t>
  </si>
  <si>
    <t>1.82E+10</t>
  </si>
  <si>
    <t>7266.64</t>
  </si>
  <si>
    <t>7124.24</t>
  </si>
  <si>
    <t>2.24E+10</t>
  </si>
  <si>
    <t>3.18E+10</t>
  </si>
  <si>
    <t>2.26E+10</t>
  </si>
  <si>
    <t>2.3E+10</t>
  </si>
  <si>
    <t>7357.02</t>
  </si>
  <si>
    <t>21239.75</t>
  </si>
  <si>
    <t>2.28E+10</t>
  </si>
  <si>
    <t>2.14E+10</t>
  </si>
  <si>
    <t>7335.29</t>
  </si>
  <si>
    <t>1.86E+10</t>
  </si>
  <si>
    <t>6935.27</t>
  </si>
  <si>
    <t>2.81E+10</t>
  </si>
  <si>
    <t>11414.03</t>
  </si>
  <si>
    <t>2.88E+10</t>
  </si>
  <si>
    <t>3.17E+10</t>
  </si>
  <si>
    <t>2.55E+10</t>
  </si>
  <si>
    <t>4.48E+10</t>
  </si>
  <si>
    <t>4.01E+10</t>
  </si>
  <si>
    <t>3.13E+10</t>
  </si>
  <si>
    <t>8725.21</t>
  </si>
  <si>
    <t>3.64E+10</t>
  </si>
  <si>
    <t>3.23E+10</t>
  </si>
  <si>
    <t>8620.08</t>
  </si>
  <si>
    <t>2.64E+10</t>
  </si>
  <si>
    <t>2.41E+10</t>
  </si>
  <si>
    <t>8680.65</t>
  </si>
  <si>
    <t>2.58E+10</t>
  </si>
  <si>
    <t>2.44E+10</t>
  </si>
  <si>
    <t>8364.41</t>
  </si>
  <si>
    <t>3.44E+10</t>
  </si>
  <si>
    <t>3.07E+10</t>
  </si>
  <si>
    <t>11188.6</t>
  </si>
  <si>
    <t>3.24E+10</t>
  </si>
  <si>
    <t>9389.82</t>
  </si>
  <si>
    <t>2.99E+10</t>
  </si>
  <si>
    <t>9701.3</t>
  </si>
  <si>
    <t>3.52E+10</t>
  </si>
  <si>
    <t>11111.21</t>
  </si>
  <si>
    <t>3.76E+10</t>
  </si>
  <si>
    <t>3.45E+10</t>
  </si>
  <si>
    <t>9793.07</t>
  </si>
  <si>
    <t>9678.91</t>
  </si>
  <si>
    <t>10129.44</t>
  </si>
  <si>
    <t>3.58E+10</t>
  </si>
  <si>
    <t>10115.56</t>
  </si>
  <si>
    <t>10165.77</t>
  </si>
  <si>
    <t>3.94E+10</t>
  </si>
  <si>
    <t>10210.05</t>
  </si>
  <si>
    <t>10202.39</t>
  </si>
  <si>
    <t>10393.61</t>
  </si>
  <si>
    <t>4.34E+10</t>
  </si>
  <si>
    <t>10323.96</t>
  </si>
  <si>
    <t>10457.63</t>
  </si>
  <si>
    <t>10116.16</t>
  </si>
  <si>
    <t>4.94E+10</t>
  </si>
  <si>
    <t>10211.55</t>
  </si>
  <si>
    <t>10125.53</t>
  </si>
  <si>
    <t>4.33E+10</t>
  </si>
  <si>
    <t>10313.86</t>
  </si>
  <si>
    <t>10341.56</t>
  </si>
  <si>
    <t>4.39E+10</t>
  </si>
  <si>
    <t>9889.18</t>
  </si>
  <si>
    <t>10053.97</t>
  </si>
  <si>
    <t>4.6E+10</t>
  </si>
  <si>
    <t>9691.23</t>
  </si>
  <si>
    <t>10161.94</t>
  </si>
  <si>
    <t>10970.18</t>
  </si>
  <si>
    <t>4.73E+10</t>
  </si>
  <si>
    <t>10143.8</t>
  </si>
  <si>
    <t>10191.68</t>
  </si>
  <si>
    <t>9507.9</t>
  </si>
  <si>
    <t>4.49E+10</t>
  </si>
  <si>
    <t>10938.27</t>
  </si>
  <si>
    <t>4.09E+10</t>
  </si>
  <si>
    <t>4.12E+10</t>
  </si>
  <si>
    <t>4.25E+10</t>
  </si>
  <si>
    <t>9338.29</t>
  </si>
  <si>
    <t>5.04E+10</t>
  </si>
  <si>
    <t>4.55E+10</t>
  </si>
  <si>
    <t>4.46E+10</t>
  </si>
  <si>
    <t>3.53E+10</t>
  </si>
  <si>
    <t>10817.16</t>
  </si>
  <si>
    <t>4.29E+10</t>
  </si>
  <si>
    <t>8704.99</t>
  </si>
  <si>
    <t>230.19</t>
  </si>
  <si>
    <t>4.24E+10</t>
  </si>
  <si>
    <t>3.47E+10</t>
  </si>
  <si>
    <t>3.97E+10</t>
  </si>
  <si>
    <t>4.08E+10</t>
  </si>
  <si>
    <t>3.62E+10</t>
  </si>
  <si>
    <t>4.69E+10</t>
  </si>
  <si>
    <t>4.22E+10</t>
  </si>
  <si>
    <t>7910.09</t>
  </si>
  <si>
    <t>3.87E+10</t>
  </si>
  <si>
    <t>7.42E+10</t>
  </si>
  <si>
    <t>3.4E+10</t>
  </si>
  <si>
    <t>4.54E+10</t>
  </si>
  <si>
    <t>3.86E+10</t>
  </si>
  <si>
    <t>3.79E+10</t>
  </si>
  <si>
    <t>5.1E+10</t>
  </si>
  <si>
    <t>5.44E+10</t>
  </si>
  <si>
    <t>4.65E+10</t>
  </si>
  <si>
    <t>4.82E+10</t>
  </si>
  <si>
    <t>10619.45</t>
  </si>
  <si>
    <t>3.46E+10</t>
  </si>
  <si>
    <t>3.49E+10</t>
  </si>
  <si>
    <t>3.71E+10</t>
  </si>
  <si>
    <t>3.28E+10</t>
  </si>
  <si>
    <t>4.03E+10</t>
  </si>
  <si>
    <t>4.77E+10</t>
  </si>
  <si>
    <t>3.9E+10</t>
  </si>
  <si>
    <t>3.32E+10</t>
  </si>
  <si>
    <t>2.95E+10</t>
  </si>
  <si>
    <t>6788.05</t>
  </si>
  <si>
    <t>6782.89</t>
  </si>
  <si>
    <t>23561.21</t>
  </si>
  <si>
    <t>4.42E+10</t>
  </si>
  <si>
    <t>3.48E+10</t>
  </si>
  <si>
    <t>4.36E+10</t>
  </si>
  <si>
    <t>6867.44</t>
  </si>
  <si>
    <t>6926.07</t>
  </si>
  <si>
    <t>10511.81</t>
  </si>
  <si>
    <t>3.12E+10</t>
  </si>
  <si>
    <t>6668.26</t>
  </si>
  <si>
    <t>1047.87</t>
  </si>
  <si>
    <t>3.41E+10</t>
  </si>
  <si>
    <t>4.68E+10</t>
  </si>
  <si>
    <t>3.25E+10</t>
  </si>
  <si>
    <t>3.77E+10</t>
  </si>
  <si>
    <t>6879.44</t>
  </si>
  <si>
    <t>4.35E+10</t>
  </si>
  <si>
    <t>3.29E+10</t>
  </si>
  <si>
    <t>7796.97</t>
  </si>
  <si>
    <t>6.02E+10</t>
  </si>
  <si>
    <t>8797.67</t>
  </si>
  <si>
    <t>9440.65</t>
  </si>
  <si>
    <t>10374.34</t>
  </si>
  <si>
    <t>6.7E+10</t>
  </si>
  <si>
    <t>4.41E+10</t>
  </si>
  <si>
    <t>4.71E+10</t>
  </si>
  <si>
    <t>4.31E+10</t>
  </si>
  <si>
    <t>6.11E+10</t>
  </si>
  <si>
    <t>5.18E+10</t>
  </si>
  <si>
    <t>4.66E+10</t>
  </si>
  <si>
    <t>10346.76</t>
  </si>
  <si>
    <t>6.33E+10</t>
  </si>
  <si>
    <t>5.71E+10</t>
  </si>
  <si>
    <t>4.21E+10</t>
  </si>
  <si>
    <t>4.56E+10</t>
  </si>
  <si>
    <t>5.64E+10</t>
  </si>
  <si>
    <t>10323.76</t>
  </si>
  <si>
    <t>9333.24</t>
  </si>
  <si>
    <t>2464.58</t>
  </si>
  <si>
    <t>9374.93</t>
  </si>
  <si>
    <t>9906.03</t>
  </si>
  <si>
    <t>4.18E+10</t>
  </si>
  <si>
    <t>3.93E+10</t>
  </si>
  <si>
    <t>10280.35</t>
  </si>
  <si>
    <t>3.65E+10</t>
  </si>
  <si>
    <t>9522.74</t>
  </si>
  <si>
    <t>2.98E+10</t>
  </si>
  <si>
    <t>2.96E+10</t>
  </si>
  <si>
    <t>9203.32</t>
  </si>
  <si>
    <t>3.27E+10</t>
  </si>
  <si>
    <t>9704.03</t>
  </si>
  <si>
    <t>10199.57</t>
  </si>
  <si>
    <t>10162.97</t>
  </si>
  <si>
    <t>10182.34</t>
  </si>
  <si>
    <t>3.91E+10</t>
  </si>
  <si>
    <t>2.04E+10</t>
  </si>
  <si>
    <t>9458.15</t>
  </si>
  <si>
    <t>9774.36</t>
  </si>
  <si>
    <t>9664.72</t>
  </si>
  <si>
    <t>2.37E+10</t>
  </si>
  <si>
    <t>2.57E+10</t>
  </si>
  <si>
    <t>3.02E+10</t>
  </si>
  <si>
    <t>9320.69</t>
  </si>
  <si>
    <t>9396.01</t>
  </si>
  <si>
    <t>9504.86</t>
  </si>
  <si>
    <t>25753.24</t>
  </si>
  <si>
    <t>9327.34</t>
  </si>
  <si>
    <t>9290.96</t>
  </si>
  <si>
    <t>9247.38</t>
  </si>
  <si>
    <t>1.73E+10</t>
  </si>
  <si>
    <t>9231.14</t>
  </si>
  <si>
    <t>9053.63</t>
  </si>
  <si>
    <t>1.29E+10</t>
  </si>
  <si>
    <t>9072.85</t>
  </si>
  <si>
    <t>9249.5</t>
  </si>
  <si>
    <t>9197.45</t>
  </si>
  <si>
    <t>9191.98</t>
  </si>
  <si>
    <t>9137.51</t>
  </si>
  <si>
    <t>9149.39</t>
  </si>
  <si>
    <t>9375.08</t>
  </si>
  <si>
    <t>10023.81</t>
  </si>
  <si>
    <t>2.05E+10</t>
  </si>
  <si>
    <t>11298.22</t>
  </si>
  <si>
    <t>9903.97</t>
  </si>
  <si>
    <t>3.54E+10</t>
  </si>
  <si>
    <t>11017.46</t>
  </si>
  <si>
    <t>11204.33</t>
  </si>
  <si>
    <t>10632.63</t>
  </si>
  <si>
    <t>10912.95</t>
  </si>
  <si>
    <t>11304.4</t>
  </si>
  <si>
    <t>10856.14</t>
  </si>
  <si>
    <t>11099.83</t>
  </si>
  <si>
    <t>11169.36</t>
  </si>
  <si>
    <t>10895.46</t>
  </si>
  <si>
    <t>11110.21</t>
  </si>
  <si>
    <t>11415.86</t>
  </si>
  <si>
    <t>10987.05</t>
  </si>
  <si>
    <t>2.32E+10</t>
  </si>
  <si>
    <t>11322.57</t>
  </si>
  <si>
    <t>11794.78</t>
  </si>
  <si>
    <t>11239.68</t>
  </si>
  <si>
    <t>2.61E+10</t>
  </si>
  <si>
    <t>11758.76</t>
  </si>
  <si>
    <t>12034.14</t>
  </si>
  <si>
    <t>11018.13</t>
  </si>
  <si>
    <t>2.74E+10</t>
  </si>
  <si>
    <t>11043.77</t>
  </si>
  <si>
    <t>11453.08</t>
  </si>
  <si>
    <t>11012.42</t>
  </si>
  <si>
    <t>11246.2</t>
  </si>
  <si>
    <t>11385.38</t>
  </si>
  <si>
    <t>11094.15</t>
  </si>
  <si>
    <t>11203.82</t>
  </si>
  <si>
    <t>11786.62</t>
  </si>
  <si>
    <t>11158.29</t>
  </si>
  <si>
    <t>11749.87</t>
  </si>
  <si>
    <t>11902.34</t>
  </si>
  <si>
    <t>11598.71</t>
  </si>
  <si>
    <t>2.34E+10</t>
  </si>
  <si>
    <t>11778.89</t>
  </si>
  <si>
    <t>11898.04</t>
  </si>
  <si>
    <t>11408.59</t>
  </si>
  <si>
    <t>11604.55</t>
  </si>
  <si>
    <t>11800.06</t>
  </si>
  <si>
    <t>11558.43</t>
  </si>
  <si>
    <t>26568.28</t>
  </si>
  <si>
    <t>11737.33</t>
  </si>
  <si>
    <t>11806.06</t>
  </si>
  <si>
    <t>11548.78</t>
  </si>
  <si>
    <t>11662.26</t>
  </si>
  <si>
    <t>12045.14</t>
  </si>
  <si>
    <t>11881.65</t>
  </si>
  <si>
    <t>11932.71</t>
  </si>
  <si>
    <t>11195.71</t>
  </si>
  <si>
    <t>2.7E+10</t>
  </si>
  <si>
    <t>11404.6</t>
  </si>
  <si>
    <t>11748.4</t>
  </si>
  <si>
    <t>11249.61</t>
  </si>
  <si>
    <t>11588.41</t>
  </si>
  <si>
    <t>11796.4</t>
  </si>
  <si>
    <t>11216.87</t>
  </si>
  <si>
    <t>2.75E+10</t>
  </si>
  <si>
    <t>11772.66</t>
  </si>
  <si>
    <t>12150.99</t>
  </si>
  <si>
    <t>11685.46</t>
  </si>
  <si>
    <t>11768.7</t>
  </si>
  <si>
    <t>11963.2</t>
  </si>
  <si>
    <t>11866.69</t>
  </si>
  <si>
    <t>11934.9</t>
  </si>
  <si>
    <t>11737.19</t>
  </si>
  <si>
    <t>11895.66</t>
  </si>
  <si>
    <t>12359.06</t>
  </si>
  <si>
    <t>11806.7</t>
  </si>
  <si>
    <t>12251.9</t>
  </si>
  <si>
    <t>12335.71</t>
  </si>
  <si>
    <t>11954.53</t>
  </si>
  <si>
    <t>2.6E+10</t>
  </si>
  <si>
    <t>11990.88</t>
  </si>
  <si>
    <t>12028.92</t>
  </si>
  <si>
    <t>11687.33</t>
  </si>
  <si>
    <t>11761.5</t>
  </si>
  <si>
    <t>11900.41</t>
  </si>
  <si>
    <t>11710.06</t>
  </si>
  <si>
    <t>11878.03</t>
  </si>
  <si>
    <t>11899.26</t>
  </si>
  <si>
    <t>11564.98</t>
  </si>
  <si>
    <t>11585.48</t>
  </si>
  <si>
    <t>11689.41</t>
  </si>
  <si>
    <t>11448.81</t>
  </si>
  <si>
    <t>11679.7</t>
  </si>
  <si>
    <t>11713.43</t>
  </si>
  <si>
    <t>11559.92</t>
  </si>
  <si>
    <t>11663.69</t>
  </si>
  <si>
    <t>11807.63</t>
  </si>
  <si>
    <t>11623.25</t>
  </si>
  <si>
    <t>11773.59</t>
  </si>
  <si>
    <t>11778.3</t>
  </si>
  <si>
    <t>11189.85</t>
  </si>
  <si>
    <t>2.63E+10</t>
  </si>
  <si>
    <t>11366.89</t>
  </si>
  <si>
    <t>11530.05</t>
  </si>
  <si>
    <t>11296.99</t>
  </si>
  <si>
    <t>11485.61</t>
  </si>
  <si>
    <t>11570.79</t>
  </si>
  <si>
    <t>11185.94</t>
  </si>
  <si>
    <t>11325.3</t>
  </si>
  <si>
    <t>11545.62</t>
  </si>
  <si>
    <t>11316.42</t>
  </si>
  <si>
    <t>11541.05</t>
  </si>
  <si>
    <t>11585.64</t>
  </si>
  <si>
    <t>11466.29</t>
  </si>
  <si>
    <t>11508.71</t>
  </si>
  <si>
    <t>11715.26</t>
  </si>
  <si>
    <t>11492.38</t>
  </si>
  <si>
    <t>11713.31</t>
  </si>
  <si>
    <t>11768.88</t>
  </si>
  <si>
    <t>11598.32</t>
  </si>
  <si>
    <t>11679.32</t>
  </si>
  <si>
    <t>12067.08</t>
  </si>
  <si>
    <t>11601.13</t>
  </si>
  <si>
    <t>11964.82</t>
  </si>
  <si>
    <t>11290.79</t>
  </si>
  <si>
    <t>2.8E+10</t>
  </si>
  <si>
    <t>11407.19</t>
  </si>
  <si>
    <t>11443.02</t>
  </si>
  <si>
    <t>10182.46</t>
  </si>
  <si>
    <t>3.19E+10</t>
  </si>
  <si>
    <t>10230.37</t>
  </si>
  <si>
    <t>10663.92</t>
  </si>
  <si>
    <t>10207.94</t>
  </si>
  <si>
    <t>10512.53</t>
  </si>
  <si>
    <t>10581.57</t>
  </si>
  <si>
    <t>10167.22</t>
  </si>
  <si>
    <t>10056.89</t>
  </si>
  <si>
    <t>10399.15</t>
  </si>
  <si>
    <t>3.37E+10</t>
  </si>
  <si>
    <t>10369.31</t>
  </si>
  <si>
    <t>10414.78</t>
  </si>
  <si>
    <t>9945.11</t>
  </si>
  <si>
    <t>3.34E+10</t>
  </si>
  <si>
    <t>10134.15</t>
  </si>
  <si>
    <t>10350.54</t>
  </si>
  <si>
    <t>10017.25</t>
  </si>
  <si>
    <t>10242.33</t>
  </si>
  <si>
    <t>10503.91</t>
  </si>
  <si>
    <t>10238.14</t>
  </si>
  <si>
    <t>10369.03</t>
  </si>
  <si>
    <t>10434.92</t>
  </si>
  <si>
    <t>10140.84</t>
  </si>
  <si>
    <t>4.52E+10</t>
  </si>
  <si>
    <t>10409.86</t>
  </si>
  <si>
    <t>10578.84</t>
  </si>
  <si>
    <t>10292.39</t>
  </si>
  <si>
    <t>3.68E+10</t>
  </si>
  <si>
    <t>10452.4</t>
  </si>
  <si>
    <t>10577.21</t>
  </si>
  <si>
    <t>10224.33</t>
  </si>
  <si>
    <t>10328.73</t>
  </si>
  <si>
    <t>10800.01</t>
  </si>
  <si>
    <t>10266.01</t>
  </si>
  <si>
    <t>3.55E+10</t>
  </si>
  <si>
    <t>10677.75</t>
  </si>
  <si>
    <t>10938.63</t>
  </si>
  <si>
    <t>10656.46</t>
  </si>
  <si>
    <t>10797.76</t>
  </si>
  <si>
    <t>11100.12</t>
  </si>
  <si>
    <t>10704.88</t>
  </si>
  <si>
    <t>10973.25</t>
  </si>
  <si>
    <t>11037.42</t>
  </si>
  <si>
    <t>10774.63</t>
  </si>
  <si>
    <t>3.82E+10</t>
  </si>
  <si>
    <t>10951.82</t>
  </si>
  <si>
    <t>11034.91</t>
  </si>
  <si>
    <t>10829.66</t>
  </si>
  <si>
    <t>10933.75</t>
  </si>
  <si>
    <t>11134.09</t>
  </si>
  <si>
    <t>10909.62</t>
  </si>
  <si>
    <t>11095.87</t>
  </si>
  <si>
    <t>10814.48</t>
  </si>
  <si>
    <t>10934.93</t>
  </si>
  <si>
    <t>10380.26</t>
  </si>
  <si>
    <t>10459.62</t>
  </si>
  <si>
    <t>10568.08</t>
  </si>
  <si>
    <t>10382.73</t>
  </si>
  <si>
    <t>10535.49</t>
  </si>
  <si>
    <t>10537.83</t>
  </si>
  <si>
    <t>10197.87</t>
  </si>
  <si>
    <t>10248.79</t>
  </si>
  <si>
    <t>10771.06</t>
  </si>
  <si>
    <t>10231.49</t>
  </si>
  <si>
    <t>10761.11</t>
  </si>
  <si>
    <t>10777.7</t>
  </si>
  <si>
    <t>10578.91</t>
  </si>
  <si>
    <t>10695.58</t>
  </si>
  <si>
    <t>10667.28</t>
  </si>
  <si>
    <t>10746.89</t>
  </si>
  <si>
    <t>10803.98</t>
  </si>
  <si>
    <t>10622.92</t>
  </si>
  <si>
    <t>5.37E+10</t>
  </si>
  <si>
    <t>10776.61</t>
  </si>
  <si>
    <t>10945.35</t>
  </si>
  <si>
    <t>10703.89</t>
  </si>
  <si>
    <t>4.78E+10</t>
  </si>
  <si>
    <t>10649.5</t>
  </si>
  <si>
    <t>10843.87</t>
  </si>
  <si>
    <t>10847.26</t>
  </si>
  <si>
    <t>10669.32</t>
  </si>
  <si>
    <t>10795.25</t>
  </si>
  <si>
    <t>10933.62</t>
  </si>
  <si>
    <t>10472.36</t>
  </si>
  <si>
    <t>4.87E+10</t>
  </si>
  <si>
    <t>4.47E+10</t>
  </si>
  <si>
    <t>7.13E+10</t>
  </si>
  <si>
    <t>4.75E+10</t>
  </si>
  <si>
    <t>4.26E+10</t>
  </si>
  <si>
    <t>3.78E+10</t>
  </si>
  <si>
    <t>10669.37</t>
  </si>
  <si>
    <t>10945.74</t>
  </si>
  <si>
    <t>10562.61</t>
  </si>
  <si>
    <t>2.56E+10</t>
  </si>
  <si>
    <t>11913.08</t>
  </si>
  <si>
    <t>13184.57</t>
  </si>
  <si>
    <t>11900.93</t>
  </si>
  <si>
    <t>2.9E+10</t>
  </si>
  <si>
    <t>12931.57</t>
  </si>
  <si>
    <t>12885.75</t>
  </si>
  <si>
    <t>13031.2</t>
  </si>
  <si>
    <t>13225.3</t>
  </si>
  <si>
    <t>12822.38</t>
  </si>
  <si>
    <t>3.59E+10</t>
  </si>
  <si>
    <t>5.65E+10</t>
  </si>
  <si>
    <t>3.06E+10</t>
  </si>
  <si>
    <t>3.03E+10</t>
  </si>
  <si>
    <t>3.98E+10</t>
  </si>
  <si>
    <t>3.5E+10</t>
  </si>
  <si>
    <t>3.16E+10</t>
  </si>
  <si>
    <t>28091.57</t>
  </si>
  <si>
    <t>3.15E+10</t>
  </si>
  <si>
    <t>4.91E+10</t>
  </si>
  <si>
    <t>3.7E+10</t>
  </si>
  <si>
    <t>4.13E+10</t>
  </si>
  <si>
    <t>5.15E+10</t>
  </si>
  <si>
    <t>4.37E+10</t>
  </si>
  <si>
    <t>6.14E+10</t>
  </si>
  <si>
    <t>3.89E+10</t>
  </si>
  <si>
    <t>3.11E+10</t>
  </si>
  <si>
    <t>4.96E+10</t>
  </si>
  <si>
    <t>3.74E+10</t>
  </si>
  <si>
    <t>3.39E+10</t>
  </si>
  <si>
    <t>28454.98</t>
  </si>
  <si>
    <t>2.72E+10</t>
  </si>
  <si>
    <t>2.69E+10</t>
  </si>
  <si>
    <t>2.79E+10</t>
  </si>
  <si>
    <t>4.44E+10</t>
  </si>
  <si>
    <t>7.14E+10</t>
  </si>
  <si>
    <t>4.04E+10</t>
  </si>
  <si>
    <t>3.85E+10</t>
  </si>
  <si>
    <t>4.59E+10</t>
  </si>
  <si>
    <t>28936.36</t>
  </si>
  <si>
    <t>5.11E+10</t>
  </si>
  <si>
    <t>4.11E+10</t>
  </si>
  <si>
    <t>24677.02</t>
  </si>
  <si>
    <t>26718.07</t>
  </si>
  <si>
    <t>24522.69</t>
  </si>
  <si>
    <t>4.83E+10</t>
  </si>
  <si>
    <t>6.65E+10</t>
  </si>
  <si>
    <t>4.53E+10</t>
  </si>
  <si>
    <t>5.13E+10</t>
  </si>
  <si>
    <t>4.07E+10</t>
  </si>
  <si>
    <t>29376.46</t>
  </si>
  <si>
    <t>33155.12</t>
  </si>
  <si>
    <t>29091.18</t>
  </si>
  <si>
    <t>6.79E+10</t>
  </si>
  <si>
    <t>7.87E+10</t>
  </si>
  <si>
    <t>29178.68</t>
  </si>
  <si>
    <t>6.75E+10</t>
  </si>
  <si>
    <t>7.53E+10</t>
  </si>
  <si>
    <t>8.48E+10</t>
  </si>
  <si>
    <t>8.81E+10</t>
  </si>
  <si>
    <t>6.2E+10</t>
  </si>
  <si>
    <t>1.23E+11</t>
  </si>
  <si>
    <t>7.48E+10</t>
  </si>
  <si>
    <t>6.94E+10</t>
  </si>
  <si>
    <t>6.36E+10</t>
  </si>
  <si>
    <t>6.78E+10</t>
  </si>
  <si>
    <t>5.77E+10</t>
  </si>
  <si>
    <t>5.24E+10</t>
  </si>
  <si>
    <t>4.95E+10</t>
  </si>
  <si>
    <t>5.72E+10</t>
  </si>
  <si>
    <t>6.68E+10</t>
  </si>
  <si>
    <t>7.56E+10</t>
  </si>
  <si>
    <t>7.72E+10</t>
  </si>
  <si>
    <t>4.84E+10</t>
  </si>
  <si>
    <t>4.86E+10</t>
  </si>
  <si>
    <t>5.99E+10</t>
  </si>
  <si>
    <t>6.03E+10</t>
  </si>
  <si>
    <t>6.26E+10</t>
  </si>
  <si>
    <t>1.18E+11</t>
  </si>
  <si>
    <t>6.51E+10</t>
  </si>
  <si>
    <t>5.28E+10</t>
  </si>
  <si>
    <t>33114.58</t>
  </si>
  <si>
    <t>34638.21</t>
  </si>
  <si>
    <t>32384.23</t>
  </si>
  <si>
    <t>33533.2</t>
  </si>
  <si>
    <t>35896.88</t>
  </si>
  <si>
    <t>33489.22</t>
  </si>
  <si>
    <t>6.31E+10</t>
  </si>
  <si>
    <t>2958.11</t>
  </si>
  <si>
    <t>6.12E+10</t>
  </si>
  <si>
    <t>6.88E+10</t>
  </si>
  <si>
    <t>5.86E+10</t>
  </si>
  <si>
    <t>6.55E+10</t>
  </si>
  <si>
    <t>1.01E+11</t>
  </si>
  <si>
    <t>9.18E+10</t>
  </si>
  <si>
    <t>8.73E+10</t>
  </si>
  <si>
    <t>8.14E+10</t>
  </si>
  <si>
    <t>7.66E+10</t>
  </si>
  <si>
    <t>47491.2</t>
  </si>
  <si>
    <t>48047.75</t>
  </si>
  <si>
    <t>46392.28</t>
  </si>
  <si>
    <t>7.03E+10</t>
  </si>
  <si>
    <t>7.12E+10</t>
  </si>
  <si>
    <t>7.71E+10</t>
  </si>
  <si>
    <t>7.7E+10</t>
  </si>
  <si>
    <t>29906.66</t>
  </si>
  <si>
    <t>8.08E+10</t>
  </si>
  <si>
    <t>5.21E+10</t>
  </si>
  <si>
    <t>6.35E+10</t>
  </si>
  <si>
    <t>6.81E+10</t>
  </si>
  <si>
    <t>5.19E+10</t>
  </si>
  <si>
    <t>9.21E+10</t>
  </si>
  <si>
    <t>1.06E+11</t>
  </si>
  <si>
    <t>6.37E+10</t>
  </si>
  <si>
    <t>5.45E+10</t>
  </si>
  <si>
    <t>3.51E+11</t>
  </si>
  <si>
    <t>5.34E+10</t>
  </si>
  <si>
    <t>5.32E+10</t>
  </si>
  <si>
    <t>5.23E+10</t>
  </si>
  <si>
    <t>5.09E+10</t>
  </si>
  <si>
    <t>5.73E+10</t>
  </si>
  <si>
    <t>5.68E+10</t>
  </si>
  <si>
    <t>57821.22</t>
  </si>
  <si>
    <t>57996.62</t>
  </si>
  <si>
    <t>55376.65</t>
  </si>
  <si>
    <t>5.57E+10</t>
  </si>
  <si>
    <t>6.07E+10</t>
  </si>
  <si>
    <t>6.64E+10</t>
  </si>
  <si>
    <t>5.97E+10</t>
  </si>
  <si>
    <t>7.06E+10</t>
  </si>
  <si>
    <t>6.8E+10</t>
  </si>
  <si>
    <t>5.67E+10</t>
  </si>
  <si>
    <t>5.76E+10</t>
  </si>
  <si>
    <t>30695.47</t>
  </si>
  <si>
    <t>6.17E+10</t>
  </si>
  <si>
    <t>5.87E+10</t>
  </si>
  <si>
    <t>5.96E+10</t>
  </si>
  <si>
    <t>5.07E+10</t>
  </si>
  <si>
    <t>6.61E+10</t>
  </si>
  <si>
    <t>5.31E+10</t>
  </si>
  <si>
    <t>4.67E+10</t>
  </si>
  <si>
    <t>5.82E+10</t>
  </si>
  <si>
    <t>59846.23</t>
  </si>
  <si>
    <t>59289.8</t>
  </si>
  <si>
    <t>4.63E+10</t>
  </si>
  <si>
    <t>31533.07</t>
  </si>
  <si>
    <t>63523.75</t>
  </si>
  <si>
    <t>64863.1</t>
  </si>
  <si>
    <t>61554.8</t>
  </si>
  <si>
    <t>7.75E+10</t>
  </si>
  <si>
    <t>6.1E+10</t>
  </si>
  <si>
    <t>8.43E+10</t>
  </si>
  <si>
    <t>9.75E+10</t>
  </si>
  <si>
    <t>6.53E+10</t>
  </si>
  <si>
    <t>320.51</t>
  </si>
  <si>
    <t>5.49E+10</t>
  </si>
  <si>
    <t>8.67E+10</t>
  </si>
  <si>
    <t>4.9E+10</t>
  </si>
  <si>
    <t>4.61E+10</t>
  </si>
  <si>
    <t>5.83E+10</t>
  </si>
  <si>
    <t>4.8E+10</t>
  </si>
  <si>
    <t>53568.66</t>
  </si>
  <si>
    <t>57900.72</t>
  </si>
  <si>
    <t>53129.6</t>
  </si>
  <si>
    <t>4.28E+10</t>
  </si>
  <si>
    <t>5.17E+10</t>
  </si>
  <si>
    <t>6.92E+10</t>
  </si>
  <si>
    <t>6.95E+10</t>
  </si>
  <si>
    <t>6.84E+10</t>
  </si>
  <si>
    <t>6.54E+10</t>
  </si>
  <si>
    <t>6.59E+10</t>
  </si>
  <si>
    <t>7.18E+10</t>
  </si>
  <si>
    <t>6.13E+10</t>
  </si>
  <si>
    <t>56714.53</t>
  </si>
  <si>
    <t>7.52E+10</t>
  </si>
  <si>
    <t>9.67E+10</t>
  </si>
  <si>
    <t>5.92E+10</t>
  </si>
  <si>
    <t>6.4E+10</t>
  </si>
  <si>
    <t>7.49E+10</t>
  </si>
  <si>
    <t>5.62E+10</t>
  </si>
  <si>
    <t>42944.98</t>
  </si>
  <si>
    <t>30681.5</t>
  </si>
  <si>
    <t>1.26E+11</t>
  </si>
  <si>
    <t>8.83E+10</t>
  </si>
  <si>
    <t>40596.95</t>
  </si>
  <si>
    <t>33616.45</t>
  </si>
  <si>
    <t>8.21E+10</t>
  </si>
  <si>
    <t>5.74E+10</t>
  </si>
  <si>
    <t>7.85E+10</t>
  </si>
  <si>
    <t>6.74E+10</t>
  </si>
  <si>
    <t>4.32E+10</t>
  </si>
  <si>
    <t>5.52E+10</t>
  </si>
  <si>
    <t>3.31E+10</t>
  </si>
  <si>
    <t>3.6E+10</t>
  </si>
  <si>
    <t>4.99E+10</t>
  </si>
  <si>
    <t>5.4E+10</t>
  </si>
  <si>
    <t>40427.17</t>
  </si>
  <si>
    <t>41295.27</t>
  </si>
  <si>
    <t>39609.47</t>
  </si>
  <si>
    <t>4.64E+10</t>
  </si>
  <si>
    <t>3.92E+10</t>
  </si>
  <si>
    <t>3.67E+10</t>
  </si>
  <si>
    <t>5.9E+10</t>
  </si>
  <si>
    <t>4.02E+10</t>
  </si>
  <si>
    <t>35510.29</t>
  </si>
  <si>
    <t>35284.34</t>
  </si>
  <si>
    <t>33213.66</t>
  </si>
  <si>
    <t>2.65E+10</t>
  </si>
  <si>
    <t>2.48E+10</t>
  </si>
  <si>
    <t>2.01E+10</t>
  </si>
  <si>
    <t>31397.31</t>
  </si>
  <si>
    <t>31935.95</t>
  </si>
  <si>
    <t>31223.99</t>
  </si>
  <si>
    <t>2.09E+10</t>
  </si>
  <si>
    <t>41460.84</t>
  </si>
  <si>
    <t>42541.68</t>
  </si>
  <si>
    <t>39540.94</t>
  </si>
  <si>
    <t>44574.44</t>
  </si>
  <si>
    <t>45282.35</t>
  </si>
  <si>
    <t>43331.91</t>
  </si>
  <si>
    <t>3.63E+10</t>
  </si>
  <si>
    <t>3.35E+10</t>
  </si>
  <si>
    <t>3.43E+10</t>
  </si>
  <si>
    <t>44686.75</t>
  </si>
  <si>
    <t>45952.06</t>
  </si>
  <si>
    <t>44364.03</t>
  </si>
  <si>
    <t>3.22E+10</t>
  </si>
  <si>
    <t>3.72E+10</t>
  </si>
  <si>
    <t>4.06E+10</t>
  </si>
  <si>
    <t>49291.68</t>
  </si>
  <si>
    <t>50482.08</t>
  </si>
  <si>
    <t>49074.61</t>
  </si>
  <si>
    <t>3.95E+10</t>
  </si>
  <si>
    <t>3.75E+10</t>
  </si>
  <si>
    <t>49937.86</t>
  </si>
  <si>
    <t>51868.68</t>
  </si>
  <si>
    <t>49538.6</t>
  </si>
  <si>
    <t>52660.48</t>
  </si>
  <si>
    <t>52853.77</t>
  </si>
  <si>
    <t>43285.21</t>
  </si>
  <si>
    <t>6.52E+10</t>
  </si>
  <si>
    <t>44869.84</t>
  </si>
  <si>
    <t>45969.29</t>
  </si>
  <si>
    <t>44818.27</t>
  </si>
  <si>
    <t>4.1E+10</t>
  </si>
  <si>
    <t>3.05E+10</t>
  </si>
  <si>
    <t>3.81E+10</t>
  </si>
  <si>
    <t>53929.78</t>
  </si>
  <si>
    <t>55397.95</t>
  </si>
  <si>
    <t>53735.14</t>
  </si>
  <si>
    <t>4.17E+10</t>
  </si>
  <si>
    <t>3.66E+10</t>
  </si>
  <si>
    <t>4.05E+10</t>
  </si>
  <si>
    <t>62237.89</t>
  </si>
  <si>
    <t>63715.02</t>
  </si>
  <si>
    <t>60122.8</t>
  </si>
  <si>
    <t>3.84E+10</t>
  </si>
  <si>
    <t>3.69E+10</t>
  </si>
  <si>
    <t>62239.36</t>
  </si>
  <si>
    <t>62330.14</t>
  </si>
  <si>
    <t>60918.39</t>
  </si>
  <si>
    <t>3.61E+10</t>
  </si>
  <si>
    <t>62941.8</t>
  </si>
  <si>
    <t>60799.66</t>
  </si>
  <si>
    <t>61460.08</t>
  </si>
  <si>
    <t>62541.47</t>
  </si>
  <si>
    <t>60844.61</t>
  </si>
  <si>
    <t>2.91E+10</t>
  </si>
  <si>
    <t>64978.89</t>
  </si>
  <si>
    <t>64180.49</t>
  </si>
  <si>
    <t>4.14E+10</t>
  </si>
  <si>
    <t>39521.9</t>
  </si>
  <si>
    <t>57830.11</t>
  </si>
  <si>
    <t>56057.28</t>
  </si>
  <si>
    <t>56907.96</t>
  </si>
  <si>
    <t>59041.68</t>
  </si>
  <si>
    <t>56553.08</t>
  </si>
  <si>
    <t>56509.16</t>
  </si>
  <si>
    <t>57482.17</t>
  </si>
  <si>
    <t>52496.59</t>
  </si>
  <si>
    <t>2.85E+10</t>
  </si>
  <si>
    <t>46709.82</t>
  </si>
  <si>
    <t>48431.4</t>
  </si>
  <si>
    <t>46424.5</t>
  </si>
  <si>
    <t>2.71E+10</t>
  </si>
  <si>
    <t>50428.69</t>
  </si>
  <si>
    <t>49623.11</t>
  </si>
  <si>
    <t>4087.66</t>
  </si>
  <si>
    <t>8.42E+10</t>
  </si>
  <si>
    <t>3.21E+10</t>
  </si>
  <si>
    <t>4.3E+10</t>
  </si>
  <si>
    <t>36471.59</t>
  </si>
  <si>
    <t>36688.81</t>
  </si>
  <si>
    <t>34349.25</t>
  </si>
  <si>
    <t>4.19E+10</t>
  </si>
  <si>
    <t>1.92E+10</t>
  </si>
  <si>
    <t>44347.8</t>
  </si>
  <si>
    <t>45661.17</t>
  </si>
  <si>
    <t>43402.81</t>
  </si>
  <si>
    <t>2.93E+10</t>
  </si>
  <si>
    <t>3.57E+10</t>
  </si>
  <si>
    <t>43925.2</t>
  </si>
  <si>
    <t>41914.75</t>
  </si>
  <si>
    <t>3.96E+10</t>
  </si>
  <si>
    <t>40944.84</t>
  </si>
  <si>
    <t>42195.75</t>
  </si>
  <si>
    <t>40302.4</t>
  </si>
  <si>
    <t>47100.44</t>
  </si>
  <si>
    <t>48022.29</t>
  </si>
  <si>
    <t>3.14E+10</t>
  </si>
  <si>
    <t>3.33E+10</t>
  </si>
  <si>
    <t>43023.97</t>
  </si>
  <si>
    <t>1.77E+10</t>
  </si>
  <si>
    <t>42201.04</t>
  </si>
  <si>
    <t>42424.59</t>
  </si>
  <si>
    <t>39373.06</t>
  </si>
  <si>
    <t>39939.4</t>
  </si>
  <si>
    <t>39866.83</t>
  </si>
  <si>
    <t>2.53E+10</t>
  </si>
  <si>
    <t>41371.52</t>
  </si>
  <si>
    <t>40063.83</t>
  </si>
  <si>
    <t>39478.38</t>
  </si>
  <si>
    <t>39845.93</t>
  </si>
  <si>
    <t>39233.54</t>
  </si>
  <si>
    <t>39241.43</t>
  </si>
  <si>
    <t>38941.42</t>
  </si>
  <si>
    <t>43565.11</t>
  </si>
  <si>
    <t>6.34E+10</t>
  </si>
  <si>
    <t>5.98E+10</t>
  </si>
  <si>
    <t>31016.18</t>
  </si>
  <si>
    <t>32013.4</t>
  </si>
  <si>
    <t>28170.41</t>
  </si>
  <si>
    <t>7.04E+10</t>
  </si>
  <si>
    <t>29862.41</t>
  </si>
  <si>
    <t>30694.49</t>
  </si>
  <si>
    <t>29570.3</t>
  </si>
  <si>
    <t>3.38E+10</t>
  </si>
  <si>
    <t>43798.12</t>
  </si>
  <si>
    <t>29835.12</t>
  </si>
  <si>
    <t>30117.74</t>
  </si>
  <si>
    <t>29574.45</t>
  </si>
  <si>
    <t>6.82E+10</t>
  </si>
  <si>
    <t>22487.99</t>
  </si>
  <si>
    <t>20950.82</t>
  </si>
  <si>
    <t>20473.43</t>
  </si>
  <si>
    <t>17708.62</t>
  </si>
  <si>
    <t>4.2E+10</t>
  </si>
  <si>
    <t>20553.37</t>
  </si>
  <si>
    <t>20913.32</t>
  </si>
  <si>
    <t>19689.17</t>
  </si>
  <si>
    <t>44801.19</t>
  </si>
  <si>
    <t>45201.46</t>
  </si>
  <si>
    <t>19297.31</t>
  </si>
  <si>
    <t>19063.07</t>
  </si>
  <si>
    <t>20225.35</t>
  </si>
  <si>
    <t>20635.47</t>
  </si>
  <si>
    <t>19341.23</t>
  </si>
  <si>
    <t>19325.97</t>
  </si>
  <si>
    <t>20223.05</t>
  </si>
  <si>
    <t>18999.95</t>
  </si>
  <si>
    <t>4599.88</t>
  </si>
  <si>
    <t>3.3E+10</t>
  </si>
  <si>
    <t>4.88E+10</t>
  </si>
  <si>
    <t>3.56E+10</t>
  </si>
  <si>
    <t>21361.12</t>
  </si>
  <si>
    <t>20776.82</t>
  </si>
  <si>
    <t>46612.63</t>
  </si>
  <si>
    <t>22626.83</t>
  </si>
  <si>
    <t>22612.18</t>
  </si>
  <si>
    <t>46811.13</t>
  </si>
  <si>
    <t>2.76E+10</t>
  </si>
  <si>
    <t>47105.52</t>
  </si>
  <si>
    <t>4.23E+10</t>
  </si>
  <si>
    <t>20041.04</t>
  </si>
  <si>
    <t>20139.05</t>
  </si>
  <si>
    <t>19289.94</t>
  </si>
  <si>
    <t>19417.35</t>
  </si>
  <si>
    <t>19076.71</t>
  </si>
  <si>
    <t>4.85E+10</t>
  </si>
  <si>
    <t>5.02E+10</t>
  </si>
  <si>
    <t>22371.48</t>
  </si>
  <si>
    <t>20062.67</t>
  </si>
  <si>
    <t>4.4E+10</t>
  </si>
  <si>
    <t>20161.04</t>
  </si>
  <si>
    <t>20408.39</t>
  </si>
  <si>
    <t>19900.09</t>
  </si>
  <si>
    <t>49546.15</t>
  </si>
  <si>
    <t>1.62E+10</t>
  </si>
  <si>
    <t>19172.38</t>
  </si>
  <si>
    <t>19248.07</t>
  </si>
  <si>
    <t>19132.24</t>
  </si>
  <si>
    <t>19344.96</t>
  </si>
  <si>
    <t>19261.45</t>
  </si>
  <si>
    <t>5.89E+10</t>
  </si>
  <si>
    <t>4.57E+10</t>
  </si>
  <si>
    <t>5.56E+10</t>
  </si>
  <si>
    <t>6.41E+10</t>
  </si>
  <si>
    <t>5.35E+10</t>
  </si>
  <si>
    <t>1.19E+11</t>
  </si>
  <si>
    <t>1.03E+11</t>
  </si>
  <si>
    <t>51753.41</t>
  </si>
  <si>
    <t>8.32E+10</t>
  </si>
  <si>
    <t>17583.25</t>
  </si>
  <si>
    <t>16543.48</t>
  </si>
  <si>
    <t>5.59E+10</t>
  </si>
  <si>
    <t>2.97E+10</t>
  </si>
  <si>
    <t>16670.43</t>
  </si>
  <si>
    <t>16460.68</t>
  </si>
  <si>
    <t>16687.91</t>
  </si>
  <si>
    <t>16947.06</t>
  </si>
  <si>
    <t>16564.61</t>
  </si>
  <si>
    <t>53598.25</t>
  </si>
  <si>
    <t>54968.22</t>
  </si>
  <si>
    <t>9.74E+09</t>
  </si>
  <si>
    <t>1.12E+10</t>
  </si>
  <si>
    <t>9.24E+09</t>
  </si>
  <si>
    <t>1.44E+10</t>
  </si>
  <si>
    <t>9.77E+09</t>
  </si>
  <si>
    <t>17192.95</t>
  </si>
  <si>
    <t>17484.72</t>
  </si>
  <si>
    <t>17162.99</t>
  </si>
  <si>
    <t>2.68E+10</t>
  </si>
  <si>
    <t>22840.8</t>
  </si>
  <si>
    <t>23225.02</t>
  </si>
  <si>
    <t>22765.57</t>
  </si>
  <si>
    <t>23720.82</t>
  </si>
  <si>
    <t>23468.6</t>
  </si>
  <si>
    <t>24833.05</t>
  </si>
  <si>
    <t>24200.36</t>
  </si>
  <si>
    <t>23174.15</t>
  </si>
  <si>
    <t>23084.22</t>
  </si>
  <si>
    <t>5950.07</t>
  </si>
  <si>
    <t>5.46E+10</t>
  </si>
  <si>
    <t>61888.83</t>
  </si>
  <si>
    <t>9.37E+09</t>
  </si>
  <si>
    <t>27265.89</t>
  </si>
  <si>
    <t>27169.57</t>
  </si>
  <si>
    <t>6297.57</t>
  </si>
  <si>
    <t>29227.1</t>
  </si>
  <si>
    <t>29329.94</t>
  </si>
  <si>
    <t>27680.79</t>
  </si>
  <si>
    <t>28901.62</t>
  </si>
  <si>
    <t>29157.52</t>
  </si>
  <si>
    <t>28441.37</t>
  </si>
  <si>
    <t>1.13E+10</t>
  </si>
  <si>
    <t>26807.77</t>
  </si>
  <si>
    <t>27030.48</t>
  </si>
  <si>
    <t>26710.87</t>
  </si>
  <si>
    <t>8.65E+09</t>
  </si>
  <si>
    <t>7.51E+09</t>
  </si>
  <si>
    <t>7.9E+09</t>
  </si>
  <si>
    <t>30331.78</t>
  </si>
  <si>
    <t>30407.78</t>
  </si>
  <si>
    <t>30263.46</t>
  </si>
  <si>
    <t>8.01E+09</t>
  </si>
  <si>
    <t>8.52E+09</t>
  </si>
  <si>
    <t>7.87E+09</t>
  </si>
  <si>
    <t>8.68E+09</t>
  </si>
  <si>
    <t>29161.81</t>
  </si>
  <si>
    <t>29375.71</t>
  </si>
  <si>
    <t>28959.49</t>
  </si>
  <si>
    <t>6.6E+09</t>
  </si>
  <si>
    <t>7.27E+09</t>
  </si>
  <si>
    <t>6.19E+09</t>
  </si>
  <si>
    <t>7.33E+09</t>
  </si>
  <si>
    <t>1.26E+10</t>
  </si>
  <si>
    <t>6530.14</t>
  </si>
  <si>
    <t>9.04E+09</t>
  </si>
  <si>
    <t>26188.69</t>
  </si>
  <si>
    <t>25846.09</t>
  </si>
  <si>
    <t>6.03E+09</t>
  </si>
  <si>
    <t>26008.24</t>
  </si>
  <si>
    <t>26165.37</t>
  </si>
  <si>
    <t>25965.1</t>
  </si>
  <si>
    <t>26089.62</t>
  </si>
  <si>
    <t>25880.6</t>
  </si>
  <si>
    <t>25783.93</t>
  </si>
  <si>
    <t>25953.02</t>
  </si>
  <si>
    <t>25404.36</t>
  </si>
  <si>
    <t>26606.2</t>
  </si>
  <si>
    <t>26754.77</t>
  </si>
  <si>
    <t>26473.89</t>
  </si>
  <si>
    <t>6.77E+09</t>
  </si>
  <si>
    <t>8.19E+09</t>
  </si>
  <si>
    <t>9.99E+09</t>
  </si>
  <si>
    <t>9.5E+09</t>
  </si>
  <si>
    <t>6.55E+09</t>
  </si>
  <si>
    <t>7.92E+09</t>
  </si>
  <si>
    <t>9.97E+09</t>
  </si>
  <si>
    <t>7.1E+09</t>
  </si>
  <si>
    <t>34504.29</t>
  </si>
  <si>
    <t>34832.91</t>
  </si>
  <si>
    <t>33762.32</t>
  </si>
  <si>
    <t>9.1E+09</t>
  </si>
  <si>
    <t>3.99E+10</t>
  </si>
  <si>
    <t>42884.26</t>
  </si>
  <si>
    <t>43390.86</t>
  </si>
  <si>
    <t>41767.09</t>
  </si>
  <si>
    <t>43028.25</t>
  </si>
  <si>
    <t>41692.97</t>
  </si>
  <si>
    <t>43468.2</t>
  </si>
  <si>
    <t>42318.55</t>
  </si>
  <si>
    <t>7889.25</t>
  </si>
  <si>
    <t>4.58E+10</t>
  </si>
  <si>
    <t>43300.23</t>
  </si>
  <si>
    <t>42711.37</t>
  </si>
  <si>
    <t>44332.13</t>
  </si>
  <si>
    <t>47153.53</t>
  </si>
  <si>
    <t>48146.17</t>
  </si>
  <si>
    <t>46905.32</t>
  </si>
  <si>
    <t>48296.39</t>
  </si>
  <si>
    <t>47745.76</t>
  </si>
  <si>
    <t>8728.47</t>
  </si>
  <si>
    <t>456.86</t>
  </si>
  <si>
    <t>399.1</t>
  </si>
  <si>
    <t>397.13</t>
  </si>
  <si>
    <t>423.52</t>
  </si>
  <si>
    <t>243.78</t>
  </si>
  <si>
    <t>232.34</t>
  </si>
  <si>
    <t>236.41</t>
  </si>
  <si>
    <t>907.61</t>
  </si>
  <si>
    <t>255.32</t>
  </si>
  <si>
    <t>238.89</t>
  </si>
  <si>
    <t>239.34</t>
  </si>
  <si>
    <t>235.53</t>
  </si>
  <si>
    <t>237.71</t>
  </si>
  <si>
    <t>253.52</t>
  </si>
  <si>
    <t>261.66</t>
  </si>
  <si>
    <t>281.99</t>
  </si>
  <si>
    <t>9276.5</t>
  </si>
  <si>
    <t>275.6</t>
  </si>
  <si>
    <t>9.57E+09</t>
  </si>
  <si>
    <t>29896.38</t>
  </si>
  <si>
    <t>31389.54</t>
  </si>
  <si>
    <t>29845.21</t>
  </si>
  <si>
    <t>9.09E+09</t>
  </si>
  <si>
    <t>30587.27</t>
  </si>
  <si>
    <t>30766.14</t>
  </si>
  <si>
    <t>30264.02</t>
  </si>
  <si>
    <t>9888.61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</si>
</sst>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.0"/>
    <numFmt numFmtId="165" formatCode="0.0%"/>
    <numFmt numFmtId="166" formatCode="\$#,##0_);[Red]\(\$#,##0\)"/>
    <numFmt numFmtId="167" formatCode="0.0000"/>
    <numFmt numFmtId="168" formatCode="0.000%"/>
    <numFmt numFmtId="169" formatCode="0.0"/>
    <numFmt numFmtId="170" formatCode="\$#,##0.0_);[Red]\(\$#,##0.0\)"/>
    <numFmt numFmtId="171" formatCode="_-* #,##0_-;\-* #,##0_-;_-* &quot;-&quot;??_-;_-@_-"/>
    <numFmt numFmtId="172" formatCode="_-[$$-409]* #,##0.00_ ;_-[$$-409]* \-#,##0.00\ ;_-[$$-409]* &quot;-&quot;??_ ;_-@_ "/>
    <numFmt numFmtId="173" formatCode="_-[$$-409]* #,##0_ ;_-[$$-409]* \-#,##0\ ;_-[$$-409]* &quot;-&quot;??_ ;_-@_ "/>
  </numFmts>
  <fonts count="24"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4F81BD"/>
      <name val="Calibri"/>
      <family val="2"/>
    </font>
    <font>
      <b/>
      <sz val="10"/>
      <color rgb="FF16324F"/>
      <name val="Calibri"/>
      <family val="2"/>
    </font>
    <font>
      <sz val="10"/>
      <color rgb="FF000000"/>
      <name val="Calibri"/>
      <family val="2"/>
    </font>
    <font>
      <sz val="10"/>
      <color rgb="FF666666"/>
      <name val="Calibri"/>
      <family val="2"/>
    </font>
    <font>
      <sz val="10"/>
      <color rgb="FF0000FF"/>
      <name val="Calibri"/>
      <family val="2"/>
    </font>
    <font>
      <b/>
      <sz val="10"/>
      <name val="Calibri"/>
      <family val="2"/>
    </font>
    <font>
      <b/>
      <sz val="18"/>
      <color rgb="FF001F60"/>
      <name val="Calibri"/>
      <family val="2"/>
      <scheme val="minor"/>
    </font>
    <font>
      <b/>
      <sz val="16"/>
      <color rgb="FFFFFFFF"/>
      <name val="Calibri"/>
      <family val="2"/>
    </font>
    <font>
      <i/>
      <sz val="12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666666"/>
      <name val="Calibri"/>
      <family val="2"/>
    </font>
    <font>
      <b/>
      <u/>
      <sz val="11"/>
      <color theme="1"/>
      <name val="Calibri"/>
      <family val="2"/>
      <scheme val="minor"/>
    </font>
    <font>
      <b/>
      <sz val="18"/>
      <color rgb="FF000073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color rgb="FF16324F"/>
      <name val="Calibri"/>
    </font>
    <font>
      <b/>
      <vertAlign val="superscript"/>
      <sz val="10"/>
      <color rgb="FF16324F"/>
      <name val="Calibri"/>
    </font>
    <font>
      <b/>
      <vertAlign val="subscript"/>
      <sz val="10"/>
      <color rgb="FF16324F"/>
      <name val="Calibri"/>
    </font>
    <font>
      <b/>
      <sz val="10"/>
      <color rgb="FF000000"/>
      <name val="Calibri"/>
      <family val="2"/>
    </font>
    <font>
      <b/>
      <sz val="8"/>
      <color rgb="FF16324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AF2F8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8F6F3"/>
      </patternFill>
    </fill>
    <fill>
      <patternFill patternType="solid">
        <fgColor rgb="FF00206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hair">
        <color rgb="FFDDDDDD"/>
      </bottom>
      <diagonal/>
    </border>
    <border>
      <left/>
      <right/>
      <top style="thin">
        <color rgb="FFB7C1CC"/>
      </top>
      <bottom style="thin">
        <color rgb="FFB7C1CC"/>
      </bottom>
      <diagonal/>
    </border>
    <border>
      <left/>
      <right/>
      <top style="medium">
        <color rgb="FF16324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7C1CC"/>
      </top>
      <bottom/>
      <diagonal/>
    </border>
    <border>
      <left/>
      <right/>
      <top/>
      <bottom style="thin">
        <color rgb="FFB7C1CC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/>
    <xf numFmtId="0" fontId="2" fillId="0" borderId="0" xfId="1"/>
    <xf numFmtId="0" fontId="4" fillId="0" borderId="0" xfId="1" applyFont="1"/>
    <xf numFmtId="0" fontId="5" fillId="0" borderId="1" xfId="1" applyFont="1" applyBorder="1" applyAlignment="1">
      <alignment vertical="center" wrapText="1"/>
    </xf>
    <xf numFmtId="0" fontId="5" fillId="3" borderId="2" xfId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right" vertical="center"/>
    </xf>
    <xf numFmtId="165" fontId="8" fillId="5" borderId="1" xfId="1" applyNumberFormat="1" applyFont="1" applyFill="1" applyBorder="1" applyAlignment="1">
      <alignment horizontal="right" vertical="center"/>
    </xf>
    <xf numFmtId="166" fontId="7" fillId="4" borderId="1" xfId="1" applyNumberFormat="1" applyFont="1" applyFill="1" applyBorder="1" applyAlignment="1">
      <alignment horizontal="right" vertical="center"/>
    </xf>
    <xf numFmtId="15" fontId="6" fillId="0" borderId="1" xfId="1" applyNumberFormat="1" applyFont="1" applyBorder="1" applyAlignment="1">
      <alignment vertical="center" wrapText="1"/>
    </xf>
    <xf numFmtId="166" fontId="7" fillId="0" borderId="1" xfId="1" applyNumberFormat="1" applyFont="1" applyBorder="1" applyAlignment="1">
      <alignment vertical="center" wrapText="1"/>
    </xf>
    <xf numFmtId="38" fontId="7" fillId="0" borderId="1" xfId="1" applyNumberFormat="1" applyFont="1" applyBorder="1" applyAlignment="1">
      <alignment vertical="center" wrapText="1"/>
    </xf>
    <xf numFmtId="166" fontId="6" fillId="0" borderId="1" xfId="1" applyNumberFormat="1" applyFont="1" applyBorder="1" applyAlignment="1">
      <alignment horizontal="right" vertical="center"/>
    </xf>
    <xf numFmtId="164" fontId="7" fillId="0" borderId="1" xfId="1" applyNumberFormat="1" applyFont="1" applyBorder="1" applyAlignment="1">
      <alignment vertical="center" wrapText="1"/>
    </xf>
    <xf numFmtId="0" fontId="5" fillId="0" borderId="3" xfId="1" applyFont="1" applyBorder="1"/>
    <xf numFmtId="0" fontId="2" fillId="0" borderId="3" xfId="1" applyBorder="1"/>
    <xf numFmtId="166" fontId="9" fillId="0" borderId="3" xfId="1" applyNumberFormat="1" applyFont="1" applyBorder="1"/>
    <xf numFmtId="38" fontId="9" fillId="0" borderId="3" xfId="1" applyNumberFormat="1" applyFont="1" applyBorder="1"/>
    <xf numFmtId="0" fontId="5" fillId="6" borderId="2" xfId="1" applyFont="1" applyFill="1" applyBorder="1" applyAlignment="1">
      <alignment horizontal="center" vertical="center" wrapText="1"/>
    </xf>
    <xf numFmtId="166" fontId="2" fillId="0" borderId="3" xfId="1" applyNumberFormat="1" applyBorder="1"/>
    <xf numFmtId="38" fontId="7" fillId="4" borderId="1" xfId="1" applyNumberFormat="1" applyFont="1" applyFill="1" applyBorder="1" applyAlignment="1">
      <alignment horizontal="right" vertical="center"/>
    </xf>
    <xf numFmtId="0" fontId="7" fillId="0" borderId="1" xfId="1" applyFont="1" applyBorder="1" applyAlignment="1">
      <alignment vertical="center" wrapText="1"/>
    </xf>
    <xf numFmtId="165" fontId="7" fillId="0" borderId="1" xfId="1" applyNumberFormat="1" applyFont="1" applyBorder="1" applyAlignment="1">
      <alignment vertical="center" wrapText="1"/>
    </xf>
    <xf numFmtId="0" fontId="8" fillId="5" borderId="1" xfId="1" applyFont="1" applyFill="1" applyBorder="1" applyAlignment="1">
      <alignment horizontal="right" vertical="center"/>
    </xf>
    <xf numFmtId="165" fontId="6" fillId="0" borderId="1" xfId="1" applyNumberFormat="1" applyFont="1" applyBorder="1" applyAlignment="1">
      <alignment horizontal="right" vertical="center"/>
    </xf>
    <xf numFmtId="1" fontId="8" fillId="5" borderId="1" xfId="1" applyNumberFormat="1" applyFont="1" applyFill="1" applyBorder="1" applyAlignment="1">
      <alignment horizontal="right" vertical="center"/>
    </xf>
    <xf numFmtId="1" fontId="6" fillId="0" borderId="1" xfId="1" applyNumberFormat="1" applyFont="1" applyBorder="1" applyAlignment="1">
      <alignment horizontal="right" vertical="center"/>
    </xf>
    <xf numFmtId="166" fontId="8" fillId="5" borderId="1" xfId="1" applyNumberFormat="1" applyFont="1" applyFill="1" applyBorder="1" applyAlignment="1">
      <alignment horizontal="right" vertical="center"/>
    </xf>
    <xf numFmtId="10" fontId="7" fillId="4" borderId="1" xfId="1" applyNumberFormat="1" applyFont="1" applyFill="1" applyBorder="1" applyAlignment="1">
      <alignment horizontal="right" vertical="center"/>
    </xf>
    <xf numFmtId="167" fontId="6" fillId="0" borderId="1" xfId="1" applyNumberFormat="1" applyFont="1" applyBorder="1" applyAlignment="1">
      <alignment horizontal="right" vertical="center"/>
    </xf>
    <xf numFmtId="0" fontId="3" fillId="0" borderId="0" xfId="0" applyFont="1"/>
    <xf numFmtId="0" fontId="12" fillId="0" borderId="0" xfId="0" applyFont="1"/>
    <xf numFmtId="0" fontId="13" fillId="0" borderId="4" xfId="0" applyFont="1" applyBorder="1"/>
    <xf numFmtId="0" fontId="13" fillId="0" borderId="5" xfId="0" applyFont="1" applyBorder="1"/>
    <xf numFmtId="22" fontId="3" fillId="0" borderId="0" xfId="0" applyNumberFormat="1" applyFont="1"/>
    <xf numFmtId="3" fontId="3" fillId="0" borderId="0" xfId="0" applyNumberFormat="1" applyFont="1"/>
    <xf numFmtId="11" fontId="3" fillId="0" borderId="0" xfId="0" applyNumberFormat="1" applyFont="1"/>
    <xf numFmtId="43" fontId="2" fillId="0" borderId="0" xfId="1" applyNumberFormat="1"/>
    <xf numFmtId="0" fontId="2" fillId="0" borderId="0" xfId="1" applyAlignment="1">
      <alignment horizontal="center"/>
    </xf>
    <xf numFmtId="49" fontId="2" fillId="0" borderId="0" xfId="1" applyNumberFormat="1"/>
    <xf numFmtId="166" fontId="2" fillId="0" borderId="0" xfId="1" applyNumberFormat="1"/>
    <xf numFmtId="10" fontId="2" fillId="0" borderId="0" xfId="1" applyNumberFormat="1" applyAlignment="1">
      <alignment horizontal="center"/>
    </xf>
    <xf numFmtId="0" fontId="6" fillId="8" borderId="1" xfId="1" applyFont="1" applyFill="1" applyBorder="1" applyAlignment="1">
      <alignment vertical="center" wrapText="1"/>
    </xf>
    <xf numFmtId="164" fontId="7" fillId="8" borderId="1" xfId="1" applyNumberFormat="1" applyFont="1" applyFill="1" applyBorder="1" applyAlignment="1">
      <alignment vertical="center" wrapText="1"/>
    </xf>
    <xf numFmtId="166" fontId="7" fillId="8" borderId="1" xfId="1" applyNumberFormat="1" applyFont="1" applyFill="1" applyBorder="1" applyAlignment="1">
      <alignment vertical="center" wrapText="1"/>
    </xf>
    <xf numFmtId="0" fontId="2" fillId="8" borderId="0" xfId="1" applyFill="1" applyAlignment="1">
      <alignment horizontal="center"/>
    </xf>
    <xf numFmtId="10" fontId="2" fillId="8" borderId="0" xfId="1" applyNumberFormat="1" applyFill="1" applyAlignment="1">
      <alignment horizontal="center"/>
    </xf>
    <xf numFmtId="168" fontId="2" fillId="0" borderId="0" xfId="1" applyNumberFormat="1"/>
    <xf numFmtId="0" fontId="5" fillId="8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vertical="center" wrapText="1"/>
    </xf>
    <xf numFmtId="9" fontId="2" fillId="0" borderId="0" xfId="1" applyNumberFormat="1"/>
    <xf numFmtId="10" fontId="2" fillId="0" borderId="0" xfId="1" applyNumberFormat="1"/>
    <xf numFmtId="10" fontId="2" fillId="0" borderId="0" xfId="1" applyNumberFormat="1" applyAlignment="1">
      <alignment horizontal="center" wrapText="1"/>
    </xf>
    <xf numFmtId="168" fontId="2" fillId="0" borderId="0" xfId="1" applyNumberFormat="1" applyAlignment="1">
      <alignment horizontal="center"/>
    </xf>
    <xf numFmtId="164" fontId="15" fillId="8" borderId="1" xfId="1" applyNumberFormat="1" applyFont="1" applyFill="1" applyBorder="1" applyAlignment="1">
      <alignment vertical="center" wrapText="1"/>
    </xf>
    <xf numFmtId="166" fontId="16" fillId="9" borderId="3" xfId="1" applyNumberFormat="1" applyFont="1" applyFill="1" applyBorder="1"/>
    <xf numFmtId="3" fontId="7" fillId="0" borderId="1" xfId="1" applyNumberFormat="1" applyFont="1" applyBorder="1" applyAlignment="1">
      <alignment vertical="center" wrapText="1"/>
    </xf>
    <xf numFmtId="3" fontId="6" fillId="0" borderId="1" xfId="1" applyNumberFormat="1" applyFont="1" applyBorder="1" applyAlignment="1">
      <alignment vertical="center" wrapText="1"/>
    </xf>
    <xf numFmtId="166" fontId="6" fillId="8" borderId="1" xfId="1" applyNumberFormat="1" applyFont="1" applyFill="1" applyBorder="1" applyAlignment="1">
      <alignment horizontal="right" vertical="center"/>
    </xf>
    <xf numFmtId="0" fontId="5" fillId="10" borderId="2" xfId="1" applyFont="1" applyFill="1" applyBorder="1" applyAlignment="1">
      <alignment horizontal="center" vertical="center" wrapText="1"/>
    </xf>
    <xf numFmtId="0" fontId="7" fillId="1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164" fontId="2" fillId="8" borderId="0" xfId="1" applyNumberFormat="1" applyFill="1" applyAlignment="1">
      <alignment horizontal="center"/>
    </xf>
    <xf numFmtId="169" fontId="14" fillId="8" borderId="0" xfId="1" applyNumberFormat="1" applyFont="1" applyFill="1" applyAlignment="1">
      <alignment horizontal="center"/>
    </xf>
    <xf numFmtId="10" fontId="6" fillId="0" borderId="1" xfId="1" applyNumberFormat="1" applyFont="1" applyBorder="1" applyAlignment="1">
      <alignment horizontal="center" vertical="center" wrapText="1"/>
    </xf>
    <xf numFmtId="166" fontId="2" fillId="0" borderId="0" xfId="1" applyNumberFormat="1" applyAlignment="1">
      <alignment wrapText="1"/>
    </xf>
    <xf numFmtId="170" fontId="6" fillId="0" borderId="1" xfId="1" applyNumberFormat="1" applyFont="1" applyBorder="1" applyAlignment="1">
      <alignment horizontal="right" vertical="center"/>
    </xf>
    <xf numFmtId="0" fontId="19" fillId="3" borderId="2" xfId="1" applyFont="1" applyFill="1" applyBorder="1" applyAlignment="1">
      <alignment vertical="center" wrapText="1"/>
    </xf>
    <xf numFmtId="10" fontId="6" fillId="0" borderId="1" xfId="1" applyNumberFormat="1" applyFont="1" applyBorder="1" applyAlignment="1">
      <alignment horizontal="right" vertical="center"/>
    </xf>
    <xf numFmtId="0" fontId="22" fillId="0" borderId="1" xfId="1" applyFont="1" applyBorder="1" applyAlignment="1">
      <alignment vertical="center" wrapText="1"/>
    </xf>
    <xf numFmtId="0" fontId="15" fillId="10" borderId="1" xfId="1" applyNumberFormat="1" applyFont="1" applyFill="1" applyBorder="1" applyAlignment="1">
      <alignment horizontal="center" vertical="center" wrapText="1"/>
    </xf>
    <xf numFmtId="166" fontId="22" fillId="0" borderId="1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vertical="center" wrapText="1"/>
    </xf>
    <xf numFmtId="0" fontId="7" fillId="10" borderId="8" xfId="1" applyNumberFormat="1" applyFont="1" applyFill="1" applyBorder="1" applyAlignment="1">
      <alignment horizontal="center" vertical="center" wrapText="1"/>
    </xf>
    <xf numFmtId="166" fontId="6" fillId="0" borderId="8" xfId="1" applyNumberFormat="1" applyFont="1" applyBorder="1" applyAlignment="1">
      <alignment horizontal="center" vertical="center"/>
    </xf>
    <xf numFmtId="0" fontId="2" fillId="0" borderId="0" xfId="1" applyAlignment="1">
      <alignment wrapText="1"/>
    </xf>
    <xf numFmtId="168" fontId="6" fillId="0" borderId="1" xfId="1" applyNumberFormat="1" applyFont="1" applyBorder="1" applyAlignment="1">
      <alignment horizontal="right" vertical="center"/>
    </xf>
    <xf numFmtId="165" fontId="6" fillId="0" borderId="1" xfId="1" applyNumberFormat="1" applyFont="1" applyBorder="1" applyAlignment="1">
      <alignment horizontal="center" vertical="center"/>
    </xf>
    <xf numFmtId="43" fontId="2" fillId="0" borderId="0" xfId="1" quotePrefix="1" applyNumberFormat="1" applyAlignment="1">
      <alignment wrapText="1"/>
    </xf>
    <xf numFmtId="171" fontId="2" fillId="0" borderId="0" xfId="1" applyNumberFormat="1"/>
    <xf numFmtId="0" fontId="2" fillId="0" borderId="0" xfId="1" applyNumberFormat="1"/>
    <xf numFmtId="0" fontId="2" fillId="0" borderId="0" xfId="1" applyNumberFormat="1" applyAlignment="1">
      <alignment wrapText="1"/>
    </xf>
    <xf numFmtId="172" fontId="2" fillId="0" borderId="0" xfId="1" applyNumberFormat="1"/>
    <xf numFmtId="173" fontId="2" fillId="0" borderId="0" xfId="1" applyNumberFormat="1"/>
    <xf numFmtId="43" fontId="19" fillId="3" borderId="2" xfId="1" applyNumberFormat="1" applyFont="1" applyFill="1" applyBorder="1" applyAlignment="1">
      <alignment horizontal="center" vertical="center" wrapText="1"/>
    </xf>
    <xf numFmtId="2" fontId="2" fillId="0" borderId="0" xfId="1" applyNumberFormat="1"/>
    <xf numFmtId="173" fontId="14" fillId="0" borderId="8" xfId="1" applyNumberFormat="1" applyFont="1" applyBorder="1"/>
    <xf numFmtId="0" fontId="19" fillId="3" borderId="2" xfId="1" applyFont="1" applyFill="1" applyBorder="1" applyAlignment="1">
      <alignment horizontal="center" vertical="center" wrapText="1"/>
    </xf>
    <xf numFmtId="43" fontId="13" fillId="0" borderId="5" xfId="0" applyNumberFormat="1" applyFont="1" applyBorder="1"/>
    <xf numFmtId="43" fontId="3" fillId="0" borderId="0" xfId="0" applyNumberFormat="1" applyFont="1"/>
    <xf numFmtId="43" fontId="0" fillId="0" borderId="0" xfId="0" applyNumberFormat="1"/>
    <xf numFmtId="0" fontId="13" fillId="0" borderId="5" xfId="0" applyNumberFormat="1" applyFont="1" applyBorder="1"/>
    <xf numFmtId="0" fontId="3" fillId="0" borderId="0" xfId="0" applyNumberFormat="1" applyFont="1"/>
    <xf numFmtId="0" fontId="0" fillId="0" borderId="0" xfId="0" applyNumberFormat="1"/>
    <xf numFmtId="10" fontId="0" fillId="0" borderId="0" xfId="0" applyNumberFormat="1"/>
    <xf numFmtId="14" fontId="0" fillId="0" borderId="0" xfId="0" applyNumberFormat="1"/>
    <xf numFmtId="173" fontId="6" fillId="0" borderId="1" xfId="1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wrapText="1"/>
    </xf>
    <xf numFmtId="0" fontId="6" fillId="0" borderId="1" xfId="1" applyFont="1" applyBorder="1" applyAlignment="1">
      <alignment vertical="center" wrapText="1"/>
    </xf>
    <xf numFmtId="0" fontId="11" fillId="7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18" fillId="0" borderId="0" xfId="0" applyFont="1" applyAlignment="1">
      <alignment horizontal="left" wrapText="1"/>
    </xf>
    <xf numFmtId="0" fontId="6" fillId="0" borderId="1" xfId="1" applyFont="1" applyBorder="1" applyAlignment="1">
      <alignment vertical="center" wrapText="1"/>
    </xf>
    <xf numFmtId="0" fontId="2" fillId="0" borderId="1" xfId="1" applyBorder="1" applyAlignment="1"/>
    <xf numFmtId="0" fontId="17" fillId="0" borderId="0" xfId="0" applyFont="1" applyAlignment="1">
      <alignment horizontal="left" wrapText="1"/>
    </xf>
    <xf numFmtId="0" fontId="5" fillId="3" borderId="2" xfId="1" applyFont="1" applyFill="1" applyBorder="1" applyAlignment="1">
      <alignment horizontal="left" vertical="center" wrapText="1"/>
    </xf>
    <xf numFmtId="0" fontId="2" fillId="0" borderId="7" xfId="1" applyBorder="1" applyAlignment="1">
      <alignment horizontal="center"/>
    </xf>
    <xf numFmtId="0" fontId="2" fillId="0" borderId="6" xfId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</cellXfs>
  <cellStyles count="2">
    <cellStyle name="Normal" xfId="0" builtinId="0"/>
    <cellStyle name="Normal 2" xfId="1" xr:uid="{69C01323-76AA-0C4F-BBFB-E9E8636B77A7}"/>
  </cellStyles>
  <dxfs count="10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2" defaultPivotStyle="PivotStyleLight16"/>
  <colors>
    <mruColors>
      <color rgb="FF001F60"/>
      <color rgb="FF000073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USD eq. COP Req</c:v>
          </c:tx>
          <c:spPr>
            <a:solidFill>
              <a:srgbClr val="002060"/>
            </a:solidFill>
            <a:ln w="25400">
              <a:noFill/>
            </a:ln>
            <a:effectLst/>
          </c:spPr>
          <c:invertIfNegative val="0"/>
          <c:cat>
            <c:strRef>
              <c:f>'2.1 FX Hedge'!A14:A21</c:f>
              <c:strCache>
                <c:ptCount val="8"/>
                <c:pt idx="0">
                  <c:v>06-04-2026</c:v>
                </c:pt>
                <c:pt idx="1">
                  <c:v>13-04-2026</c:v>
                </c:pt>
                <c:pt idx="2">
                  <c:v>20-04-2026</c:v>
                </c:pt>
                <c:pt idx="3">
                  <c:v>27-04-2026</c:v>
                </c:pt>
                <c:pt idx="4">
                  <c:v>04-05-2026</c:v>
                </c:pt>
                <c:pt idx="5">
                  <c:v>11-05-2026</c:v>
                </c:pt>
                <c:pt idx="6">
                  <c:v>18-05-2026</c:v>
                </c:pt>
                <c:pt idx="7">
                  <c:v>25-05-2026</c:v>
                </c:pt>
              </c:strCache>
            </c:strRef>
          </c:cat>
          <c:val>
            <c:numRef>
              <c:f>'2.1 FX Hedge'!M14:M21</c:f>
              <c:numCache>
                <c:formatCode>\$#,##0_);[Red]\(\$#,##0\)</c:formatCode>
                <c:ptCount val="8"/>
                <c:pt idx="0">
                  <c:v>-246426.81123706259</c:v>
                </c:pt>
                <c:pt idx="1">
                  <c:v>640709.7092163628</c:v>
                </c:pt>
                <c:pt idx="2">
                  <c:v>-283390.83292262198</c:v>
                </c:pt>
                <c:pt idx="3">
                  <c:v>874815.17989157222</c:v>
                </c:pt>
                <c:pt idx="4">
                  <c:v>-308033.51404632826</c:v>
                </c:pt>
                <c:pt idx="5">
                  <c:v>640709.7092163628</c:v>
                </c:pt>
                <c:pt idx="6">
                  <c:v>-258748.15179891573</c:v>
                </c:pt>
                <c:pt idx="7">
                  <c:v>1059635.2883193691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4712-48B2-AF24-FD54885386A6}"/>
            </c:ext>
          </c:extLst>
        </c:ser>
        <c:ser>
          <c:idx val="1"/>
          <c:order val="1"/>
          <c:tx>
            <c:v>Residual USD</c:v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cat>
            <c:strRef>
              <c:f>'2.1 FX Hedge'!A14:A21</c:f>
              <c:strCache>
                <c:ptCount val="8"/>
                <c:pt idx="0">
                  <c:v>06-04-2026</c:v>
                </c:pt>
                <c:pt idx="1">
                  <c:v>13-04-2026</c:v>
                </c:pt>
                <c:pt idx="2">
                  <c:v>20-04-2026</c:v>
                </c:pt>
                <c:pt idx="3">
                  <c:v>27-04-2026</c:v>
                </c:pt>
                <c:pt idx="4">
                  <c:v>04-05-2026</c:v>
                </c:pt>
                <c:pt idx="5">
                  <c:v>11-05-2026</c:v>
                </c:pt>
                <c:pt idx="6">
                  <c:v>18-05-2026</c:v>
                </c:pt>
                <c:pt idx="7">
                  <c:v>25-05-2026</c:v>
                </c:pt>
              </c:strCache>
            </c:strRef>
          </c:cat>
          <c:val>
            <c:numRef>
              <c:f>'2.1 FX Hedge'!N14:N21</c:f>
              <c:numCache>
                <c:formatCode>\$#,##0_);[Red]\(\$#,##0\)</c:formatCode>
                <c:ptCount val="8"/>
                <c:pt idx="0">
                  <c:v>1851426.8112370626</c:v>
                </c:pt>
                <c:pt idx="1">
                  <c:v>-1594709.7092163628</c:v>
                </c:pt>
                <c:pt idx="2">
                  <c:v>1960390.8329226221</c:v>
                </c:pt>
                <c:pt idx="3">
                  <c:v>-2956815.1798915723</c:v>
                </c:pt>
                <c:pt idx="4">
                  <c:v>2673033.5140463281</c:v>
                </c:pt>
                <c:pt idx="5">
                  <c:v>-1300709.7092163628</c:v>
                </c:pt>
                <c:pt idx="6">
                  <c:v>2290748.1517989156</c:v>
                </c:pt>
                <c:pt idx="7">
                  <c:v>-2837635.2883193688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7E-47B1-92CA-82F620F1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axId val="1307869703"/>
        <c:axId val="1477978631"/>
      </c:barChart>
      <c:catAx>
        <c:axId val="1307869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44546A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7978631"/>
        <c:crosses val="autoZero"/>
        <c:auto val="1"/>
        <c:lblAlgn val="ctr"/>
        <c:lblOffset val="100"/>
        <c:noMultiLvlLbl val="0"/>
      </c:catAx>
      <c:valAx>
        <c:axId val="1477978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E1F2"/>
              </a:solidFill>
              <a:prstDash val="sysDot"/>
              <a:round/>
              <a:headEnd type="none" w="med" len="med"/>
              <a:tailEnd type="none" w="med" len="med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_);[Red]\(\$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69703"/>
        <c:crosses val="autoZero"/>
        <c:crossBetween val="between"/>
      </c:valAx>
      <c:dTable>
        <c:showHorzBorder val="0"/>
        <c:showVertBorder val="1"/>
        <c:showOutline val="1"/>
        <c:showKeys val="1"/>
        <c:spPr>
          <a:noFill/>
          <a:ln w="9525" cap="flat" cmpd="sng" algn="ctr">
            <a:solidFill>
              <a:srgbClr val="D9E1F2"/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'2.1 FX Hedge'!$Q$13</c:f>
              <c:strCache>
                <c:ptCount val="1"/>
                <c:pt idx="0">
                  <c:v>Indicative NDF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'2.1 FX Hedge'!$P$14:$P$21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'2.1 FX Hedge'!$Q$14:$Q$21</c:f>
              <c:numCache>
                <c:formatCode>#,##0.0</c:formatCode>
                <c:ptCount val="8"/>
                <c:pt idx="0">
                  <c:v>4068</c:v>
                </c:pt>
                <c:pt idx="1">
                  <c:v>4081</c:v>
                </c:pt>
                <c:pt idx="2">
                  <c:v>4095</c:v>
                </c:pt>
                <c:pt idx="3">
                  <c:v>4108</c:v>
                </c:pt>
                <c:pt idx="4">
                  <c:v>4122</c:v>
                </c:pt>
                <c:pt idx="5">
                  <c:v>4136</c:v>
                </c:pt>
                <c:pt idx="6">
                  <c:v>4148</c:v>
                </c:pt>
                <c:pt idx="7">
                  <c:v>4161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B9-4D0B-BD1F-B9C2A5E0AC8C}"/>
            </c:ext>
          </c:extLst>
        </c:ser>
        <c:ser>
          <c:idx val="3"/>
          <c:order val="1"/>
          <c:tx>
            <c:strRef>
              <c:f>'2.1 FX Hedge'!$S$13</c:f>
              <c:strCache>
                <c:ptCount val="1"/>
                <c:pt idx="0">
                  <c:v>Base fixing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'2.1 FX Hedge'!$P$14:$P$21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'2.1 FX Hedge'!$S$14:$S$21</c:f>
              <c:numCache>
                <c:formatCode>#,##0.0</c:formatCode>
                <c:ptCount val="8"/>
                <c:pt idx="0">
                  <c:v>4072</c:v>
                </c:pt>
                <c:pt idx="1">
                  <c:v>4098</c:v>
                </c:pt>
                <c:pt idx="2">
                  <c:v>4085</c:v>
                </c:pt>
                <c:pt idx="3">
                  <c:v>4132</c:v>
                </c:pt>
                <c:pt idx="4">
                  <c:v>4110</c:v>
                </c:pt>
                <c:pt idx="5">
                  <c:v>4168</c:v>
                </c:pt>
                <c:pt idx="6">
                  <c:v>4140</c:v>
                </c:pt>
                <c:pt idx="7">
                  <c:v>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B9-4D0B-BD1F-B9C2A5E0AC8C}"/>
            </c:ext>
          </c:extLst>
        </c:ser>
        <c:ser>
          <c:idx val="4"/>
          <c:order val="2"/>
          <c:tx>
            <c:strRef>
              <c:f>'2.1 FX Hedge'!$T$13</c:f>
              <c:strCache>
                <c:ptCount val="1"/>
                <c:pt idx="0">
                  <c:v>Bull COP</c:v>
                </c:pt>
              </c:strCache>
            </c:strRef>
          </c:tx>
          <c:spPr>
            <a:ln w="28575" cap="rnd">
              <a:solidFill>
                <a:srgbClr val="44546A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'2.1 FX Hedge'!$P$14:$P$21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'2.1 FX Hedge'!$T$14:$T$21</c:f>
              <c:numCache>
                <c:formatCode>#,##0.0</c:formatCode>
                <c:ptCount val="8"/>
                <c:pt idx="0">
                  <c:v>4005</c:v>
                </c:pt>
                <c:pt idx="1">
                  <c:v>4038</c:v>
                </c:pt>
                <c:pt idx="2">
                  <c:v>4020</c:v>
                </c:pt>
                <c:pt idx="3">
                  <c:v>4060</c:v>
                </c:pt>
                <c:pt idx="4">
                  <c:v>4045</c:v>
                </c:pt>
                <c:pt idx="5">
                  <c:v>4080</c:v>
                </c:pt>
                <c:pt idx="6">
                  <c:v>4092</c:v>
                </c:pt>
                <c:pt idx="7">
                  <c:v>4105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B9-4D0B-BD1F-B9C2A5E0AC8C}"/>
            </c:ext>
          </c:extLst>
        </c:ser>
        <c:ser>
          <c:idx val="5"/>
          <c:order val="3"/>
          <c:tx>
            <c:strRef>
              <c:f>'2.1 FX Hedge'!$U$13</c:f>
              <c:strCache>
                <c:ptCount val="1"/>
                <c:pt idx="0">
                  <c:v>Stress COP</c:v>
                </c:pt>
              </c:strCache>
            </c:strRef>
          </c:tx>
          <c:spPr>
            <a:ln w="28575" cap="rnd">
              <a:solidFill>
                <a:srgbClr val="44546A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'2.1 FX Hedge'!$P$14:$P$21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'2.1 FX Hedge'!$U$14:$U$21</c:f>
              <c:numCache>
                <c:formatCode>#,##0.0</c:formatCode>
                <c:ptCount val="8"/>
                <c:pt idx="0">
                  <c:v>4185</c:v>
                </c:pt>
                <c:pt idx="1">
                  <c:v>4210</c:v>
                </c:pt>
                <c:pt idx="2">
                  <c:v>4190</c:v>
                </c:pt>
                <c:pt idx="3">
                  <c:v>4250</c:v>
                </c:pt>
                <c:pt idx="4">
                  <c:v>4230</c:v>
                </c:pt>
                <c:pt idx="5">
                  <c:v>4285</c:v>
                </c:pt>
                <c:pt idx="6">
                  <c:v>4270</c:v>
                </c:pt>
                <c:pt idx="7">
                  <c:v>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B9-4D0B-BD1F-B9C2A5E0A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87687"/>
        <c:axId val="294396936"/>
      </c:lineChart>
      <c:catAx>
        <c:axId val="1966087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396936"/>
        <c:crosses val="autoZero"/>
        <c:auto val="1"/>
        <c:lblAlgn val="ctr"/>
        <c:lblOffset val="100"/>
        <c:noMultiLvlLbl val="0"/>
      </c:catAx>
      <c:valAx>
        <c:axId val="29439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8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8"/>
          <c:order val="0"/>
          <c:tx>
            <c:strRef>
              <c:f>{"Total Hedge P&amp;L"}</c:f>
              <c:strCache>
                <c:ptCount val="1"/>
                <c:pt idx="0">
                  <c:v>Total Hedge P&amp;L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'2.1 FX Hedge'!$AH$12:$AP$12,'2.1 FX Hedge'!$AH$13:$AP$13</c:f>
              <c:multiLvlStrCache>
                <c:ptCount val="9"/>
                <c:lvl>
                  <c:pt idx="0">
                    <c:v>Fully Static Hedge</c:v>
                  </c:pt>
                  <c:pt idx="1">
                    <c:v>Layered Hedge</c:v>
                  </c:pt>
                  <c:pt idx="2">
                    <c:v>Ruled-based dynamic Hedge</c:v>
                  </c:pt>
                  <c:pt idx="3">
                    <c:v>Fully Static Hedge</c:v>
                  </c:pt>
                  <c:pt idx="4">
                    <c:v>Layered Hedge</c:v>
                  </c:pt>
                  <c:pt idx="5">
                    <c:v>Ruled-based dynamic Hedge</c:v>
                  </c:pt>
                  <c:pt idx="6">
                    <c:v>Fully Static Hedge</c:v>
                  </c:pt>
                  <c:pt idx="7">
                    <c:v>Layered Hedge</c:v>
                  </c:pt>
                  <c:pt idx="8">
                    <c:v>Ruled-based dynamic Hedge</c:v>
                  </c:pt>
                </c:lvl>
                <c:lvl>
                  <c:pt idx="0">
                    <c:v>Base Fixing</c:v>
                  </c:pt>
                  <c:pt idx="3">
                    <c:v>Bull COP</c:v>
                  </c:pt>
                  <c:pt idx="6">
                    <c:v>Stress COP</c:v>
                  </c:pt>
                </c:lvl>
              </c:multiLvlStrCache>
            </c:multiLvlStrRef>
          </c:cat>
          <c:val>
            <c:numRef>
              <c:f>'2.1 FX Hedge'!$AH$22:$AP$22</c:f>
              <c:numCache>
                <c:formatCode>\$#,##0_);[Red]\(\$#,##0\)</c:formatCode>
                <c:ptCount val="9"/>
                <c:pt idx="0">
                  <c:v>24918.637187297805</c:v>
                </c:pt>
                <c:pt idx="1">
                  <c:v>26775.077918967479</c:v>
                </c:pt>
                <c:pt idx="2">
                  <c:v>27282.73812216349</c:v>
                </c:pt>
                <c:pt idx="3">
                  <c:v>-6382.6504657140094</c:v>
                </c:pt>
                <c:pt idx="4">
                  <c:v>-4467.7720597328089</c:v>
                </c:pt>
                <c:pt idx="5">
                  <c:v>-3977.7218851398666</c:v>
                </c:pt>
                <c:pt idx="6">
                  <c:v>64779.881459541386</c:v>
                </c:pt>
                <c:pt idx="7">
                  <c:v>66585.762805210805</c:v>
                </c:pt>
                <c:pt idx="8">
                  <c:v>67082.372093300932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CD3C-4372-9E4C-E1793B983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overlap val="-27"/>
        <c:axId val="1965833223"/>
        <c:axId val="1967049223"/>
      </c:barChart>
      <c:catAx>
        <c:axId val="1965833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049223"/>
        <c:crosses val="autoZero"/>
        <c:auto val="1"/>
        <c:lblAlgn val="ctr"/>
        <c:lblOffset val="100"/>
        <c:noMultiLvlLbl val="0"/>
      </c:catAx>
      <c:valAx>
        <c:axId val="1967049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6DCE4"/>
              </a:solidFill>
              <a:prstDash val="sysDot"/>
              <a:round/>
            </a:ln>
            <a:effectLst/>
          </c:spPr>
        </c:majorGridlines>
        <c:numFmt formatCode="\$#,##0_);[Red]\(\$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833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'2.3 Cross - Chain Arb'!$AE$14</c:f>
              <c:strCache>
                <c:ptCount val="1"/>
                <c:pt idx="0">
                  <c:v>Ethereum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'2.3 Cross - Chain Arb'!$AD$15:$AD$35</c:f>
              <c:numCache>
                <c:formatCode>General</c:formatCode>
                <c:ptCount val="21"/>
                <c:pt idx="0">
                  <c:v>1000</c:v>
                </c:pt>
                <c:pt idx="1">
                  <c:v>3500</c:v>
                </c:pt>
                <c:pt idx="2">
                  <c:v>6000</c:v>
                </c:pt>
                <c:pt idx="3">
                  <c:v>8500</c:v>
                </c:pt>
                <c:pt idx="4">
                  <c:v>11000</c:v>
                </c:pt>
                <c:pt idx="5">
                  <c:v>13500</c:v>
                </c:pt>
                <c:pt idx="6">
                  <c:v>16000</c:v>
                </c:pt>
                <c:pt idx="7">
                  <c:v>18500</c:v>
                </c:pt>
                <c:pt idx="8">
                  <c:v>21000</c:v>
                </c:pt>
                <c:pt idx="9">
                  <c:v>23500</c:v>
                </c:pt>
                <c:pt idx="10">
                  <c:v>26000</c:v>
                </c:pt>
                <c:pt idx="11">
                  <c:v>28500</c:v>
                </c:pt>
                <c:pt idx="12">
                  <c:v>31000</c:v>
                </c:pt>
                <c:pt idx="13">
                  <c:v>33500</c:v>
                </c:pt>
                <c:pt idx="14">
                  <c:v>36000</c:v>
                </c:pt>
                <c:pt idx="15">
                  <c:v>38500</c:v>
                </c:pt>
                <c:pt idx="16">
                  <c:v>41000</c:v>
                </c:pt>
                <c:pt idx="17">
                  <c:v>43500</c:v>
                </c:pt>
                <c:pt idx="18">
                  <c:v>46000</c:v>
                </c:pt>
                <c:pt idx="19">
                  <c:v>48500</c:v>
                </c:pt>
                <c:pt idx="20">
                  <c:v>51000</c:v>
                </c:pt>
              </c:numCache>
            </c:numRef>
          </c:cat>
          <c:val>
            <c:numRef>
              <c:f>'2.3 Cross - Chain Arb'!$AE$15:$AE$35</c:f>
              <c:numCache>
                <c:formatCode>General</c:formatCode>
                <c:ptCount val="21"/>
                <c:pt idx="0">
                  <c:v>21.857654056977481</c:v>
                </c:pt>
                <c:pt idx="1">
                  <c:v>71.569848676910624</c:v>
                </c:pt>
                <c:pt idx="2">
                  <c:v>114.25969982030801</c:v>
                </c:pt>
                <c:pt idx="3">
                  <c:v>149.9561786937993</c:v>
                </c:pt>
                <c:pt idx="4">
                  <c:v>178.68809735937975</c:v>
                </c:pt>
                <c:pt idx="5">
                  <c:v>200.48410982475616</c:v>
                </c:pt>
                <c:pt idx="6">
                  <c:v>215.37271312647499</c:v>
                </c:pt>
                <c:pt idx="7">
                  <c:v>223.38224840327166</c:v>
                </c:pt>
                <c:pt idx="8">
                  <c:v>224.54090195987374</c:v>
                </c:pt>
                <c:pt idx="9">
                  <c:v>218.8767063242849</c:v>
                </c:pt>
                <c:pt idx="10">
                  <c:v>206.41754129412584</c:v>
                </c:pt>
                <c:pt idx="11">
                  <c:v>187.19113497529179</c:v>
                </c:pt>
                <c:pt idx="12">
                  <c:v>161.22506481246091</c:v>
                </c:pt>
                <c:pt idx="13">
                  <c:v>128.54675861191936</c:v>
                </c:pt>
                <c:pt idx="14">
                  <c:v>89.183495552977547</c:v>
                </c:pt>
                <c:pt idx="15">
                  <c:v>43.162407195661217</c:v>
                </c:pt>
                <c:pt idx="16">
                  <c:v>-9.4895215237047523</c:v>
                </c:pt>
                <c:pt idx="17">
                  <c:v>-68.745451302500442</c:v>
                </c:pt>
                <c:pt idx="18">
                  <c:v>-134.57868749136105</c:v>
                </c:pt>
                <c:pt idx="19">
                  <c:v>-206.96267912001349</c:v>
                </c:pt>
                <c:pt idx="20">
                  <c:v>-285.87101793312468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8D-468F-A974-A7F9EB707018}"/>
            </c:ext>
          </c:extLst>
        </c:ser>
        <c:ser>
          <c:idx val="2"/>
          <c:order val="1"/>
          <c:tx>
            <c:strRef>
              <c:f>'2.3 Cross - Chain Arb'!$AF$14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F4B08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'2.3 Cross - Chain Arb'!$AD$15:$AD$35</c:f>
              <c:numCache>
                <c:formatCode>General</c:formatCode>
                <c:ptCount val="21"/>
                <c:pt idx="0">
                  <c:v>1000</c:v>
                </c:pt>
                <c:pt idx="1">
                  <c:v>3500</c:v>
                </c:pt>
                <c:pt idx="2">
                  <c:v>6000</c:v>
                </c:pt>
                <c:pt idx="3">
                  <c:v>8500</c:v>
                </c:pt>
                <c:pt idx="4">
                  <c:v>11000</c:v>
                </c:pt>
                <c:pt idx="5">
                  <c:v>13500</c:v>
                </c:pt>
                <c:pt idx="6">
                  <c:v>16000</c:v>
                </c:pt>
                <c:pt idx="7">
                  <c:v>18500</c:v>
                </c:pt>
                <c:pt idx="8">
                  <c:v>21000</c:v>
                </c:pt>
                <c:pt idx="9">
                  <c:v>23500</c:v>
                </c:pt>
                <c:pt idx="10">
                  <c:v>26000</c:v>
                </c:pt>
                <c:pt idx="11">
                  <c:v>28500</c:v>
                </c:pt>
                <c:pt idx="12">
                  <c:v>31000</c:v>
                </c:pt>
                <c:pt idx="13">
                  <c:v>33500</c:v>
                </c:pt>
                <c:pt idx="14">
                  <c:v>36000</c:v>
                </c:pt>
                <c:pt idx="15">
                  <c:v>38500</c:v>
                </c:pt>
                <c:pt idx="16">
                  <c:v>41000</c:v>
                </c:pt>
                <c:pt idx="17">
                  <c:v>43500</c:v>
                </c:pt>
                <c:pt idx="18">
                  <c:v>46000</c:v>
                </c:pt>
                <c:pt idx="19">
                  <c:v>48500</c:v>
                </c:pt>
                <c:pt idx="20">
                  <c:v>51000</c:v>
                </c:pt>
              </c:numCache>
            </c:numRef>
          </c:cat>
          <c:val>
            <c:numRef>
              <c:f>'2.3 Cross - Chain Arb'!$AF$15:$AF$35</c:f>
              <c:numCache>
                <c:formatCode>General</c:formatCode>
                <c:ptCount val="21"/>
                <c:pt idx="0">
                  <c:v>-15.969333101063967</c:v>
                </c:pt>
                <c:pt idx="1">
                  <c:v>-59.278441383969039</c:v>
                </c:pt>
                <c:pt idx="2">
                  <c:v>-107.41297129448503</c:v>
                </c:pt>
                <c:pt idx="3">
                  <c:v>-160.35871967300773</c:v>
                </c:pt>
                <c:pt idx="4">
                  <c:v>-218.10153904557228</c:v>
                </c:pt>
                <c:pt idx="5">
                  <c:v>-280.62733735283837</c:v>
                </c:pt>
                <c:pt idx="6">
                  <c:v>-347.92207767767832</c:v>
                </c:pt>
                <c:pt idx="7">
                  <c:v>-419.97177797509357</c:v>
                </c:pt>
                <c:pt idx="8">
                  <c:v>-496.76251080678776</c:v>
                </c:pt>
                <c:pt idx="9">
                  <c:v>-578.28040307248011</c:v>
                </c:pt>
                <c:pt idx="10">
                  <c:v>-664.51163574540988</c:v>
                </c:pt>
                <c:pt idx="11">
                  <c:v>-755.44244361110032</c:v>
                </c:pt>
                <c:pt idx="12">
                  <c:v>-851.05911500332877</c:v>
                </c:pt>
                <c:pt idx="13">
                  <c:v>-951.34799154521897</c:v>
                </c:pt>
                <c:pt idx="14">
                  <c:v>-1056.2954678903334</c:v>
                </c:pt>
                <c:pt idx="15">
                  <c:v>-1165.8879914656281</c:v>
                </c:pt>
                <c:pt idx="16">
                  <c:v>-1280.1120622167364</c:v>
                </c:pt>
                <c:pt idx="17">
                  <c:v>-1398.9542323504575</c:v>
                </c:pt>
                <c:pt idx="18">
                  <c:v>-1522.4011060870253</c:v>
                </c:pt>
                <c:pt idx="19">
                  <c:v>-1650.4393394053914</c:v>
                </c:pt>
                <c:pt idx="20">
                  <c:v>-1783.0556397940964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8D-468F-A974-A7F9EB707018}"/>
            </c:ext>
          </c:extLst>
        </c:ser>
        <c:ser>
          <c:idx val="3"/>
          <c:order val="2"/>
          <c:tx>
            <c:strRef>
              <c:f>'2.3 Cross - Chain Arb'!$AG$14</c:f>
              <c:strCache>
                <c:ptCount val="1"/>
                <c:pt idx="0">
                  <c:v>Polygon</c:v>
                </c:pt>
              </c:strCache>
            </c:strRef>
          </c:tx>
          <c:spPr>
            <a:ln w="28575" cap="rnd">
              <a:solidFill>
                <a:srgbClr val="8EA9D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'2.3 Cross - Chain Arb'!$AD$15:$AD$35</c:f>
              <c:numCache>
                <c:formatCode>General</c:formatCode>
                <c:ptCount val="21"/>
                <c:pt idx="0">
                  <c:v>1000</c:v>
                </c:pt>
                <c:pt idx="1">
                  <c:v>3500</c:v>
                </c:pt>
                <c:pt idx="2">
                  <c:v>6000</c:v>
                </c:pt>
                <c:pt idx="3">
                  <c:v>8500</c:v>
                </c:pt>
                <c:pt idx="4">
                  <c:v>11000</c:v>
                </c:pt>
                <c:pt idx="5">
                  <c:v>13500</c:v>
                </c:pt>
                <c:pt idx="6">
                  <c:v>16000</c:v>
                </c:pt>
                <c:pt idx="7">
                  <c:v>18500</c:v>
                </c:pt>
                <c:pt idx="8">
                  <c:v>21000</c:v>
                </c:pt>
                <c:pt idx="9">
                  <c:v>23500</c:v>
                </c:pt>
                <c:pt idx="10">
                  <c:v>26000</c:v>
                </c:pt>
                <c:pt idx="11">
                  <c:v>28500</c:v>
                </c:pt>
                <c:pt idx="12">
                  <c:v>31000</c:v>
                </c:pt>
                <c:pt idx="13">
                  <c:v>33500</c:v>
                </c:pt>
                <c:pt idx="14">
                  <c:v>36000</c:v>
                </c:pt>
                <c:pt idx="15">
                  <c:v>38500</c:v>
                </c:pt>
                <c:pt idx="16">
                  <c:v>41000</c:v>
                </c:pt>
                <c:pt idx="17">
                  <c:v>43500</c:v>
                </c:pt>
                <c:pt idx="18">
                  <c:v>46000</c:v>
                </c:pt>
                <c:pt idx="19">
                  <c:v>48500</c:v>
                </c:pt>
                <c:pt idx="20">
                  <c:v>51000</c:v>
                </c:pt>
              </c:numCache>
            </c:numRef>
          </c:cat>
          <c:val>
            <c:numRef>
              <c:f>'2.3 Cross - Chain Arb'!$AG$15:$AG$35</c:f>
              <c:numCache>
                <c:formatCode>General</c:formatCode>
                <c:ptCount val="21"/>
                <c:pt idx="0">
                  <c:v>16.945128632243723</c:v>
                </c:pt>
                <c:pt idx="1">
                  <c:v>48.693753666360863</c:v>
                </c:pt>
                <c:pt idx="2">
                  <c:v>65.38744113733992</c:v>
                </c:pt>
                <c:pt idx="3">
                  <c:v>67.160078304819763</c:v>
                </c:pt>
                <c:pt idx="4">
                  <c:v>54.143969530938193</c:v>
                </c:pt>
                <c:pt idx="5">
                  <c:v>26.469859604141675</c:v>
                </c:pt>
                <c:pt idx="6">
                  <c:v>-15.733043348765932</c:v>
                </c:pt>
                <c:pt idx="7">
                  <c:v>-72.337045352556743</c:v>
                </c:pt>
                <c:pt idx="8">
                  <c:v>-143.21594446909148</c:v>
                </c:pt>
                <c:pt idx="9">
                  <c:v>-228.24500906816684</c:v>
                </c:pt>
                <c:pt idx="10">
                  <c:v>-327.30095647810958</c:v>
                </c:pt>
                <c:pt idx="11">
                  <c:v>-440.26193200587295</c:v>
                </c:pt>
                <c:pt idx="12">
                  <c:v>-567.00748832256068</c:v>
                </c:pt>
                <c:pt idx="13">
                  <c:v>-707.41856520273723</c:v>
                </c:pt>
                <c:pt idx="14">
                  <c:v>-861.37746961519588</c:v>
                </c:pt>
                <c:pt idx="15">
                  <c:v>-1028.7678561530774</c:v>
                </c:pt>
                <c:pt idx="16">
                  <c:v>-1209.4747078015935</c:v>
                </c:pt>
                <c:pt idx="17">
                  <c:v>-1403.3843170326436</c:v>
                </c:pt>
                <c:pt idx="18">
                  <c:v>-1610.3842672216706</c:v>
                </c:pt>
                <c:pt idx="19">
                  <c:v>-1830.3634143803502</c:v>
                </c:pt>
                <c:pt idx="20">
                  <c:v>-2063.2118691987125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8D-468F-A974-A7F9EB707018}"/>
            </c:ext>
          </c:extLst>
        </c:ser>
        <c:ser>
          <c:idx val="4"/>
          <c:order val="3"/>
          <c:tx>
            <c:strRef>
              <c:f>'2.3 Cross - Chain Arb'!$AH$14</c:f>
              <c:strCache>
                <c:ptCount val="1"/>
                <c:pt idx="0">
                  <c:v>Solana</c:v>
                </c:pt>
              </c:strCache>
            </c:strRef>
          </c:tx>
          <c:spPr>
            <a:ln w="28575" cap="rnd">
              <a:solidFill>
                <a:srgbClr val="BFBFBF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'2.3 Cross - Chain Arb'!$AD$15:$AD$35</c:f>
              <c:numCache>
                <c:formatCode>General</c:formatCode>
                <c:ptCount val="21"/>
                <c:pt idx="0">
                  <c:v>1000</c:v>
                </c:pt>
                <c:pt idx="1">
                  <c:v>3500</c:v>
                </c:pt>
                <c:pt idx="2">
                  <c:v>6000</c:v>
                </c:pt>
                <c:pt idx="3">
                  <c:v>8500</c:v>
                </c:pt>
                <c:pt idx="4">
                  <c:v>11000</c:v>
                </c:pt>
                <c:pt idx="5">
                  <c:v>13500</c:v>
                </c:pt>
                <c:pt idx="6">
                  <c:v>16000</c:v>
                </c:pt>
                <c:pt idx="7">
                  <c:v>18500</c:v>
                </c:pt>
                <c:pt idx="8">
                  <c:v>21000</c:v>
                </c:pt>
                <c:pt idx="9">
                  <c:v>23500</c:v>
                </c:pt>
                <c:pt idx="10">
                  <c:v>26000</c:v>
                </c:pt>
                <c:pt idx="11">
                  <c:v>28500</c:v>
                </c:pt>
                <c:pt idx="12">
                  <c:v>31000</c:v>
                </c:pt>
                <c:pt idx="13">
                  <c:v>33500</c:v>
                </c:pt>
                <c:pt idx="14">
                  <c:v>36000</c:v>
                </c:pt>
                <c:pt idx="15">
                  <c:v>38500</c:v>
                </c:pt>
                <c:pt idx="16">
                  <c:v>41000</c:v>
                </c:pt>
                <c:pt idx="17">
                  <c:v>43500</c:v>
                </c:pt>
                <c:pt idx="18">
                  <c:v>46000</c:v>
                </c:pt>
                <c:pt idx="19">
                  <c:v>48500</c:v>
                </c:pt>
                <c:pt idx="20">
                  <c:v>51000</c:v>
                </c:pt>
              </c:numCache>
            </c:numRef>
          </c:cat>
          <c:val>
            <c:numRef>
              <c:f>'2.3 Cross - Chain Arb'!$AH$15:$AH$35</c:f>
              <c:numCache>
                <c:formatCode>General</c:formatCode>
                <c:ptCount val="21"/>
                <c:pt idx="0">
                  <c:v>-31.266494861571118</c:v>
                </c:pt>
                <c:pt idx="1">
                  <c:v>-114.55709447152913</c:v>
                </c:pt>
                <c:pt idx="2">
                  <c:v>-205.14169852505438</c:v>
                </c:pt>
                <c:pt idx="3">
                  <c:v>-302.98733512102626</c:v>
                </c:pt>
                <c:pt idx="4">
                  <c:v>-408.06123078824021</c:v>
                </c:pt>
                <c:pt idx="5">
                  <c:v>-520.33080899529159</c:v>
                </c:pt>
                <c:pt idx="6">
                  <c:v>-639.76368867233396</c:v>
                </c:pt>
                <c:pt idx="7">
                  <c:v>-766.32768274797127</c:v>
                </c:pt>
                <c:pt idx="8">
                  <c:v>-899.99079669918865</c:v>
                </c:pt>
                <c:pt idx="9">
                  <c:v>-1040.721227112459</c:v>
                </c:pt>
                <c:pt idx="10">
                  <c:v>-1188.487360259518</c:v>
                </c:pt>
                <c:pt idx="11">
                  <c:v>-1343.2577706857119</c:v>
                </c:pt>
                <c:pt idx="12">
                  <c:v>-1505.0012198097538</c:v>
                </c:pt>
                <c:pt idx="13">
                  <c:v>-1673.6866545374505</c:v>
                </c:pt>
                <c:pt idx="14">
                  <c:v>-1849.2832058863714</c:v>
                </c:pt>
                <c:pt idx="15">
                  <c:v>-2031.7601876237895</c:v>
                </c:pt>
                <c:pt idx="16">
                  <c:v>-2221.0870949162636</c:v>
                </c:pt>
                <c:pt idx="17">
                  <c:v>-2417.233602990862</c:v>
                </c:pt>
                <c:pt idx="18">
                  <c:v>-2620.1695658089593</c:v>
                </c:pt>
                <c:pt idx="19">
                  <c:v>-2829.8650147512089</c:v>
                </c:pt>
                <c:pt idx="20">
                  <c:v>-3046.2901573143899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8D-468F-A974-A7F9EB707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259975"/>
        <c:axId val="1458262023"/>
      </c:lineChart>
      <c:catAx>
        <c:axId val="1458259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262023"/>
        <c:crosses val="autoZero"/>
        <c:auto val="1"/>
        <c:lblAlgn val="ctr"/>
        <c:lblOffset val="100"/>
        <c:noMultiLvlLbl val="0"/>
      </c:catAx>
      <c:valAx>
        <c:axId val="1458262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259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1</xdr:row>
      <xdr:rowOff>123825</xdr:rowOff>
    </xdr:from>
    <xdr:to>
      <xdr:col>2</xdr:col>
      <xdr:colOff>1216025</xdr:colOff>
      <xdr:row>3</xdr:row>
      <xdr:rowOff>196850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696280-D75C-D342-96EB-A1F817191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27025"/>
          <a:ext cx="2260600" cy="479425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24</xdr:row>
      <xdr:rowOff>180975</xdr:rowOff>
    </xdr:from>
    <xdr:to>
      <xdr:col>11</xdr:col>
      <xdr:colOff>419100</xdr:colOff>
      <xdr:row>43</xdr:row>
      <xdr:rowOff>114300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48E7D55-2D34-2AB2-B0A5-8157C97D1F5D}"/>
            </a:ext>
            <a:ext uri="{147F2762-F138-4A5C-976F-8EAC2B608ADB}">
              <a16:predDERef xmlns:a16="http://schemas.microsoft.com/office/drawing/2014/main" pred="{A4696280-D75C-D342-96EB-A1F817191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3525" y="5048250"/>
          <a:ext cx="4572000" cy="3733800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25</xdr:row>
      <xdr:rowOff>57150</xdr:rowOff>
    </xdr:from>
    <xdr:to>
      <xdr:col>19</xdr:col>
      <xdr:colOff>257175</xdr:colOff>
      <xdr:row>43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AEBF1B-F73B-CA0A-3CC2-A5DFE4CE5DDE}"/>
            </a:ext>
            <a:ext uri="{147F2762-F138-4A5C-976F-8EAC2B608ADB}">
              <a16:predDERef xmlns:a16="http://schemas.microsoft.com/office/drawing/2014/main" pred="{048E7D55-2D34-2AB2-B0A5-8157C97D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91800" y="5124450"/>
          <a:ext cx="4572000" cy="37338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24</xdr:row>
      <xdr:rowOff>152400</xdr:rowOff>
    </xdr:from>
    <xdr:to>
      <xdr:col>4</xdr:col>
      <xdr:colOff>381000</xdr:colOff>
      <xdr:row>43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915A62-2722-3A60-2115-F8F29025008C}"/>
            </a:ext>
            <a:ext uri="{147F2762-F138-4A5C-976F-8EAC2B608ADB}">
              <a16:predDERef xmlns:a16="http://schemas.microsoft.com/office/drawing/2014/main" pred="{83AEBF1B-F73B-CA0A-3CC2-A5DFE4CE5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5019675"/>
          <a:ext cx="4572000" cy="3733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211666</xdr:colOff>
      <xdr:row>0</xdr:row>
      <xdr:rowOff>143933</xdr:rowOff>
    </xdr:from>
    <xdr:to>
      <xdr:col>2</xdr:col>
      <xdr:colOff>922866</xdr:colOff>
      <xdr:row>3</xdr:row>
      <xdr:rowOff>42333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E1DB4F-20DD-B541-9286-0930B7706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6" y="143933"/>
          <a:ext cx="2311400" cy="482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88900</xdr:colOff>
      <xdr:row>0</xdr:row>
      <xdr:rowOff>50800</xdr:rowOff>
    </xdr:from>
    <xdr:to>
      <xdr:col>4</xdr:col>
      <xdr:colOff>133350</xdr:colOff>
      <xdr:row>2</xdr:row>
      <xdr:rowOff>133350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1608A848-D09F-D94B-BD86-7FAC0287C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50800"/>
          <a:ext cx="2311400" cy="482600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24</xdr:row>
      <xdr:rowOff>85725</xdr:rowOff>
    </xdr:from>
    <xdr:to>
      <xdr:col>7</xdr:col>
      <xdr:colOff>542925</xdr:colOff>
      <xdr:row>38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BA0FDD-DC68-DC31-5A2E-C4F7C5D2CC1E}"/>
            </a:ext>
            <a:ext uri="{147F2762-F138-4A5C-976F-8EAC2B608ADB}">
              <a16:predDERef xmlns:a16="http://schemas.microsoft.com/office/drawing/2014/main" pred="{1608A848-D09F-D94B-BD86-7FAC0287C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25</xdr:row>
      <xdr:rowOff>114300</xdr:rowOff>
    </xdr:from>
    <xdr:to>
      <xdr:col>21</xdr:col>
      <xdr:colOff>628650</xdr:colOff>
      <xdr:row>38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E24FC8C-C33F-5A3F-3EE7-324D51C4D4BF}"/>
            </a:ext>
            <a:ext uri="{147F2762-F138-4A5C-976F-8EAC2B608ADB}">
              <a16:predDERef xmlns:a16="http://schemas.microsoft.com/office/drawing/2014/main" pred="{A4BA0FDD-DC68-DC31-5A2E-C4F7C5D2C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657225</xdr:colOff>
      <xdr:row>22</xdr:row>
      <xdr:rowOff>123825</xdr:rowOff>
    </xdr:from>
    <xdr:to>
      <xdr:col>42</xdr:col>
      <xdr:colOff>314325</xdr:colOff>
      <xdr:row>43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230B52F-D1E2-F8BE-67FB-5B0261CE4E21}"/>
            </a:ext>
            <a:ext uri="{147F2762-F138-4A5C-976F-8EAC2B608ADB}">
              <a16:predDERef xmlns:a16="http://schemas.microsoft.com/office/drawing/2014/main" pred="{0E24FC8C-C33F-5A3F-3EE7-324D51C4D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635000</xdr:colOff>
      <xdr:row>2</xdr:row>
      <xdr:rowOff>101600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3E1EED-25BA-D844-9013-383D2763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0"/>
          <a:ext cx="2311400" cy="482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301625</xdr:colOff>
      <xdr:row>2</xdr:row>
      <xdr:rowOff>101600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27F09E-E4F4-3848-B6FE-D9788B7AB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0"/>
          <a:ext cx="2311400" cy="482600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0</xdr:row>
      <xdr:rowOff>9525</xdr:rowOff>
    </xdr:from>
    <xdr:to>
      <xdr:col>36</xdr:col>
      <xdr:colOff>381000</xdr:colOff>
      <xdr:row>12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918B2F-B8B5-0163-659C-CC39449A4C2C}"/>
            </a:ext>
            <a:ext uri="{147F2762-F138-4A5C-976F-8EAC2B608ADB}">
              <a16:predDERef xmlns:a16="http://schemas.microsoft.com/office/drawing/2014/main" pred="{1327F09E-E4F4-3848-B6FE-D9788B7AB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iguel Angel Manrique" id="{DB4D6CA3-C9E4-49A2-B0E1-A90E7A882D0C}" userId="0225f9728451db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3" dT="2026-03-22T01:40:21.11" personId="{DB4D6CA3-C9E4-49A2-B0E1-A90E7A882D0C}" id="{00B4C4FE-E57F-4E52-824D-1E09058AEBA2}">
    <text>I subdivided the hedge into 0.25 increments to layer the risk over four weeks (or one month), based on the current NDF levels.</text>
  </threadedComment>
  <threadedComment ref="AJ13" dT="2026-03-22T02:54:49.17" personId="{DB4D6CA3-C9E4-49A2-B0E1-A90E7A882D0C}" id="{D0850123-FE8B-4232-AD10-9761560FF093}">
    <text xml:space="preserve">Given a NDF curve trading at a forward premium (contango) we could optimize our hedging by yielding our shorts in COP while minimizing the cost of carry on our longs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F8A0-4552-974F-B453-DF52E32EA5EB}">
  <dimension ref="A1:F23"/>
  <sheetViews>
    <sheetView showGridLines="0" topLeftCell="A19" workbookViewId="0">
      <selection activeCell="B20" sqref="B20:D23"/>
    </sheetView>
  </sheetViews>
  <sheetFormatPr defaultColWidth="8.875" defaultRowHeight="15.95"/>
  <cols>
    <col min="2" max="2" width="13.625" bestFit="1" customWidth="1"/>
    <col min="3" max="3" width="20.5" bestFit="1" customWidth="1"/>
    <col min="4" max="4" width="19.5" bestFit="1" customWidth="1"/>
  </cols>
  <sheetData>
    <row r="1" spans="1:6">
      <c r="A1" s="29"/>
      <c r="B1" s="29"/>
      <c r="C1" s="29"/>
      <c r="D1" s="29"/>
      <c r="E1" s="29"/>
      <c r="F1" s="29"/>
    </row>
    <row r="2" spans="1:6">
      <c r="A2" s="29"/>
      <c r="B2" s="29"/>
      <c r="C2" s="29"/>
      <c r="D2" s="29"/>
      <c r="E2" s="29"/>
      <c r="F2" s="29"/>
    </row>
    <row r="3" spans="1:6">
      <c r="A3" s="29"/>
      <c r="B3" s="29"/>
      <c r="C3" s="29"/>
      <c r="D3" s="29"/>
      <c r="E3" s="29"/>
      <c r="F3" s="29"/>
    </row>
    <row r="4" spans="1:6">
      <c r="A4" s="29"/>
      <c r="B4" s="29"/>
      <c r="C4" s="29"/>
      <c r="D4" s="29"/>
      <c r="E4" s="29"/>
      <c r="F4" s="29"/>
    </row>
    <row r="5" spans="1:6">
      <c r="A5" s="29"/>
      <c r="B5" s="29"/>
      <c r="C5" s="29"/>
      <c r="D5" s="29"/>
      <c r="E5" s="29"/>
      <c r="F5" s="29"/>
    </row>
    <row r="6" spans="1:6" ht="21">
      <c r="A6" s="29"/>
      <c r="B6" s="99" t="s">
        <v>0</v>
      </c>
      <c r="C6" s="99"/>
      <c r="D6" s="99"/>
      <c r="E6" s="99"/>
      <c r="F6" s="99"/>
    </row>
    <row r="7" spans="1:6">
      <c r="A7" s="29"/>
      <c r="B7" s="29"/>
      <c r="C7" s="29"/>
      <c r="D7" s="29"/>
      <c r="E7" s="29"/>
      <c r="F7" s="29"/>
    </row>
    <row r="8" spans="1:6">
      <c r="A8" s="29"/>
      <c r="B8" s="30" t="s">
        <v>1</v>
      </c>
      <c r="C8" s="30"/>
      <c r="D8" s="30"/>
      <c r="E8" s="30"/>
      <c r="F8" s="30"/>
    </row>
    <row r="9" spans="1:6">
      <c r="A9" s="29"/>
      <c r="B9" s="30" t="s">
        <v>2</v>
      </c>
      <c r="C9" s="30"/>
      <c r="D9" s="30"/>
      <c r="E9" s="30"/>
      <c r="F9" s="30"/>
    </row>
    <row r="10" spans="1:6">
      <c r="A10" s="29"/>
      <c r="C10" s="29"/>
      <c r="D10" s="29"/>
      <c r="E10" s="29"/>
      <c r="F10" s="29"/>
    </row>
    <row r="11" spans="1:6">
      <c r="A11" s="29"/>
      <c r="B11" s="29" t="s">
        <v>3</v>
      </c>
      <c r="C11" s="29"/>
      <c r="D11" s="29"/>
      <c r="E11" s="29"/>
      <c r="F11" s="29"/>
    </row>
    <row r="12" spans="1:6">
      <c r="A12" s="29"/>
      <c r="C12" s="29"/>
      <c r="D12" s="29"/>
      <c r="E12" s="29"/>
      <c r="F12" s="29"/>
    </row>
    <row r="13" spans="1:6">
      <c r="A13" s="29"/>
      <c r="B13" s="29" t="s">
        <v>4</v>
      </c>
      <c r="C13" s="29"/>
      <c r="D13" s="29"/>
      <c r="E13" s="29"/>
      <c r="F13" s="29"/>
    </row>
    <row r="14" spans="1:6">
      <c r="A14" s="29"/>
      <c r="B14" s="29" t="s">
        <v>5</v>
      </c>
      <c r="C14" s="29"/>
      <c r="D14" s="29"/>
      <c r="E14" s="29"/>
      <c r="F14" s="29"/>
    </row>
    <row r="15" spans="1:6">
      <c r="A15" s="29"/>
      <c r="B15" s="29" t="s">
        <v>6</v>
      </c>
      <c r="C15" s="29"/>
      <c r="D15" s="29"/>
      <c r="E15" s="29"/>
      <c r="F15" s="29"/>
    </row>
    <row r="16" spans="1:6">
      <c r="B16" s="29" t="s">
        <v>7</v>
      </c>
    </row>
    <row r="19" spans="2:4">
      <c r="B19" t="s">
        <v>8</v>
      </c>
    </row>
    <row r="20" spans="2:4" ht="15.75">
      <c r="B20" s="67"/>
      <c r="C20" s="67" t="s">
        <v>9</v>
      </c>
      <c r="D20" s="67" t="s">
        <v>10</v>
      </c>
    </row>
    <row r="21" spans="2:4" ht="15.75">
      <c r="B21" s="67" t="s">
        <v>11</v>
      </c>
      <c r="C21" s="94">
        <v>-0.164952701068355</v>
      </c>
      <c r="D21" s="94">
        <v>0.302131423512629</v>
      </c>
    </row>
    <row r="22" spans="2:4" ht="15.75">
      <c r="B22" s="67" t="s">
        <v>12</v>
      </c>
      <c r="C22" s="94">
        <v>-0.47046698994028802</v>
      </c>
      <c r="D22" s="94">
        <v>0.183843865415454</v>
      </c>
    </row>
    <row r="23" spans="2:4" ht="15.75">
      <c r="B23" s="67" t="s">
        <v>13</v>
      </c>
      <c r="C23" s="94">
        <v>-0.181323937580989</v>
      </c>
      <c r="D23" s="94">
        <v>-0.53720448565850298</v>
      </c>
    </row>
  </sheetData>
  <mergeCells count="1">
    <mergeCell ref="B6:F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E947-F095-49E2-8C43-A35CAA572D82}">
  <dimension ref="A1:F1143"/>
  <sheetViews>
    <sheetView workbookViewId="0">
      <selection activeCell="D11" sqref="D11"/>
    </sheetView>
  </sheetViews>
  <sheetFormatPr defaultRowHeight="15.75"/>
  <cols>
    <col min="1" max="1" width="10.375" bestFit="1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95">
        <v>44106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</row>
    <row r="3" spans="1:6">
      <c r="A3" s="95">
        <v>44107</v>
      </c>
      <c r="B3" t="s">
        <v>24</v>
      </c>
      <c r="C3" t="s">
        <v>25</v>
      </c>
      <c r="D3" t="s">
        <v>26</v>
      </c>
      <c r="E3" t="s">
        <v>27</v>
      </c>
      <c r="F3" t="s">
        <v>27</v>
      </c>
    </row>
    <row r="4" spans="1:6">
      <c r="A4" s="95">
        <v>44108</v>
      </c>
      <c r="B4" t="s">
        <v>28</v>
      </c>
      <c r="C4" t="s">
        <v>29</v>
      </c>
      <c r="D4" t="s">
        <v>30</v>
      </c>
      <c r="E4" t="s">
        <v>31</v>
      </c>
      <c r="F4" t="s">
        <v>31</v>
      </c>
    </row>
    <row r="5" spans="1:6">
      <c r="A5" s="95">
        <v>44109</v>
      </c>
      <c r="B5" t="s">
        <v>32</v>
      </c>
      <c r="C5" t="s">
        <v>33</v>
      </c>
      <c r="D5" t="s">
        <v>34</v>
      </c>
      <c r="E5" t="s">
        <v>35</v>
      </c>
      <c r="F5" t="s">
        <v>35</v>
      </c>
    </row>
    <row r="6" spans="1:6">
      <c r="A6" s="95">
        <v>44110</v>
      </c>
      <c r="B6" t="s">
        <v>36</v>
      </c>
      <c r="C6" t="s">
        <v>37</v>
      </c>
      <c r="D6" t="s">
        <v>38</v>
      </c>
      <c r="E6" t="s">
        <v>39</v>
      </c>
      <c r="F6" t="s">
        <v>39</v>
      </c>
    </row>
    <row r="7" spans="1:6">
      <c r="A7" s="95">
        <v>44111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</row>
    <row r="8" spans="1:6">
      <c r="A8" s="95">
        <v>44113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</row>
    <row r="9" spans="1:6">
      <c r="A9" s="95">
        <v>44114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</row>
    <row r="10" spans="1:6">
      <c r="A10" s="95">
        <v>44115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</row>
    <row r="11" spans="1:6">
      <c r="A11" s="95">
        <v>44116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</row>
    <row r="12" spans="1:6">
      <c r="A12" s="95">
        <v>44117</v>
      </c>
      <c r="B12" t="s">
        <v>60</v>
      </c>
      <c r="C12" t="s">
        <v>61</v>
      </c>
      <c r="D12" t="s">
        <v>62</v>
      </c>
      <c r="E12" t="s">
        <v>63</v>
      </c>
      <c r="F12" t="s">
        <v>63</v>
      </c>
    </row>
    <row r="13" spans="1:6">
      <c r="A13" s="95">
        <v>44118</v>
      </c>
      <c r="B13" t="s">
        <v>64</v>
      </c>
      <c r="C13" t="s">
        <v>65</v>
      </c>
      <c r="D13" t="s">
        <v>66</v>
      </c>
      <c r="E13" t="s">
        <v>67</v>
      </c>
      <c r="F13" t="s">
        <v>67</v>
      </c>
    </row>
    <row r="14" spans="1:6">
      <c r="A14" s="95">
        <v>44119</v>
      </c>
      <c r="B14" t="s">
        <v>68</v>
      </c>
      <c r="C14" t="s">
        <v>69</v>
      </c>
      <c r="D14" t="s">
        <v>70</v>
      </c>
      <c r="E14" t="s">
        <v>71</v>
      </c>
      <c r="F14" t="s">
        <v>71</v>
      </c>
    </row>
    <row r="15" spans="1:6">
      <c r="A15" s="95">
        <v>44120</v>
      </c>
      <c r="B15" t="s">
        <v>72</v>
      </c>
      <c r="C15" t="s">
        <v>73</v>
      </c>
      <c r="D15" t="s">
        <v>74</v>
      </c>
      <c r="E15" t="s">
        <v>75</v>
      </c>
      <c r="F15" t="s">
        <v>75</v>
      </c>
    </row>
    <row r="16" spans="1:6">
      <c r="A16" s="95">
        <v>44121</v>
      </c>
      <c r="B16" t="s">
        <v>75</v>
      </c>
      <c r="C16" t="s">
        <v>76</v>
      </c>
      <c r="D16" t="s">
        <v>77</v>
      </c>
      <c r="E16" t="s">
        <v>78</v>
      </c>
      <c r="F16" t="s">
        <v>78</v>
      </c>
    </row>
    <row r="17" spans="1:6">
      <c r="A17" s="95">
        <v>44122</v>
      </c>
      <c r="B17" t="s">
        <v>79</v>
      </c>
      <c r="C17" t="s">
        <v>80</v>
      </c>
      <c r="D17" t="s">
        <v>81</v>
      </c>
      <c r="E17" t="s">
        <v>80</v>
      </c>
      <c r="F17" t="s">
        <v>80</v>
      </c>
    </row>
    <row r="18" spans="1:6">
      <c r="A18" s="95">
        <v>44123</v>
      </c>
      <c r="B18" t="s">
        <v>82</v>
      </c>
      <c r="C18" t="s">
        <v>83</v>
      </c>
      <c r="D18" t="s">
        <v>84</v>
      </c>
      <c r="E18" t="s">
        <v>85</v>
      </c>
      <c r="F18" t="s">
        <v>85</v>
      </c>
    </row>
    <row r="19" spans="1:6">
      <c r="A19" s="95">
        <v>44124</v>
      </c>
      <c r="B19" t="s">
        <v>86</v>
      </c>
      <c r="C19" t="s">
        <v>87</v>
      </c>
      <c r="D19" t="s">
        <v>88</v>
      </c>
      <c r="E19" t="s">
        <v>89</v>
      </c>
      <c r="F19" t="s">
        <v>89</v>
      </c>
    </row>
    <row r="20" spans="1:6">
      <c r="A20" s="95">
        <v>44126</v>
      </c>
      <c r="B20" t="s">
        <v>90</v>
      </c>
      <c r="C20" t="s">
        <v>91</v>
      </c>
      <c r="D20" t="s">
        <v>92</v>
      </c>
      <c r="E20" t="s">
        <v>93</v>
      </c>
      <c r="F20" t="s">
        <v>93</v>
      </c>
    </row>
    <row r="21" spans="1:6">
      <c r="A21" s="95">
        <v>44127</v>
      </c>
      <c r="B21" t="s">
        <v>94</v>
      </c>
      <c r="C21" t="s">
        <v>95</v>
      </c>
      <c r="D21" t="s">
        <v>96</v>
      </c>
      <c r="E21" t="s">
        <v>97</v>
      </c>
      <c r="F21" t="s">
        <v>97</v>
      </c>
    </row>
    <row r="22" spans="1:6">
      <c r="A22" s="95">
        <v>44129</v>
      </c>
      <c r="B22" t="s">
        <v>98</v>
      </c>
      <c r="C22" t="s">
        <v>99</v>
      </c>
      <c r="D22" t="s">
        <v>100</v>
      </c>
      <c r="E22" t="s">
        <v>101</v>
      </c>
      <c r="F22" t="s">
        <v>101</v>
      </c>
    </row>
    <row r="23" spans="1:6">
      <c r="A23" s="95">
        <v>44131</v>
      </c>
      <c r="B23" t="s">
        <v>102</v>
      </c>
      <c r="C23" t="s">
        <v>103</v>
      </c>
      <c r="D23" t="s">
        <v>104</v>
      </c>
      <c r="E23" t="s">
        <v>105</v>
      </c>
      <c r="F23" t="s">
        <v>105</v>
      </c>
    </row>
    <row r="24" spans="1:6">
      <c r="A24" s="95">
        <v>44132</v>
      </c>
      <c r="B24" t="s">
        <v>106</v>
      </c>
      <c r="C24" t="s">
        <v>107</v>
      </c>
      <c r="D24" t="s">
        <v>108</v>
      </c>
      <c r="E24" t="s">
        <v>109</v>
      </c>
      <c r="F24" t="s">
        <v>109</v>
      </c>
    </row>
    <row r="25" spans="1:6">
      <c r="A25" s="95">
        <v>44133</v>
      </c>
      <c r="B25" t="s">
        <v>110</v>
      </c>
      <c r="C25" t="s">
        <v>111</v>
      </c>
      <c r="D25" t="s">
        <v>112</v>
      </c>
      <c r="E25" t="s">
        <v>113</v>
      </c>
      <c r="F25" t="s">
        <v>113</v>
      </c>
    </row>
    <row r="26" spans="1:6">
      <c r="A26" s="95">
        <v>44134</v>
      </c>
      <c r="B26" t="s">
        <v>114</v>
      </c>
      <c r="C26" t="s">
        <v>115</v>
      </c>
      <c r="D26" t="s">
        <v>116</v>
      </c>
      <c r="E26" t="s">
        <v>117</v>
      </c>
      <c r="F26" t="s">
        <v>117</v>
      </c>
    </row>
    <row r="27" spans="1:6">
      <c r="A27" s="95">
        <v>44135</v>
      </c>
      <c r="B27" t="s">
        <v>118</v>
      </c>
      <c r="C27" t="s">
        <v>119</v>
      </c>
      <c r="D27" t="s">
        <v>120</v>
      </c>
      <c r="E27" t="s">
        <v>121</v>
      </c>
      <c r="F27" t="s">
        <v>121</v>
      </c>
    </row>
    <row r="28" spans="1:6">
      <c r="A28" s="95">
        <v>44136</v>
      </c>
      <c r="B28" t="s">
        <v>121</v>
      </c>
      <c r="C28" t="s">
        <v>122</v>
      </c>
      <c r="D28" t="s">
        <v>123</v>
      </c>
      <c r="E28" t="s">
        <v>124</v>
      </c>
      <c r="F28" t="s">
        <v>124</v>
      </c>
    </row>
    <row r="29" spans="1:6">
      <c r="A29" s="95">
        <v>44137</v>
      </c>
      <c r="B29" t="s">
        <v>125</v>
      </c>
      <c r="C29" t="s">
        <v>126</v>
      </c>
      <c r="D29" t="s">
        <v>127</v>
      </c>
      <c r="E29" t="s">
        <v>128</v>
      </c>
      <c r="F29" t="s">
        <v>128</v>
      </c>
    </row>
    <row r="30" spans="1:6">
      <c r="A30" s="95">
        <v>44138</v>
      </c>
      <c r="B30" t="s">
        <v>129</v>
      </c>
      <c r="C30" t="s">
        <v>130</v>
      </c>
      <c r="D30" t="s">
        <v>131</v>
      </c>
      <c r="E30" t="s">
        <v>132</v>
      </c>
      <c r="F30" t="s">
        <v>132</v>
      </c>
    </row>
    <row r="31" spans="1:6">
      <c r="A31" s="95">
        <v>44139</v>
      </c>
      <c r="B31" t="s">
        <v>133</v>
      </c>
      <c r="C31" t="s">
        <v>134</v>
      </c>
      <c r="D31" t="s">
        <v>135</v>
      </c>
      <c r="E31" t="s">
        <v>136</v>
      </c>
      <c r="F31" t="s">
        <v>136</v>
      </c>
    </row>
    <row r="32" spans="1:6">
      <c r="A32" s="95">
        <v>44140</v>
      </c>
      <c r="B32" t="s">
        <v>137</v>
      </c>
      <c r="C32" t="s">
        <v>138</v>
      </c>
      <c r="D32" t="s">
        <v>139</v>
      </c>
      <c r="E32" t="s">
        <v>140</v>
      </c>
      <c r="F32" t="s">
        <v>140</v>
      </c>
    </row>
    <row r="33" spans="1:6">
      <c r="A33" s="95">
        <v>44141</v>
      </c>
      <c r="B33" t="s">
        <v>141</v>
      </c>
      <c r="C33" t="s">
        <v>142</v>
      </c>
      <c r="D33" t="s">
        <v>143</v>
      </c>
      <c r="E33" t="s">
        <v>144</v>
      </c>
      <c r="F33" t="s">
        <v>144</v>
      </c>
    </row>
    <row r="34" spans="1:6">
      <c r="A34" s="95">
        <v>44142</v>
      </c>
      <c r="B34" t="s">
        <v>144</v>
      </c>
      <c r="C34" t="s">
        <v>145</v>
      </c>
      <c r="D34" t="s">
        <v>146</v>
      </c>
      <c r="E34" t="s">
        <v>147</v>
      </c>
      <c r="F34" t="s">
        <v>147</v>
      </c>
    </row>
    <row r="35" spans="1:6">
      <c r="A35" s="95">
        <v>44143</v>
      </c>
      <c r="B35" t="s">
        <v>147</v>
      </c>
      <c r="C35" t="s">
        <v>148</v>
      </c>
      <c r="D35" t="s">
        <v>149</v>
      </c>
      <c r="E35" t="s">
        <v>150</v>
      </c>
      <c r="F35" t="s">
        <v>150</v>
      </c>
    </row>
    <row r="36" spans="1:6">
      <c r="A36" s="95">
        <v>44144</v>
      </c>
      <c r="B36" t="s">
        <v>151</v>
      </c>
      <c r="C36" t="s">
        <v>152</v>
      </c>
      <c r="D36" t="s">
        <v>153</v>
      </c>
      <c r="E36" t="s">
        <v>154</v>
      </c>
      <c r="F36" t="s">
        <v>154</v>
      </c>
    </row>
    <row r="37" spans="1:6">
      <c r="A37" s="95">
        <v>44145</v>
      </c>
      <c r="B37" t="s">
        <v>155</v>
      </c>
      <c r="C37" t="s">
        <v>156</v>
      </c>
      <c r="D37" t="s">
        <v>157</v>
      </c>
      <c r="E37" t="s">
        <v>158</v>
      </c>
      <c r="F37" t="s">
        <v>158</v>
      </c>
    </row>
    <row r="38" spans="1:6">
      <c r="A38" s="95">
        <v>44146</v>
      </c>
      <c r="B38" t="s">
        <v>159</v>
      </c>
      <c r="C38" t="s">
        <v>160</v>
      </c>
      <c r="D38" t="s">
        <v>161</v>
      </c>
      <c r="E38" t="s">
        <v>162</v>
      </c>
      <c r="F38" t="s">
        <v>162</v>
      </c>
    </row>
    <row r="39" spans="1:6">
      <c r="A39" s="95">
        <v>44147</v>
      </c>
      <c r="B39" t="s">
        <v>163</v>
      </c>
      <c r="C39" t="s">
        <v>164</v>
      </c>
      <c r="D39" t="s">
        <v>165</v>
      </c>
      <c r="E39" t="s">
        <v>166</v>
      </c>
      <c r="F39" t="s">
        <v>166</v>
      </c>
    </row>
    <row r="40" spans="1:6">
      <c r="A40" s="95">
        <v>44148</v>
      </c>
      <c r="B40" t="s">
        <v>167</v>
      </c>
      <c r="C40" t="s">
        <v>168</v>
      </c>
      <c r="D40" t="s">
        <v>169</v>
      </c>
      <c r="E40" t="s">
        <v>170</v>
      </c>
      <c r="F40" t="s">
        <v>170</v>
      </c>
    </row>
    <row r="41" spans="1:6">
      <c r="A41" s="95">
        <v>44149</v>
      </c>
      <c r="B41" t="s">
        <v>170</v>
      </c>
      <c r="C41" t="s">
        <v>170</v>
      </c>
      <c r="D41" t="s">
        <v>171</v>
      </c>
      <c r="E41" t="s">
        <v>172</v>
      </c>
      <c r="F41" t="s">
        <v>172</v>
      </c>
    </row>
    <row r="42" spans="1:6">
      <c r="A42" s="95">
        <v>44150</v>
      </c>
      <c r="B42" t="s">
        <v>172</v>
      </c>
      <c r="C42" t="s">
        <v>173</v>
      </c>
      <c r="D42" t="s">
        <v>174</v>
      </c>
      <c r="E42" t="s">
        <v>175</v>
      </c>
      <c r="F42" t="s">
        <v>175</v>
      </c>
    </row>
    <row r="43" spans="1:6">
      <c r="A43" s="95">
        <v>44151</v>
      </c>
      <c r="B43" t="s">
        <v>176</v>
      </c>
      <c r="C43" t="s">
        <v>177</v>
      </c>
      <c r="D43" t="s">
        <v>178</v>
      </c>
      <c r="E43" t="s">
        <v>179</v>
      </c>
      <c r="F43" t="s">
        <v>179</v>
      </c>
    </row>
    <row r="44" spans="1:6">
      <c r="A44" s="95">
        <v>44152</v>
      </c>
      <c r="B44" t="s">
        <v>180</v>
      </c>
      <c r="C44" t="s">
        <v>181</v>
      </c>
      <c r="D44" t="s">
        <v>182</v>
      </c>
      <c r="E44" t="s">
        <v>183</v>
      </c>
      <c r="F44" t="s">
        <v>183</v>
      </c>
    </row>
    <row r="45" spans="1:6">
      <c r="A45" s="95">
        <v>44153</v>
      </c>
      <c r="B45" t="s">
        <v>184</v>
      </c>
      <c r="C45" t="s">
        <v>185</v>
      </c>
      <c r="D45" t="s">
        <v>186</v>
      </c>
      <c r="E45" t="s">
        <v>187</v>
      </c>
      <c r="F45" t="s">
        <v>187</v>
      </c>
    </row>
    <row r="46" spans="1:6">
      <c r="A46" s="95">
        <v>44154</v>
      </c>
      <c r="B46" t="s">
        <v>188</v>
      </c>
      <c r="C46" t="s">
        <v>189</v>
      </c>
      <c r="D46" t="s">
        <v>190</v>
      </c>
      <c r="E46" t="s">
        <v>191</v>
      </c>
      <c r="F46" t="s">
        <v>191</v>
      </c>
    </row>
    <row r="47" spans="1:6">
      <c r="A47" s="95">
        <v>44155</v>
      </c>
      <c r="B47" t="s">
        <v>192</v>
      </c>
      <c r="C47" t="s">
        <v>193</v>
      </c>
      <c r="D47" t="s">
        <v>194</v>
      </c>
      <c r="E47" t="s">
        <v>195</v>
      </c>
      <c r="F47" t="s">
        <v>195</v>
      </c>
    </row>
    <row r="48" spans="1:6">
      <c r="A48" s="95">
        <v>44156</v>
      </c>
      <c r="B48" t="s">
        <v>196</v>
      </c>
      <c r="C48" t="s">
        <v>197</v>
      </c>
      <c r="D48" t="s">
        <v>198</v>
      </c>
      <c r="E48" t="s">
        <v>199</v>
      </c>
      <c r="F48" t="s">
        <v>199</v>
      </c>
    </row>
    <row r="49" spans="1:6">
      <c r="A49" s="95">
        <v>44157</v>
      </c>
      <c r="B49" t="s">
        <v>199</v>
      </c>
      <c r="C49" t="s">
        <v>200</v>
      </c>
      <c r="D49" t="s">
        <v>201</v>
      </c>
      <c r="E49" t="s">
        <v>202</v>
      </c>
      <c r="F49" t="s">
        <v>202</v>
      </c>
    </row>
    <row r="50" spans="1:6">
      <c r="A50" s="95">
        <v>44158</v>
      </c>
      <c r="B50" t="s">
        <v>203</v>
      </c>
      <c r="C50" t="s">
        <v>204</v>
      </c>
      <c r="D50" t="s">
        <v>205</v>
      </c>
      <c r="E50" t="s">
        <v>206</v>
      </c>
      <c r="F50" t="s">
        <v>206</v>
      </c>
    </row>
    <row r="51" spans="1:6">
      <c r="A51" s="95">
        <v>44159</v>
      </c>
      <c r="B51" t="s">
        <v>207</v>
      </c>
      <c r="C51" t="s">
        <v>208</v>
      </c>
      <c r="D51" t="s">
        <v>209</v>
      </c>
      <c r="E51" t="s">
        <v>210</v>
      </c>
      <c r="F51" t="s">
        <v>210</v>
      </c>
    </row>
    <row r="52" spans="1:6">
      <c r="A52" s="95">
        <v>44160</v>
      </c>
      <c r="B52" t="s">
        <v>211</v>
      </c>
      <c r="C52" t="s">
        <v>212</v>
      </c>
      <c r="D52" t="s">
        <v>213</v>
      </c>
      <c r="E52" t="s">
        <v>214</v>
      </c>
      <c r="F52" t="s">
        <v>214</v>
      </c>
    </row>
    <row r="53" spans="1:6">
      <c r="A53" s="95">
        <v>44161</v>
      </c>
      <c r="B53" t="s">
        <v>215</v>
      </c>
      <c r="C53" t="s">
        <v>216</v>
      </c>
      <c r="D53" t="s">
        <v>217</v>
      </c>
      <c r="E53" t="s">
        <v>218</v>
      </c>
      <c r="F53" t="s">
        <v>218</v>
      </c>
    </row>
    <row r="54" spans="1:6">
      <c r="A54" s="95">
        <v>44162</v>
      </c>
      <c r="B54" t="s">
        <v>219</v>
      </c>
      <c r="C54" t="s">
        <v>220</v>
      </c>
      <c r="D54" t="s">
        <v>221</v>
      </c>
      <c r="E54" t="s">
        <v>222</v>
      </c>
      <c r="F54" t="s">
        <v>222</v>
      </c>
    </row>
    <row r="55" spans="1:6">
      <c r="A55" s="95">
        <v>44163</v>
      </c>
      <c r="B55" t="s">
        <v>223</v>
      </c>
      <c r="C55" t="s">
        <v>224</v>
      </c>
      <c r="D55" t="s">
        <v>225</v>
      </c>
      <c r="E55" t="s">
        <v>226</v>
      </c>
      <c r="F55" t="s">
        <v>226</v>
      </c>
    </row>
    <row r="56" spans="1:6">
      <c r="A56" s="95">
        <v>44164</v>
      </c>
      <c r="B56" t="s">
        <v>227</v>
      </c>
      <c r="C56" t="s">
        <v>228</v>
      </c>
      <c r="D56" t="s">
        <v>229</v>
      </c>
      <c r="E56" t="s">
        <v>230</v>
      </c>
      <c r="F56" t="s">
        <v>230</v>
      </c>
    </row>
    <row r="57" spans="1:6">
      <c r="A57" s="95">
        <v>44165</v>
      </c>
      <c r="B57" t="s">
        <v>231</v>
      </c>
      <c r="C57" t="s">
        <v>232</v>
      </c>
      <c r="D57" t="s">
        <v>231</v>
      </c>
      <c r="E57" t="s">
        <v>233</v>
      </c>
      <c r="F57" t="s">
        <v>233</v>
      </c>
    </row>
    <row r="58" spans="1:6">
      <c r="A58" s="95">
        <v>44166</v>
      </c>
      <c r="B58" t="s">
        <v>234</v>
      </c>
      <c r="C58" t="s">
        <v>235</v>
      </c>
      <c r="D58" t="s">
        <v>236</v>
      </c>
      <c r="E58" t="s">
        <v>237</v>
      </c>
      <c r="F58" t="s">
        <v>237</v>
      </c>
    </row>
    <row r="59" spans="1:6">
      <c r="A59" s="95">
        <v>44167</v>
      </c>
      <c r="B59" t="s">
        <v>238</v>
      </c>
      <c r="C59" t="s">
        <v>239</v>
      </c>
      <c r="D59" t="s">
        <v>240</v>
      </c>
      <c r="E59" t="s">
        <v>241</v>
      </c>
      <c r="F59" t="s">
        <v>241</v>
      </c>
    </row>
    <row r="60" spans="1:6">
      <c r="A60" s="95">
        <v>44168</v>
      </c>
      <c r="B60" t="s">
        <v>242</v>
      </c>
      <c r="C60" t="s">
        <v>243</v>
      </c>
      <c r="D60" t="s">
        <v>244</v>
      </c>
      <c r="E60" t="s">
        <v>245</v>
      </c>
      <c r="F60" t="s">
        <v>245</v>
      </c>
    </row>
    <row r="61" spans="1:6">
      <c r="A61" s="95">
        <v>44169</v>
      </c>
      <c r="B61" t="s">
        <v>246</v>
      </c>
      <c r="C61" t="s">
        <v>247</v>
      </c>
      <c r="D61" t="s">
        <v>248</v>
      </c>
      <c r="E61" t="s">
        <v>249</v>
      </c>
      <c r="F61" t="s">
        <v>249</v>
      </c>
    </row>
    <row r="62" spans="1:6">
      <c r="A62" s="95">
        <v>44170</v>
      </c>
      <c r="B62" t="s">
        <v>250</v>
      </c>
      <c r="C62" t="s">
        <v>251</v>
      </c>
      <c r="D62" t="s">
        <v>252</v>
      </c>
      <c r="E62" t="s">
        <v>253</v>
      </c>
      <c r="F62" t="s">
        <v>253</v>
      </c>
    </row>
    <row r="63" spans="1:6">
      <c r="A63" s="95">
        <v>44171</v>
      </c>
      <c r="B63" t="s">
        <v>254</v>
      </c>
      <c r="C63" t="s">
        <v>255</v>
      </c>
      <c r="D63" t="s">
        <v>256</v>
      </c>
      <c r="E63" t="s">
        <v>257</v>
      </c>
      <c r="F63" t="s">
        <v>257</v>
      </c>
    </row>
    <row r="64" spans="1:6">
      <c r="A64" s="95">
        <v>44172</v>
      </c>
      <c r="B64" t="s">
        <v>258</v>
      </c>
      <c r="C64" t="s">
        <v>259</v>
      </c>
      <c r="D64" t="s">
        <v>260</v>
      </c>
      <c r="E64" t="s">
        <v>261</v>
      </c>
      <c r="F64" t="s">
        <v>261</v>
      </c>
    </row>
    <row r="65" spans="1:6">
      <c r="A65" s="95">
        <v>44173</v>
      </c>
      <c r="B65" t="s">
        <v>262</v>
      </c>
      <c r="C65" t="s">
        <v>263</v>
      </c>
      <c r="D65" t="s">
        <v>264</v>
      </c>
      <c r="E65" t="s">
        <v>265</v>
      </c>
      <c r="F65" t="s">
        <v>265</v>
      </c>
    </row>
    <row r="66" spans="1:6">
      <c r="A66" s="95">
        <v>44174</v>
      </c>
      <c r="B66" t="s">
        <v>266</v>
      </c>
      <c r="C66" t="s">
        <v>267</v>
      </c>
      <c r="D66" t="s">
        <v>268</v>
      </c>
      <c r="E66" t="s">
        <v>269</v>
      </c>
      <c r="F66" t="s">
        <v>269</v>
      </c>
    </row>
    <row r="67" spans="1:6">
      <c r="A67" s="95">
        <v>44175</v>
      </c>
      <c r="B67" t="s">
        <v>270</v>
      </c>
      <c r="C67" t="s">
        <v>270</v>
      </c>
      <c r="D67" t="s">
        <v>271</v>
      </c>
      <c r="E67" t="s">
        <v>272</v>
      </c>
      <c r="F67" t="s">
        <v>272</v>
      </c>
    </row>
    <row r="68" spans="1:6">
      <c r="A68" s="95">
        <v>44176</v>
      </c>
      <c r="B68" t="s">
        <v>273</v>
      </c>
      <c r="C68" t="s">
        <v>274</v>
      </c>
      <c r="D68" t="s">
        <v>275</v>
      </c>
      <c r="E68" t="s">
        <v>276</v>
      </c>
      <c r="F68" t="s">
        <v>276</v>
      </c>
    </row>
    <row r="69" spans="1:6">
      <c r="A69" s="95">
        <v>44177</v>
      </c>
      <c r="B69" t="s">
        <v>277</v>
      </c>
      <c r="C69" t="s">
        <v>278</v>
      </c>
      <c r="D69" t="s">
        <v>279</v>
      </c>
      <c r="E69" t="s">
        <v>280</v>
      </c>
      <c r="F69" t="s">
        <v>280</v>
      </c>
    </row>
    <row r="70" spans="1:6">
      <c r="A70" s="95">
        <v>44178</v>
      </c>
      <c r="B70" t="s">
        <v>281</v>
      </c>
      <c r="C70" t="s">
        <v>282</v>
      </c>
      <c r="D70" t="s">
        <v>283</v>
      </c>
      <c r="E70" t="s">
        <v>284</v>
      </c>
      <c r="F70" t="s">
        <v>284</v>
      </c>
    </row>
    <row r="71" spans="1:6">
      <c r="A71" s="95">
        <v>44179</v>
      </c>
      <c r="B71" t="s">
        <v>285</v>
      </c>
      <c r="C71" t="s">
        <v>286</v>
      </c>
      <c r="D71" t="s">
        <v>287</v>
      </c>
      <c r="E71" t="s">
        <v>288</v>
      </c>
      <c r="F71" t="s">
        <v>288</v>
      </c>
    </row>
    <row r="72" spans="1:6">
      <c r="A72" s="95">
        <v>44180</v>
      </c>
      <c r="B72" t="s">
        <v>289</v>
      </c>
      <c r="C72" t="s">
        <v>290</v>
      </c>
      <c r="D72" t="s">
        <v>291</v>
      </c>
      <c r="E72" t="s">
        <v>292</v>
      </c>
      <c r="F72" t="s">
        <v>292</v>
      </c>
    </row>
    <row r="73" spans="1:6">
      <c r="A73" s="95">
        <v>44181</v>
      </c>
      <c r="B73" t="s">
        <v>293</v>
      </c>
      <c r="C73" t="s">
        <v>294</v>
      </c>
      <c r="D73" t="s">
        <v>295</v>
      </c>
      <c r="E73" t="s">
        <v>296</v>
      </c>
      <c r="F73" t="s">
        <v>296</v>
      </c>
    </row>
    <row r="74" spans="1:6">
      <c r="A74" s="95">
        <v>44182</v>
      </c>
      <c r="B74" t="s">
        <v>297</v>
      </c>
      <c r="C74" t="s">
        <v>298</v>
      </c>
      <c r="D74" t="s">
        <v>299</v>
      </c>
      <c r="E74" t="s">
        <v>300</v>
      </c>
      <c r="F74" t="s">
        <v>300</v>
      </c>
    </row>
    <row r="75" spans="1:6">
      <c r="A75" s="95">
        <v>44183</v>
      </c>
      <c r="B75" t="s">
        <v>301</v>
      </c>
      <c r="C75" t="s">
        <v>302</v>
      </c>
      <c r="D75" t="s">
        <v>303</v>
      </c>
      <c r="E75" t="s">
        <v>304</v>
      </c>
      <c r="F75" t="s">
        <v>304</v>
      </c>
    </row>
    <row r="76" spans="1:6">
      <c r="A76" s="95">
        <v>44184</v>
      </c>
      <c r="B76" t="s">
        <v>305</v>
      </c>
      <c r="C76" t="s">
        <v>306</v>
      </c>
      <c r="D76" t="s">
        <v>307</v>
      </c>
      <c r="E76" t="s">
        <v>308</v>
      </c>
      <c r="F76" t="s">
        <v>308</v>
      </c>
    </row>
    <row r="77" spans="1:6">
      <c r="A77" s="95">
        <v>44185</v>
      </c>
      <c r="B77" t="s">
        <v>309</v>
      </c>
      <c r="C77" t="s">
        <v>310</v>
      </c>
      <c r="D77" t="s">
        <v>311</v>
      </c>
      <c r="E77" t="s">
        <v>312</v>
      </c>
      <c r="F77" t="s">
        <v>312</v>
      </c>
    </row>
    <row r="78" spans="1:6">
      <c r="A78" s="95">
        <v>44186</v>
      </c>
      <c r="B78" t="s">
        <v>313</v>
      </c>
      <c r="C78" t="s">
        <v>314</v>
      </c>
      <c r="D78" t="s">
        <v>315</v>
      </c>
      <c r="E78" t="s">
        <v>316</v>
      </c>
      <c r="F78" t="s">
        <v>316</v>
      </c>
    </row>
    <row r="79" spans="1:6">
      <c r="A79" s="95">
        <v>44187</v>
      </c>
      <c r="B79" t="s">
        <v>317</v>
      </c>
      <c r="C79" t="s">
        <v>318</v>
      </c>
      <c r="D79" t="s">
        <v>319</v>
      </c>
      <c r="E79" t="s">
        <v>320</v>
      </c>
      <c r="F79" t="s">
        <v>320</v>
      </c>
    </row>
    <row r="80" spans="1:6">
      <c r="A80" s="95">
        <v>44188</v>
      </c>
      <c r="B80" t="s">
        <v>321</v>
      </c>
      <c r="C80" t="s">
        <v>322</v>
      </c>
      <c r="D80" t="s">
        <v>323</v>
      </c>
      <c r="E80" t="s">
        <v>324</v>
      </c>
      <c r="F80" t="s">
        <v>324</v>
      </c>
    </row>
    <row r="81" spans="1:6">
      <c r="A81" s="95">
        <v>44189</v>
      </c>
      <c r="B81" t="s">
        <v>325</v>
      </c>
      <c r="C81" t="s">
        <v>326</v>
      </c>
      <c r="D81" t="s">
        <v>327</v>
      </c>
      <c r="E81" t="s">
        <v>328</v>
      </c>
      <c r="F81" t="s">
        <v>328</v>
      </c>
    </row>
    <row r="82" spans="1:6">
      <c r="A82" s="95">
        <v>44190</v>
      </c>
      <c r="B82" t="s">
        <v>329</v>
      </c>
      <c r="C82" t="s">
        <v>330</v>
      </c>
      <c r="D82" t="s">
        <v>331</v>
      </c>
      <c r="E82" t="s">
        <v>332</v>
      </c>
      <c r="F82" t="s">
        <v>332</v>
      </c>
    </row>
    <row r="83" spans="1:6">
      <c r="A83" s="95">
        <v>44192</v>
      </c>
      <c r="B83" t="s">
        <v>333</v>
      </c>
      <c r="C83" t="s">
        <v>334</v>
      </c>
      <c r="D83" t="s">
        <v>335</v>
      </c>
      <c r="E83" t="s">
        <v>336</v>
      </c>
      <c r="F83" t="s">
        <v>336</v>
      </c>
    </row>
    <row r="84" spans="1:6">
      <c r="A84" s="95">
        <v>44193</v>
      </c>
      <c r="B84" t="s">
        <v>337</v>
      </c>
      <c r="C84" t="s">
        <v>338</v>
      </c>
      <c r="D84" t="s">
        <v>339</v>
      </c>
      <c r="E84" t="s">
        <v>340</v>
      </c>
      <c r="F84" t="s">
        <v>340</v>
      </c>
    </row>
    <row r="85" spans="1:6">
      <c r="A85" s="95">
        <v>44194</v>
      </c>
      <c r="B85" t="s">
        <v>341</v>
      </c>
      <c r="C85" t="s">
        <v>342</v>
      </c>
      <c r="D85" t="s">
        <v>343</v>
      </c>
      <c r="E85" t="s">
        <v>344</v>
      </c>
      <c r="F85" t="s">
        <v>344</v>
      </c>
    </row>
    <row r="86" spans="1:6">
      <c r="A86" s="95">
        <v>44195</v>
      </c>
      <c r="B86" t="s">
        <v>345</v>
      </c>
      <c r="C86" t="s">
        <v>346</v>
      </c>
      <c r="D86" t="s">
        <v>345</v>
      </c>
      <c r="E86" t="s">
        <v>347</v>
      </c>
      <c r="F86" t="s">
        <v>347</v>
      </c>
    </row>
    <row r="87" spans="1:6">
      <c r="A87" s="95">
        <v>44196</v>
      </c>
      <c r="B87" t="s">
        <v>348</v>
      </c>
      <c r="C87" t="s">
        <v>349</v>
      </c>
      <c r="D87" t="s">
        <v>350</v>
      </c>
      <c r="E87" t="s">
        <v>351</v>
      </c>
      <c r="F87" t="s">
        <v>351</v>
      </c>
    </row>
    <row r="88" spans="1:6">
      <c r="A88" s="95">
        <v>44197</v>
      </c>
      <c r="B88" t="s">
        <v>352</v>
      </c>
      <c r="C88" t="s">
        <v>353</v>
      </c>
      <c r="D88" t="s">
        <v>354</v>
      </c>
      <c r="E88" t="s">
        <v>355</v>
      </c>
      <c r="F88" t="s">
        <v>355</v>
      </c>
    </row>
    <row r="89" spans="1:6">
      <c r="A89" s="95">
        <v>44199</v>
      </c>
      <c r="B89" t="s">
        <v>356</v>
      </c>
      <c r="C89" t="s">
        <v>357</v>
      </c>
      <c r="D89" t="s">
        <v>358</v>
      </c>
      <c r="E89" t="s">
        <v>359</v>
      </c>
      <c r="F89" t="s">
        <v>359</v>
      </c>
    </row>
    <row r="90" spans="1:6">
      <c r="A90" s="95">
        <v>44200</v>
      </c>
      <c r="B90" t="s">
        <v>360</v>
      </c>
      <c r="C90" t="s">
        <v>361</v>
      </c>
      <c r="D90" t="s">
        <v>362</v>
      </c>
      <c r="E90" t="s">
        <v>363</v>
      </c>
      <c r="F90" t="s">
        <v>363</v>
      </c>
    </row>
    <row r="91" spans="1:6">
      <c r="A91" s="95">
        <v>44201</v>
      </c>
      <c r="B91" t="s">
        <v>364</v>
      </c>
      <c r="C91" t="s">
        <v>365</v>
      </c>
      <c r="D91" t="s">
        <v>366</v>
      </c>
      <c r="E91" t="s">
        <v>367</v>
      </c>
      <c r="F91" t="s">
        <v>367</v>
      </c>
    </row>
    <row r="92" spans="1:6">
      <c r="A92" s="95">
        <v>44202</v>
      </c>
      <c r="B92" t="s">
        <v>368</v>
      </c>
      <c r="C92" t="s">
        <v>369</v>
      </c>
      <c r="D92" t="s">
        <v>370</v>
      </c>
      <c r="E92" t="s">
        <v>371</v>
      </c>
      <c r="F92" t="s">
        <v>371</v>
      </c>
    </row>
    <row r="93" spans="1:6">
      <c r="A93" s="95">
        <v>44203</v>
      </c>
      <c r="B93" t="s">
        <v>372</v>
      </c>
      <c r="C93" t="s">
        <v>373</v>
      </c>
      <c r="D93" t="s">
        <v>374</v>
      </c>
      <c r="E93" t="s">
        <v>375</v>
      </c>
      <c r="F93" t="s">
        <v>375</v>
      </c>
    </row>
    <row r="94" spans="1:6">
      <c r="A94" s="95">
        <v>44204</v>
      </c>
      <c r="B94" t="s">
        <v>376</v>
      </c>
      <c r="C94" t="s">
        <v>377</v>
      </c>
      <c r="D94" t="s">
        <v>378</v>
      </c>
      <c r="E94" t="s">
        <v>379</v>
      </c>
      <c r="F94" t="s">
        <v>379</v>
      </c>
    </row>
    <row r="95" spans="1:6">
      <c r="A95" s="95">
        <v>44205</v>
      </c>
      <c r="B95" t="s">
        <v>380</v>
      </c>
      <c r="C95" t="s">
        <v>381</v>
      </c>
      <c r="D95" t="s">
        <v>382</v>
      </c>
      <c r="E95" t="s">
        <v>383</v>
      </c>
      <c r="F95" t="s">
        <v>383</v>
      </c>
    </row>
    <row r="96" spans="1:6">
      <c r="A96" s="95">
        <v>44206</v>
      </c>
      <c r="B96" t="s">
        <v>384</v>
      </c>
      <c r="C96" t="s">
        <v>385</v>
      </c>
      <c r="D96" t="s">
        <v>386</v>
      </c>
      <c r="E96" t="s">
        <v>387</v>
      </c>
      <c r="F96" t="s">
        <v>387</v>
      </c>
    </row>
    <row r="97" spans="1:6">
      <c r="A97" s="95">
        <v>44207</v>
      </c>
      <c r="B97" t="s">
        <v>388</v>
      </c>
      <c r="C97" t="s">
        <v>388</v>
      </c>
      <c r="D97" t="s">
        <v>389</v>
      </c>
      <c r="E97" t="s">
        <v>390</v>
      </c>
      <c r="F97" t="s">
        <v>390</v>
      </c>
    </row>
    <row r="98" spans="1:6">
      <c r="A98" s="95">
        <v>44208</v>
      </c>
      <c r="B98" t="s">
        <v>391</v>
      </c>
      <c r="C98" t="s">
        <v>392</v>
      </c>
      <c r="D98" t="s">
        <v>393</v>
      </c>
      <c r="E98" t="s">
        <v>394</v>
      </c>
      <c r="F98" t="s">
        <v>394</v>
      </c>
    </row>
    <row r="99" spans="1:6">
      <c r="A99" s="95">
        <v>44209</v>
      </c>
      <c r="B99" t="s">
        <v>395</v>
      </c>
      <c r="C99" t="s">
        <v>396</v>
      </c>
      <c r="D99" t="s">
        <v>397</v>
      </c>
      <c r="E99" t="s">
        <v>398</v>
      </c>
      <c r="F99" t="s">
        <v>398</v>
      </c>
    </row>
    <row r="100" spans="1:6">
      <c r="A100" s="95">
        <v>44210</v>
      </c>
      <c r="B100" t="s">
        <v>399</v>
      </c>
      <c r="C100" t="s">
        <v>400</v>
      </c>
      <c r="D100" t="s">
        <v>401</v>
      </c>
      <c r="E100" t="s">
        <v>402</v>
      </c>
      <c r="F100" t="s">
        <v>402</v>
      </c>
    </row>
    <row r="101" spans="1:6">
      <c r="A101" s="95">
        <v>44211</v>
      </c>
      <c r="B101" t="s">
        <v>403</v>
      </c>
      <c r="C101" t="s">
        <v>404</v>
      </c>
      <c r="D101" t="s">
        <v>405</v>
      </c>
      <c r="E101" t="s">
        <v>406</v>
      </c>
      <c r="F101" t="s">
        <v>406</v>
      </c>
    </row>
    <row r="102" spans="1:6">
      <c r="A102" s="95">
        <v>44212</v>
      </c>
      <c r="B102" t="s">
        <v>407</v>
      </c>
      <c r="C102" t="s">
        <v>408</v>
      </c>
      <c r="D102" t="s">
        <v>409</v>
      </c>
      <c r="E102" t="s">
        <v>410</v>
      </c>
      <c r="F102" t="s">
        <v>410</v>
      </c>
    </row>
    <row r="103" spans="1:6">
      <c r="A103" s="95">
        <v>44213</v>
      </c>
      <c r="B103" t="s">
        <v>411</v>
      </c>
      <c r="C103" t="s">
        <v>412</v>
      </c>
      <c r="D103" t="s">
        <v>413</v>
      </c>
      <c r="E103" t="s">
        <v>414</v>
      </c>
      <c r="F103" t="s">
        <v>414</v>
      </c>
    </row>
    <row r="104" spans="1:6">
      <c r="A104" s="95">
        <v>44214</v>
      </c>
      <c r="B104" t="s">
        <v>415</v>
      </c>
      <c r="C104" t="s">
        <v>416</v>
      </c>
      <c r="D104" t="s">
        <v>417</v>
      </c>
      <c r="E104" t="s">
        <v>418</v>
      </c>
      <c r="F104" t="s">
        <v>418</v>
      </c>
    </row>
    <row r="105" spans="1:6">
      <c r="A105" s="95">
        <v>44215</v>
      </c>
      <c r="B105" t="s">
        <v>419</v>
      </c>
      <c r="C105" t="s">
        <v>420</v>
      </c>
      <c r="D105" t="s">
        <v>421</v>
      </c>
      <c r="E105" t="s">
        <v>421</v>
      </c>
      <c r="F105" t="s">
        <v>421</v>
      </c>
    </row>
    <row r="106" spans="1:6">
      <c r="A106" s="95">
        <v>44216</v>
      </c>
      <c r="B106" t="s">
        <v>422</v>
      </c>
      <c r="C106" t="s">
        <v>423</v>
      </c>
      <c r="D106" t="s">
        <v>424</v>
      </c>
      <c r="E106" t="s">
        <v>425</v>
      </c>
      <c r="F106" t="s">
        <v>425</v>
      </c>
    </row>
    <row r="107" spans="1:6">
      <c r="A107" s="95">
        <v>44217</v>
      </c>
      <c r="B107" t="s">
        <v>426</v>
      </c>
      <c r="C107" t="s">
        <v>427</v>
      </c>
      <c r="D107" t="s">
        <v>428</v>
      </c>
      <c r="E107" t="s">
        <v>429</v>
      </c>
      <c r="F107" t="s">
        <v>429</v>
      </c>
    </row>
    <row r="108" spans="1:6">
      <c r="A108" s="95">
        <v>44218</v>
      </c>
      <c r="B108" t="s">
        <v>430</v>
      </c>
      <c r="C108" t="s">
        <v>431</v>
      </c>
      <c r="D108" t="s">
        <v>432</v>
      </c>
      <c r="E108" t="s">
        <v>433</v>
      </c>
      <c r="F108" t="s">
        <v>433</v>
      </c>
    </row>
    <row r="109" spans="1:6">
      <c r="A109" s="95">
        <v>44219</v>
      </c>
      <c r="B109" t="s">
        <v>434</v>
      </c>
      <c r="C109" t="s">
        <v>435</v>
      </c>
      <c r="D109" t="s">
        <v>436</v>
      </c>
      <c r="E109" t="s">
        <v>437</v>
      </c>
      <c r="F109" t="s">
        <v>437</v>
      </c>
    </row>
    <row r="110" spans="1:6">
      <c r="A110" s="95">
        <v>44220</v>
      </c>
      <c r="B110" t="s">
        <v>438</v>
      </c>
      <c r="C110" t="s">
        <v>439</v>
      </c>
      <c r="D110" t="s">
        <v>440</v>
      </c>
      <c r="E110" t="s">
        <v>441</v>
      </c>
      <c r="F110" t="s">
        <v>441</v>
      </c>
    </row>
    <row r="111" spans="1:6">
      <c r="A111" s="95">
        <v>44221</v>
      </c>
      <c r="B111" t="s">
        <v>442</v>
      </c>
      <c r="C111" t="s">
        <v>443</v>
      </c>
      <c r="D111" t="s">
        <v>444</v>
      </c>
      <c r="E111" t="s">
        <v>445</v>
      </c>
      <c r="F111" t="s">
        <v>445</v>
      </c>
    </row>
    <row r="112" spans="1:6">
      <c r="A112" s="95">
        <v>44222</v>
      </c>
      <c r="B112" t="s">
        <v>446</v>
      </c>
      <c r="C112" t="s">
        <v>447</v>
      </c>
      <c r="D112" t="s">
        <v>448</v>
      </c>
      <c r="E112" t="s">
        <v>449</v>
      </c>
      <c r="F112" t="s">
        <v>449</v>
      </c>
    </row>
    <row r="113" spans="1:6">
      <c r="A113" s="95">
        <v>44223</v>
      </c>
      <c r="B113" t="s">
        <v>450</v>
      </c>
      <c r="C113" t="s">
        <v>450</v>
      </c>
      <c r="D113" t="s">
        <v>451</v>
      </c>
      <c r="E113" t="s">
        <v>452</v>
      </c>
      <c r="F113" t="s">
        <v>452</v>
      </c>
    </row>
    <row r="114" spans="1:6">
      <c r="A114" s="95">
        <v>44224</v>
      </c>
      <c r="B114" t="s">
        <v>453</v>
      </c>
      <c r="C114" t="s">
        <v>454</v>
      </c>
      <c r="D114" t="s">
        <v>455</v>
      </c>
      <c r="E114" t="s">
        <v>456</v>
      </c>
      <c r="F114" t="s">
        <v>456</v>
      </c>
    </row>
    <row r="115" spans="1:6">
      <c r="A115" s="95">
        <v>44225</v>
      </c>
      <c r="B115" t="s">
        <v>457</v>
      </c>
      <c r="C115" t="s">
        <v>458</v>
      </c>
      <c r="D115" t="s">
        <v>459</v>
      </c>
      <c r="E115" t="s">
        <v>460</v>
      </c>
      <c r="F115" t="s">
        <v>460</v>
      </c>
    </row>
    <row r="116" spans="1:6">
      <c r="A116" s="95">
        <v>44226</v>
      </c>
      <c r="B116" t="s">
        <v>461</v>
      </c>
      <c r="C116" t="s">
        <v>462</v>
      </c>
      <c r="D116" t="s">
        <v>463</v>
      </c>
      <c r="E116" t="s">
        <v>464</v>
      </c>
      <c r="F116" t="s">
        <v>464</v>
      </c>
    </row>
    <row r="117" spans="1:6">
      <c r="A117" s="95">
        <v>44227</v>
      </c>
      <c r="B117" t="s">
        <v>465</v>
      </c>
      <c r="C117" t="s">
        <v>466</v>
      </c>
      <c r="D117" t="s">
        <v>467</v>
      </c>
      <c r="E117" t="s">
        <v>468</v>
      </c>
      <c r="F117" t="s">
        <v>468</v>
      </c>
    </row>
    <row r="118" spans="1:6">
      <c r="A118" s="95">
        <v>44230</v>
      </c>
      <c r="B118" t="s">
        <v>469</v>
      </c>
      <c r="C118" t="s">
        <v>470</v>
      </c>
      <c r="D118" t="s">
        <v>471</v>
      </c>
      <c r="E118" t="s">
        <v>472</v>
      </c>
      <c r="F118" t="s">
        <v>472</v>
      </c>
    </row>
    <row r="119" spans="1:6">
      <c r="A119" s="95">
        <v>44231</v>
      </c>
      <c r="B119" t="s">
        <v>473</v>
      </c>
      <c r="C119" t="s">
        <v>474</v>
      </c>
      <c r="D119" t="s">
        <v>475</v>
      </c>
      <c r="E119" t="s">
        <v>476</v>
      </c>
      <c r="F119" t="s">
        <v>476</v>
      </c>
    </row>
    <row r="120" spans="1:6">
      <c r="A120" s="95">
        <v>44232</v>
      </c>
      <c r="B120" t="s">
        <v>477</v>
      </c>
      <c r="C120" t="s">
        <v>478</v>
      </c>
      <c r="D120" t="s">
        <v>479</v>
      </c>
      <c r="E120" t="s">
        <v>480</v>
      </c>
      <c r="F120" t="s">
        <v>480</v>
      </c>
    </row>
    <row r="121" spans="1:6">
      <c r="A121" s="95">
        <v>44233</v>
      </c>
      <c r="B121" t="s">
        <v>481</v>
      </c>
      <c r="C121" t="s">
        <v>482</v>
      </c>
      <c r="D121" t="s">
        <v>481</v>
      </c>
      <c r="E121" t="s">
        <v>483</v>
      </c>
      <c r="F121" t="s">
        <v>483</v>
      </c>
    </row>
    <row r="122" spans="1:6">
      <c r="A122" s="95">
        <v>44234</v>
      </c>
      <c r="B122" t="s">
        <v>484</v>
      </c>
      <c r="C122" t="s">
        <v>485</v>
      </c>
      <c r="D122" t="s">
        <v>486</v>
      </c>
      <c r="E122" t="s">
        <v>487</v>
      </c>
      <c r="F122" t="s">
        <v>487</v>
      </c>
    </row>
    <row r="123" spans="1:6">
      <c r="A123" s="95">
        <v>44235</v>
      </c>
      <c r="B123" t="s">
        <v>488</v>
      </c>
      <c r="C123" t="s">
        <v>489</v>
      </c>
      <c r="D123" t="s">
        <v>490</v>
      </c>
      <c r="E123" t="s">
        <v>491</v>
      </c>
      <c r="F123" t="s">
        <v>491</v>
      </c>
    </row>
    <row r="124" spans="1:6">
      <c r="A124" s="95">
        <v>44236</v>
      </c>
      <c r="B124" t="s">
        <v>492</v>
      </c>
      <c r="C124" t="s">
        <v>493</v>
      </c>
      <c r="D124" t="s">
        <v>494</v>
      </c>
      <c r="E124" t="s">
        <v>495</v>
      </c>
      <c r="F124" t="s">
        <v>495</v>
      </c>
    </row>
    <row r="125" spans="1:6">
      <c r="A125" s="95">
        <v>44237</v>
      </c>
      <c r="B125" t="s">
        <v>496</v>
      </c>
      <c r="C125" t="s">
        <v>497</v>
      </c>
      <c r="D125" t="s">
        <v>498</v>
      </c>
      <c r="E125" t="s">
        <v>499</v>
      </c>
      <c r="F125" t="s">
        <v>499</v>
      </c>
    </row>
    <row r="126" spans="1:6">
      <c r="A126" s="95">
        <v>44238</v>
      </c>
      <c r="B126" t="s">
        <v>500</v>
      </c>
      <c r="C126" t="s">
        <v>501</v>
      </c>
      <c r="D126" t="s">
        <v>502</v>
      </c>
      <c r="E126" t="s">
        <v>503</v>
      </c>
      <c r="F126" t="s">
        <v>503</v>
      </c>
    </row>
    <row r="127" spans="1:6">
      <c r="A127" s="95">
        <v>44239</v>
      </c>
      <c r="B127" t="s">
        <v>504</v>
      </c>
      <c r="C127" t="s">
        <v>505</v>
      </c>
      <c r="D127" t="s">
        <v>506</v>
      </c>
      <c r="E127" t="s">
        <v>507</v>
      </c>
      <c r="F127" t="s">
        <v>507</v>
      </c>
    </row>
    <row r="128" spans="1:6">
      <c r="A128" s="95">
        <v>44241</v>
      </c>
      <c r="B128" t="s">
        <v>508</v>
      </c>
      <c r="C128" t="s">
        <v>509</v>
      </c>
      <c r="D128" t="s">
        <v>508</v>
      </c>
      <c r="E128" t="s">
        <v>510</v>
      </c>
      <c r="F128" t="s">
        <v>510</v>
      </c>
    </row>
    <row r="129" spans="1:6">
      <c r="A129" s="95">
        <v>44242</v>
      </c>
      <c r="B129" t="s">
        <v>511</v>
      </c>
      <c r="C129" t="s">
        <v>512</v>
      </c>
      <c r="D129" t="s">
        <v>513</v>
      </c>
      <c r="E129" t="s">
        <v>514</v>
      </c>
      <c r="F129" t="s">
        <v>514</v>
      </c>
    </row>
    <row r="130" spans="1:6">
      <c r="A130" s="95">
        <v>44243</v>
      </c>
      <c r="B130" t="s">
        <v>515</v>
      </c>
      <c r="C130" t="s">
        <v>516</v>
      </c>
      <c r="D130" t="s">
        <v>517</v>
      </c>
      <c r="E130" t="s">
        <v>518</v>
      </c>
      <c r="F130" t="s">
        <v>518</v>
      </c>
    </row>
    <row r="131" spans="1:6">
      <c r="A131" s="95">
        <v>44244</v>
      </c>
      <c r="B131" t="s">
        <v>519</v>
      </c>
      <c r="C131" t="s">
        <v>520</v>
      </c>
      <c r="D131" t="s">
        <v>521</v>
      </c>
      <c r="E131" t="s">
        <v>522</v>
      </c>
      <c r="F131" t="s">
        <v>522</v>
      </c>
    </row>
    <row r="132" spans="1:6">
      <c r="A132" s="95">
        <v>44245</v>
      </c>
      <c r="B132" t="s">
        <v>523</v>
      </c>
      <c r="C132" t="s">
        <v>524</v>
      </c>
      <c r="D132" t="s">
        <v>525</v>
      </c>
      <c r="E132" t="s">
        <v>526</v>
      </c>
      <c r="F132" t="s">
        <v>526</v>
      </c>
    </row>
    <row r="133" spans="1:6">
      <c r="A133" s="95">
        <v>44246</v>
      </c>
      <c r="B133" t="s">
        <v>527</v>
      </c>
      <c r="C133" t="s">
        <v>528</v>
      </c>
      <c r="D133" t="s">
        <v>529</v>
      </c>
      <c r="E133" t="s">
        <v>530</v>
      </c>
      <c r="F133" t="s">
        <v>530</v>
      </c>
    </row>
    <row r="134" spans="1:6">
      <c r="A134" s="95">
        <v>44247</v>
      </c>
      <c r="B134" t="s">
        <v>531</v>
      </c>
      <c r="C134" t="s">
        <v>532</v>
      </c>
      <c r="D134" t="s">
        <v>533</v>
      </c>
      <c r="E134" t="s">
        <v>534</v>
      </c>
      <c r="F134" t="s">
        <v>534</v>
      </c>
    </row>
    <row r="135" spans="1:6">
      <c r="A135" s="95">
        <v>44248</v>
      </c>
      <c r="B135" t="s">
        <v>535</v>
      </c>
      <c r="C135" t="s">
        <v>536</v>
      </c>
      <c r="D135" t="s">
        <v>537</v>
      </c>
      <c r="E135" t="s">
        <v>538</v>
      </c>
      <c r="F135" t="s">
        <v>538</v>
      </c>
    </row>
    <row r="136" spans="1:6">
      <c r="A136" s="95">
        <v>44249</v>
      </c>
      <c r="B136" t="s">
        <v>539</v>
      </c>
      <c r="C136" t="s">
        <v>540</v>
      </c>
      <c r="D136" t="s">
        <v>541</v>
      </c>
      <c r="E136" t="s">
        <v>542</v>
      </c>
      <c r="F136" t="s">
        <v>542</v>
      </c>
    </row>
    <row r="137" spans="1:6">
      <c r="A137" s="95">
        <v>44250</v>
      </c>
      <c r="B137" t="s">
        <v>543</v>
      </c>
      <c r="C137" t="s">
        <v>543</v>
      </c>
      <c r="D137" t="s">
        <v>544</v>
      </c>
      <c r="E137" t="s">
        <v>545</v>
      </c>
      <c r="F137" t="s">
        <v>545</v>
      </c>
    </row>
    <row r="138" spans="1:6">
      <c r="A138" s="95">
        <v>44251</v>
      </c>
      <c r="B138" t="s">
        <v>546</v>
      </c>
      <c r="C138" t="s">
        <v>547</v>
      </c>
      <c r="D138" t="s">
        <v>548</v>
      </c>
      <c r="E138" t="s">
        <v>549</v>
      </c>
      <c r="F138" t="s">
        <v>549</v>
      </c>
    </row>
    <row r="139" spans="1:6">
      <c r="A139" s="95">
        <v>44252</v>
      </c>
      <c r="B139" t="s">
        <v>550</v>
      </c>
      <c r="C139" t="s">
        <v>551</v>
      </c>
      <c r="D139" t="s">
        <v>552</v>
      </c>
      <c r="E139" t="s">
        <v>552</v>
      </c>
      <c r="F139" t="s">
        <v>552</v>
      </c>
    </row>
    <row r="140" spans="1:6">
      <c r="A140" s="95">
        <v>44253</v>
      </c>
      <c r="B140" t="s">
        <v>553</v>
      </c>
      <c r="C140" t="s">
        <v>554</v>
      </c>
      <c r="D140" t="s">
        <v>555</v>
      </c>
      <c r="E140" t="s">
        <v>556</v>
      </c>
      <c r="F140" t="s">
        <v>556</v>
      </c>
    </row>
    <row r="141" spans="1:6">
      <c r="A141" s="95">
        <v>44254</v>
      </c>
      <c r="B141" t="s">
        <v>557</v>
      </c>
      <c r="C141" t="s">
        <v>558</v>
      </c>
      <c r="D141" t="s">
        <v>559</v>
      </c>
      <c r="E141" t="s">
        <v>560</v>
      </c>
      <c r="F141" t="s">
        <v>560</v>
      </c>
    </row>
    <row r="142" spans="1:6">
      <c r="A142" s="95">
        <v>44255</v>
      </c>
      <c r="B142" t="s">
        <v>561</v>
      </c>
      <c r="C142" t="s">
        <v>562</v>
      </c>
      <c r="D142" t="s">
        <v>563</v>
      </c>
      <c r="E142" t="s">
        <v>564</v>
      </c>
      <c r="F142" t="s">
        <v>564</v>
      </c>
    </row>
    <row r="143" spans="1:6">
      <c r="A143" s="95">
        <v>44256</v>
      </c>
      <c r="B143" t="s">
        <v>565</v>
      </c>
      <c r="C143" t="s">
        <v>566</v>
      </c>
      <c r="D143" t="s">
        <v>567</v>
      </c>
      <c r="E143" t="s">
        <v>568</v>
      </c>
      <c r="F143" t="s">
        <v>568</v>
      </c>
    </row>
    <row r="144" spans="1:6">
      <c r="A144" s="95">
        <v>44257</v>
      </c>
      <c r="B144" t="s">
        <v>569</v>
      </c>
      <c r="C144" t="s">
        <v>570</v>
      </c>
      <c r="D144" t="s">
        <v>571</v>
      </c>
      <c r="E144" t="s">
        <v>572</v>
      </c>
      <c r="F144" t="s">
        <v>572</v>
      </c>
    </row>
    <row r="145" spans="1:6">
      <c r="A145" s="95">
        <v>44258</v>
      </c>
      <c r="B145" t="s">
        <v>573</v>
      </c>
      <c r="C145" t="s">
        <v>574</v>
      </c>
      <c r="D145" t="s">
        <v>575</v>
      </c>
      <c r="E145" t="s">
        <v>576</v>
      </c>
      <c r="F145" t="s">
        <v>576</v>
      </c>
    </row>
    <row r="146" spans="1:6">
      <c r="A146" s="95">
        <v>44259</v>
      </c>
      <c r="B146" t="s">
        <v>577</v>
      </c>
      <c r="C146" t="s">
        <v>578</v>
      </c>
      <c r="D146" t="s">
        <v>579</v>
      </c>
      <c r="E146" t="s">
        <v>580</v>
      </c>
      <c r="F146" t="s">
        <v>580</v>
      </c>
    </row>
    <row r="147" spans="1:6">
      <c r="A147" s="95">
        <v>44260</v>
      </c>
      <c r="B147" t="s">
        <v>581</v>
      </c>
      <c r="C147" t="s">
        <v>582</v>
      </c>
      <c r="D147" t="s">
        <v>583</v>
      </c>
      <c r="E147" t="s">
        <v>584</v>
      </c>
      <c r="F147" t="s">
        <v>584</v>
      </c>
    </row>
    <row r="148" spans="1:6">
      <c r="A148" s="95">
        <v>44261</v>
      </c>
      <c r="B148" t="s">
        <v>585</v>
      </c>
      <c r="C148" t="s">
        <v>586</v>
      </c>
      <c r="D148" t="s">
        <v>587</v>
      </c>
      <c r="E148" t="s">
        <v>588</v>
      </c>
      <c r="F148" t="s">
        <v>588</v>
      </c>
    </row>
    <row r="149" spans="1:6">
      <c r="A149" s="95">
        <v>44262</v>
      </c>
      <c r="B149" t="s">
        <v>589</v>
      </c>
      <c r="C149" t="s">
        <v>590</v>
      </c>
      <c r="D149" t="s">
        <v>589</v>
      </c>
      <c r="E149" t="s">
        <v>591</v>
      </c>
      <c r="F149" t="s">
        <v>591</v>
      </c>
    </row>
    <row r="150" spans="1:6">
      <c r="A150" s="95">
        <v>44263</v>
      </c>
      <c r="B150" t="s">
        <v>592</v>
      </c>
      <c r="C150" t="s">
        <v>593</v>
      </c>
      <c r="D150" t="s">
        <v>594</v>
      </c>
      <c r="E150" t="s">
        <v>595</v>
      </c>
      <c r="F150" t="s">
        <v>595</v>
      </c>
    </row>
    <row r="151" spans="1:6">
      <c r="A151" s="95">
        <v>44264</v>
      </c>
      <c r="B151" t="s">
        <v>596</v>
      </c>
      <c r="C151" t="s">
        <v>597</v>
      </c>
      <c r="D151" t="s">
        <v>598</v>
      </c>
      <c r="E151" t="s">
        <v>597</v>
      </c>
      <c r="F151" t="s">
        <v>597</v>
      </c>
    </row>
    <row r="152" spans="1:6">
      <c r="A152" s="95">
        <v>44265</v>
      </c>
      <c r="B152" t="s">
        <v>599</v>
      </c>
      <c r="C152" t="s">
        <v>600</v>
      </c>
      <c r="D152" t="s">
        <v>601</v>
      </c>
      <c r="E152" t="s">
        <v>602</v>
      </c>
      <c r="F152" t="s">
        <v>602</v>
      </c>
    </row>
    <row r="153" spans="1:6">
      <c r="A153" s="95">
        <v>44266</v>
      </c>
      <c r="B153" t="s">
        <v>603</v>
      </c>
      <c r="C153" t="s">
        <v>604</v>
      </c>
      <c r="D153" t="s">
        <v>605</v>
      </c>
      <c r="E153" t="s">
        <v>606</v>
      </c>
      <c r="F153" t="s">
        <v>606</v>
      </c>
    </row>
    <row r="154" spans="1:6">
      <c r="A154" s="95">
        <v>44268</v>
      </c>
      <c r="B154" t="s">
        <v>607</v>
      </c>
      <c r="C154" t="s">
        <v>608</v>
      </c>
      <c r="D154" t="s">
        <v>609</v>
      </c>
      <c r="E154" t="s">
        <v>610</v>
      </c>
      <c r="F154" t="s">
        <v>610</v>
      </c>
    </row>
    <row r="155" spans="1:6">
      <c r="A155" s="95">
        <v>44269</v>
      </c>
      <c r="B155" t="s">
        <v>611</v>
      </c>
      <c r="C155" t="s">
        <v>612</v>
      </c>
      <c r="D155" t="s">
        <v>613</v>
      </c>
      <c r="E155" t="s">
        <v>613</v>
      </c>
      <c r="F155" t="s">
        <v>613</v>
      </c>
    </row>
    <row r="156" spans="1:6">
      <c r="A156" s="95">
        <v>44270</v>
      </c>
      <c r="B156" t="s">
        <v>614</v>
      </c>
      <c r="C156" t="s">
        <v>615</v>
      </c>
      <c r="D156" t="s">
        <v>616</v>
      </c>
      <c r="E156" t="s">
        <v>617</v>
      </c>
      <c r="F156" t="s">
        <v>617</v>
      </c>
    </row>
    <row r="157" spans="1:6">
      <c r="A157" s="95">
        <v>44271</v>
      </c>
      <c r="B157" t="s">
        <v>618</v>
      </c>
      <c r="C157" t="s">
        <v>619</v>
      </c>
      <c r="D157" t="s">
        <v>620</v>
      </c>
      <c r="E157" t="s">
        <v>621</v>
      </c>
      <c r="F157" t="s">
        <v>621</v>
      </c>
    </row>
    <row r="158" spans="1:6">
      <c r="A158" s="95">
        <v>44272</v>
      </c>
      <c r="B158" t="s">
        <v>622</v>
      </c>
      <c r="C158" t="s">
        <v>623</v>
      </c>
      <c r="D158" t="s">
        <v>624</v>
      </c>
      <c r="E158" t="s">
        <v>625</v>
      </c>
      <c r="F158" t="s">
        <v>625</v>
      </c>
    </row>
    <row r="159" spans="1:6">
      <c r="A159" s="95">
        <v>44273</v>
      </c>
      <c r="B159" t="s">
        <v>626</v>
      </c>
      <c r="C159" t="s">
        <v>627</v>
      </c>
      <c r="D159" t="s">
        <v>628</v>
      </c>
      <c r="E159" t="s">
        <v>629</v>
      </c>
      <c r="F159" t="s">
        <v>629</v>
      </c>
    </row>
    <row r="160" spans="1:6">
      <c r="A160" s="95">
        <v>44274</v>
      </c>
      <c r="B160" t="s">
        <v>630</v>
      </c>
      <c r="C160" t="s">
        <v>631</v>
      </c>
      <c r="D160" t="s">
        <v>632</v>
      </c>
      <c r="E160" t="s">
        <v>633</v>
      </c>
      <c r="F160" t="s">
        <v>633</v>
      </c>
    </row>
    <row r="161" spans="1:6">
      <c r="A161" s="95">
        <v>44275</v>
      </c>
      <c r="B161" t="s">
        <v>634</v>
      </c>
      <c r="C161" t="s">
        <v>635</v>
      </c>
      <c r="D161" t="s">
        <v>636</v>
      </c>
      <c r="E161" t="s">
        <v>637</v>
      </c>
      <c r="F161" t="s">
        <v>637</v>
      </c>
    </row>
    <row r="162" spans="1:6">
      <c r="A162" s="95">
        <v>44276</v>
      </c>
      <c r="B162" t="s">
        <v>638</v>
      </c>
      <c r="C162" t="s">
        <v>639</v>
      </c>
      <c r="D162" t="s">
        <v>640</v>
      </c>
      <c r="E162" t="s">
        <v>641</v>
      </c>
      <c r="F162" t="s">
        <v>641</v>
      </c>
    </row>
    <row r="163" spans="1:6">
      <c r="A163" s="95">
        <v>44277</v>
      </c>
      <c r="B163" t="s">
        <v>642</v>
      </c>
      <c r="C163" t="s">
        <v>643</v>
      </c>
      <c r="D163" t="s">
        <v>644</v>
      </c>
      <c r="E163" t="s">
        <v>645</v>
      </c>
      <c r="F163" t="s">
        <v>645</v>
      </c>
    </row>
    <row r="164" spans="1:6">
      <c r="A164" s="95">
        <v>44278</v>
      </c>
      <c r="B164" t="s">
        <v>646</v>
      </c>
      <c r="C164" t="s">
        <v>647</v>
      </c>
      <c r="D164" t="s">
        <v>648</v>
      </c>
      <c r="E164" t="s">
        <v>649</v>
      </c>
      <c r="F164" t="s">
        <v>649</v>
      </c>
    </row>
    <row r="165" spans="1:6">
      <c r="A165" s="95">
        <v>44279</v>
      </c>
      <c r="B165" t="s">
        <v>650</v>
      </c>
      <c r="C165" t="s">
        <v>651</v>
      </c>
      <c r="D165" t="s">
        <v>652</v>
      </c>
      <c r="E165" t="s">
        <v>653</v>
      </c>
      <c r="F165" t="s">
        <v>653</v>
      </c>
    </row>
    <row r="166" spans="1:6">
      <c r="A166" s="95">
        <v>44280</v>
      </c>
      <c r="B166" t="s">
        <v>654</v>
      </c>
      <c r="C166" t="s">
        <v>655</v>
      </c>
      <c r="D166" t="s">
        <v>656</v>
      </c>
      <c r="E166" t="s">
        <v>657</v>
      </c>
      <c r="F166" t="s">
        <v>657</v>
      </c>
    </row>
    <row r="167" spans="1:6">
      <c r="A167" s="95">
        <v>44281</v>
      </c>
      <c r="B167" t="s">
        <v>658</v>
      </c>
      <c r="C167" t="s">
        <v>659</v>
      </c>
      <c r="D167" t="s">
        <v>660</v>
      </c>
      <c r="E167" t="s">
        <v>659</v>
      </c>
      <c r="F167" t="s">
        <v>659</v>
      </c>
    </row>
    <row r="168" spans="1:6">
      <c r="A168" s="95">
        <v>44282</v>
      </c>
      <c r="B168" t="s">
        <v>661</v>
      </c>
      <c r="C168" t="s">
        <v>662</v>
      </c>
      <c r="D168" t="s">
        <v>663</v>
      </c>
      <c r="E168" t="s">
        <v>664</v>
      </c>
      <c r="F168" t="s">
        <v>664</v>
      </c>
    </row>
    <row r="169" spans="1:6">
      <c r="A169" s="95">
        <v>44283</v>
      </c>
      <c r="B169" t="s">
        <v>665</v>
      </c>
      <c r="C169" t="s">
        <v>666</v>
      </c>
      <c r="D169" t="s">
        <v>667</v>
      </c>
      <c r="E169" t="s">
        <v>668</v>
      </c>
      <c r="F169" t="s">
        <v>668</v>
      </c>
    </row>
    <row r="170" spans="1:6">
      <c r="A170" s="95">
        <v>44284</v>
      </c>
      <c r="B170" t="s">
        <v>669</v>
      </c>
      <c r="C170" t="s">
        <v>670</v>
      </c>
      <c r="D170" t="s">
        <v>671</v>
      </c>
      <c r="E170" t="s">
        <v>672</v>
      </c>
      <c r="F170" t="s">
        <v>672</v>
      </c>
    </row>
    <row r="171" spans="1:6">
      <c r="A171" s="95">
        <v>44285</v>
      </c>
      <c r="B171" t="s">
        <v>673</v>
      </c>
      <c r="C171" t="s">
        <v>674</v>
      </c>
      <c r="D171" t="s">
        <v>675</v>
      </c>
      <c r="E171" t="s">
        <v>676</v>
      </c>
      <c r="F171" t="s">
        <v>676</v>
      </c>
    </row>
    <row r="172" spans="1:6">
      <c r="A172" s="95">
        <v>44286</v>
      </c>
      <c r="B172" t="s">
        <v>677</v>
      </c>
      <c r="C172" t="s">
        <v>678</v>
      </c>
      <c r="D172" t="s">
        <v>679</v>
      </c>
      <c r="E172" t="s">
        <v>680</v>
      </c>
      <c r="F172" t="s">
        <v>680</v>
      </c>
    </row>
    <row r="173" spans="1:6">
      <c r="A173" s="95">
        <v>44287</v>
      </c>
      <c r="B173" t="s">
        <v>681</v>
      </c>
      <c r="C173" t="s">
        <v>682</v>
      </c>
      <c r="D173" t="s">
        <v>683</v>
      </c>
      <c r="E173" t="s">
        <v>684</v>
      </c>
      <c r="F173" t="s">
        <v>684</v>
      </c>
    </row>
    <row r="174" spans="1:6">
      <c r="A174" s="95">
        <v>44288</v>
      </c>
      <c r="B174" t="s">
        <v>685</v>
      </c>
      <c r="C174" t="s">
        <v>686</v>
      </c>
      <c r="D174" t="s">
        <v>687</v>
      </c>
      <c r="E174" t="s">
        <v>688</v>
      </c>
      <c r="F174" t="s">
        <v>688</v>
      </c>
    </row>
    <row r="175" spans="1:6">
      <c r="A175" s="95">
        <v>44289</v>
      </c>
      <c r="B175" t="s">
        <v>689</v>
      </c>
      <c r="C175" t="s">
        <v>690</v>
      </c>
      <c r="D175" t="s">
        <v>691</v>
      </c>
      <c r="E175" t="s">
        <v>691</v>
      </c>
      <c r="F175" t="s">
        <v>691</v>
      </c>
    </row>
    <row r="176" spans="1:6">
      <c r="A176" s="95">
        <v>44290</v>
      </c>
      <c r="B176" t="s">
        <v>692</v>
      </c>
      <c r="C176" t="s">
        <v>693</v>
      </c>
      <c r="D176" t="s">
        <v>694</v>
      </c>
      <c r="E176" t="s">
        <v>695</v>
      </c>
      <c r="F176" t="s">
        <v>695</v>
      </c>
    </row>
    <row r="177" spans="1:6">
      <c r="A177" s="95">
        <v>44291</v>
      </c>
      <c r="B177" t="s">
        <v>696</v>
      </c>
      <c r="C177" t="s">
        <v>697</v>
      </c>
      <c r="D177" t="s">
        <v>698</v>
      </c>
      <c r="E177" t="s">
        <v>699</v>
      </c>
      <c r="F177" t="s">
        <v>699</v>
      </c>
    </row>
    <row r="178" spans="1:6">
      <c r="A178" s="95">
        <v>44292</v>
      </c>
      <c r="B178" t="s">
        <v>700</v>
      </c>
      <c r="C178" t="s">
        <v>701</v>
      </c>
      <c r="D178" t="s">
        <v>702</v>
      </c>
      <c r="E178" t="s">
        <v>703</v>
      </c>
      <c r="F178" t="s">
        <v>703</v>
      </c>
    </row>
    <row r="179" spans="1:6">
      <c r="A179" s="95">
        <v>44293</v>
      </c>
      <c r="B179" t="s">
        <v>704</v>
      </c>
      <c r="C179" t="s">
        <v>705</v>
      </c>
      <c r="D179" t="s">
        <v>706</v>
      </c>
      <c r="E179" t="s">
        <v>707</v>
      </c>
      <c r="F179" t="s">
        <v>707</v>
      </c>
    </row>
    <row r="180" spans="1:6">
      <c r="A180" s="95">
        <v>44294</v>
      </c>
      <c r="B180" t="s">
        <v>708</v>
      </c>
      <c r="C180" t="s">
        <v>709</v>
      </c>
      <c r="D180" t="s">
        <v>710</v>
      </c>
      <c r="E180" t="s">
        <v>711</v>
      </c>
      <c r="F180" t="s">
        <v>711</v>
      </c>
    </row>
    <row r="181" spans="1:6">
      <c r="A181" s="95">
        <v>44295</v>
      </c>
      <c r="B181" t="s">
        <v>712</v>
      </c>
      <c r="C181" t="s">
        <v>713</v>
      </c>
      <c r="D181" t="s">
        <v>714</v>
      </c>
      <c r="E181" t="s">
        <v>715</v>
      </c>
      <c r="F181" t="s">
        <v>715</v>
      </c>
    </row>
    <row r="182" spans="1:6">
      <c r="A182" s="95">
        <v>44296</v>
      </c>
      <c r="B182" t="s">
        <v>716</v>
      </c>
      <c r="C182" t="s">
        <v>717</v>
      </c>
      <c r="D182" t="s">
        <v>718</v>
      </c>
      <c r="E182" t="s">
        <v>719</v>
      </c>
      <c r="F182" t="s">
        <v>719</v>
      </c>
    </row>
    <row r="183" spans="1:6">
      <c r="A183" s="95">
        <v>44298</v>
      </c>
      <c r="B183" t="s">
        <v>720</v>
      </c>
      <c r="C183" t="s">
        <v>721</v>
      </c>
      <c r="D183" t="s">
        <v>722</v>
      </c>
      <c r="E183" t="s">
        <v>723</v>
      </c>
      <c r="F183" t="s">
        <v>723</v>
      </c>
    </row>
    <row r="184" spans="1:6">
      <c r="A184" s="95">
        <v>44299</v>
      </c>
      <c r="B184" t="s">
        <v>724</v>
      </c>
      <c r="C184" t="s">
        <v>725</v>
      </c>
      <c r="D184" t="s">
        <v>726</v>
      </c>
      <c r="E184" t="s">
        <v>727</v>
      </c>
      <c r="F184" t="s">
        <v>727</v>
      </c>
    </row>
    <row r="185" spans="1:6">
      <c r="A185" s="95">
        <v>44301</v>
      </c>
      <c r="B185" t="s">
        <v>728</v>
      </c>
      <c r="C185" t="s">
        <v>729</v>
      </c>
      <c r="D185" t="s">
        <v>730</v>
      </c>
      <c r="E185" t="s">
        <v>731</v>
      </c>
      <c r="F185" t="s">
        <v>731</v>
      </c>
    </row>
    <row r="186" spans="1:6">
      <c r="A186" s="95">
        <v>44302</v>
      </c>
      <c r="B186" t="s">
        <v>732</v>
      </c>
      <c r="C186" t="s">
        <v>733</v>
      </c>
      <c r="D186" t="s">
        <v>734</v>
      </c>
      <c r="E186" t="s">
        <v>735</v>
      </c>
      <c r="F186" t="s">
        <v>735</v>
      </c>
    </row>
    <row r="187" spans="1:6">
      <c r="A187" s="95">
        <v>44303</v>
      </c>
      <c r="B187" t="s">
        <v>736</v>
      </c>
      <c r="C187" t="s">
        <v>737</v>
      </c>
      <c r="D187" t="s">
        <v>738</v>
      </c>
      <c r="E187" t="s">
        <v>739</v>
      </c>
      <c r="F187" t="s">
        <v>739</v>
      </c>
    </row>
    <row r="188" spans="1:6">
      <c r="A188" s="95">
        <v>44304</v>
      </c>
      <c r="B188" t="s">
        <v>740</v>
      </c>
      <c r="C188" t="s">
        <v>741</v>
      </c>
      <c r="D188" t="s">
        <v>742</v>
      </c>
      <c r="E188" t="s">
        <v>743</v>
      </c>
      <c r="F188" t="s">
        <v>743</v>
      </c>
    </row>
    <row r="189" spans="1:6">
      <c r="A189" s="95">
        <v>44305</v>
      </c>
      <c r="B189" t="s">
        <v>744</v>
      </c>
      <c r="C189" t="s">
        <v>745</v>
      </c>
      <c r="D189" t="s">
        <v>746</v>
      </c>
      <c r="E189" t="s">
        <v>747</v>
      </c>
      <c r="F189" t="s">
        <v>747</v>
      </c>
    </row>
    <row r="190" spans="1:6">
      <c r="A190" s="95">
        <v>44306</v>
      </c>
      <c r="B190" t="s">
        <v>748</v>
      </c>
      <c r="C190" t="s">
        <v>749</v>
      </c>
      <c r="D190" t="s">
        <v>750</v>
      </c>
      <c r="E190" t="s">
        <v>751</v>
      </c>
      <c r="F190" t="s">
        <v>751</v>
      </c>
    </row>
    <row r="191" spans="1:6">
      <c r="A191" s="95">
        <v>44307</v>
      </c>
      <c r="B191" t="s">
        <v>752</v>
      </c>
      <c r="C191" t="s">
        <v>753</v>
      </c>
      <c r="D191" t="s">
        <v>754</v>
      </c>
      <c r="E191" t="s">
        <v>755</v>
      </c>
      <c r="F191" t="s">
        <v>755</v>
      </c>
    </row>
    <row r="192" spans="1:6">
      <c r="A192" s="95">
        <v>44308</v>
      </c>
      <c r="B192" t="s">
        <v>756</v>
      </c>
      <c r="C192" t="s">
        <v>757</v>
      </c>
      <c r="D192" t="s">
        <v>758</v>
      </c>
      <c r="E192" t="s">
        <v>759</v>
      </c>
      <c r="F192" t="s">
        <v>759</v>
      </c>
    </row>
    <row r="193" spans="1:6">
      <c r="A193" s="95">
        <v>44309</v>
      </c>
      <c r="B193" t="s">
        <v>760</v>
      </c>
      <c r="C193" t="s">
        <v>761</v>
      </c>
      <c r="D193" t="s">
        <v>762</v>
      </c>
      <c r="E193" t="s">
        <v>763</v>
      </c>
      <c r="F193" t="s">
        <v>763</v>
      </c>
    </row>
    <row r="194" spans="1:6">
      <c r="A194" s="95">
        <v>44310</v>
      </c>
      <c r="B194" t="s">
        <v>764</v>
      </c>
      <c r="C194" t="s">
        <v>765</v>
      </c>
      <c r="D194" t="s">
        <v>766</v>
      </c>
      <c r="E194" t="s">
        <v>767</v>
      </c>
      <c r="F194" t="s">
        <v>767</v>
      </c>
    </row>
    <row r="195" spans="1:6">
      <c r="A195" s="95">
        <v>44311</v>
      </c>
      <c r="B195" t="s">
        <v>768</v>
      </c>
      <c r="C195" t="s">
        <v>769</v>
      </c>
      <c r="D195" t="s">
        <v>770</v>
      </c>
      <c r="E195" t="s">
        <v>771</v>
      </c>
      <c r="F195" t="s">
        <v>771</v>
      </c>
    </row>
    <row r="196" spans="1:6">
      <c r="A196" s="95">
        <v>44312</v>
      </c>
      <c r="B196" t="s">
        <v>772</v>
      </c>
      <c r="C196" t="s">
        <v>773</v>
      </c>
      <c r="D196" t="s">
        <v>774</v>
      </c>
      <c r="E196" t="s">
        <v>775</v>
      </c>
      <c r="F196" t="s">
        <v>775</v>
      </c>
    </row>
    <row r="197" spans="1:6">
      <c r="A197" s="95">
        <v>44313</v>
      </c>
      <c r="B197" t="s">
        <v>776</v>
      </c>
      <c r="C197" t="s">
        <v>777</v>
      </c>
      <c r="D197" t="s">
        <v>778</v>
      </c>
      <c r="E197" t="s">
        <v>779</v>
      </c>
      <c r="F197" t="s">
        <v>779</v>
      </c>
    </row>
    <row r="198" spans="1:6">
      <c r="A198" s="95">
        <v>44314</v>
      </c>
      <c r="B198" t="s">
        <v>780</v>
      </c>
      <c r="C198" t="s">
        <v>781</v>
      </c>
      <c r="D198" t="s">
        <v>782</v>
      </c>
      <c r="E198" t="s">
        <v>783</v>
      </c>
      <c r="F198" t="s">
        <v>783</v>
      </c>
    </row>
    <row r="199" spans="1:6">
      <c r="A199" s="95">
        <v>44315</v>
      </c>
      <c r="B199" t="s">
        <v>784</v>
      </c>
      <c r="C199" t="s">
        <v>785</v>
      </c>
      <c r="D199" t="s">
        <v>786</v>
      </c>
      <c r="E199" t="s">
        <v>787</v>
      </c>
      <c r="F199" t="s">
        <v>787</v>
      </c>
    </row>
    <row r="200" spans="1:6">
      <c r="A200" s="95">
        <v>44317</v>
      </c>
      <c r="B200" t="s">
        <v>788</v>
      </c>
      <c r="C200" t="s">
        <v>789</v>
      </c>
      <c r="D200" t="s">
        <v>790</v>
      </c>
      <c r="E200" t="s">
        <v>791</v>
      </c>
      <c r="F200" t="s">
        <v>791</v>
      </c>
    </row>
    <row r="201" spans="1:6">
      <c r="A201" s="95">
        <v>44318</v>
      </c>
      <c r="B201" t="s">
        <v>792</v>
      </c>
      <c r="C201" t="s">
        <v>793</v>
      </c>
      <c r="D201" t="s">
        <v>794</v>
      </c>
      <c r="E201" t="s">
        <v>795</v>
      </c>
      <c r="F201" t="s">
        <v>795</v>
      </c>
    </row>
    <row r="202" spans="1:6">
      <c r="A202" s="95">
        <v>44319</v>
      </c>
      <c r="B202" t="s">
        <v>796</v>
      </c>
      <c r="C202" t="s">
        <v>797</v>
      </c>
      <c r="D202" t="s">
        <v>798</v>
      </c>
      <c r="E202" t="s">
        <v>799</v>
      </c>
      <c r="F202" t="s">
        <v>799</v>
      </c>
    </row>
    <row r="203" spans="1:6">
      <c r="A203" s="95">
        <v>44320</v>
      </c>
      <c r="B203" t="s">
        <v>800</v>
      </c>
      <c r="C203" t="s">
        <v>800</v>
      </c>
      <c r="D203" t="s">
        <v>801</v>
      </c>
      <c r="E203" t="s">
        <v>802</v>
      </c>
      <c r="F203" t="s">
        <v>802</v>
      </c>
    </row>
    <row r="204" spans="1:6">
      <c r="A204" s="95">
        <v>44321</v>
      </c>
      <c r="B204" t="s">
        <v>803</v>
      </c>
      <c r="C204" t="s">
        <v>804</v>
      </c>
      <c r="D204" t="s">
        <v>805</v>
      </c>
      <c r="E204" t="s">
        <v>806</v>
      </c>
      <c r="F204" t="s">
        <v>806</v>
      </c>
    </row>
    <row r="205" spans="1:6">
      <c r="A205" s="95">
        <v>44322</v>
      </c>
      <c r="B205" t="s">
        <v>807</v>
      </c>
      <c r="C205" t="s">
        <v>808</v>
      </c>
      <c r="D205" t="s">
        <v>809</v>
      </c>
      <c r="E205" t="s">
        <v>810</v>
      </c>
      <c r="F205" t="s">
        <v>810</v>
      </c>
    </row>
    <row r="206" spans="1:6">
      <c r="A206" s="95">
        <v>44323</v>
      </c>
      <c r="B206" t="s">
        <v>811</v>
      </c>
      <c r="C206" t="s">
        <v>812</v>
      </c>
      <c r="D206" t="s">
        <v>813</v>
      </c>
      <c r="E206" t="s">
        <v>814</v>
      </c>
      <c r="F206" t="s">
        <v>814</v>
      </c>
    </row>
    <row r="207" spans="1:6">
      <c r="A207" s="95">
        <v>44324</v>
      </c>
      <c r="B207" t="s">
        <v>815</v>
      </c>
      <c r="C207" t="s">
        <v>816</v>
      </c>
      <c r="D207" t="s">
        <v>817</v>
      </c>
      <c r="E207" t="s">
        <v>818</v>
      </c>
      <c r="F207" t="s">
        <v>818</v>
      </c>
    </row>
    <row r="208" spans="1:6">
      <c r="A208" s="95">
        <v>44325</v>
      </c>
      <c r="B208" t="s">
        <v>819</v>
      </c>
      <c r="C208" t="s">
        <v>820</v>
      </c>
      <c r="D208" t="s">
        <v>821</v>
      </c>
      <c r="E208" t="s">
        <v>822</v>
      </c>
      <c r="F208" t="s">
        <v>822</v>
      </c>
    </row>
    <row r="209" spans="1:6">
      <c r="A209" s="95">
        <v>44326</v>
      </c>
      <c r="B209" t="s">
        <v>823</v>
      </c>
      <c r="C209" t="s">
        <v>824</v>
      </c>
      <c r="D209" t="s">
        <v>825</v>
      </c>
      <c r="E209" t="s">
        <v>826</v>
      </c>
      <c r="F209" t="s">
        <v>826</v>
      </c>
    </row>
    <row r="210" spans="1:6">
      <c r="A210" s="95">
        <v>44327</v>
      </c>
      <c r="B210" t="s">
        <v>827</v>
      </c>
      <c r="C210" t="s">
        <v>828</v>
      </c>
      <c r="D210" t="s">
        <v>829</v>
      </c>
      <c r="E210" t="s">
        <v>830</v>
      </c>
      <c r="F210" t="s">
        <v>830</v>
      </c>
    </row>
    <row r="211" spans="1:6">
      <c r="A211" s="95">
        <v>44329</v>
      </c>
      <c r="B211" t="s">
        <v>831</v>
      </c>
      <c r="C211" t="s">
        <v>832</v>
      </c>
      <c r="D211" t="s">
        <v>833</v>
      </c>
      <c r="E211" t="s">
        <v>834</v>
      </c>
      <c r="F211" t="s">
        <v>834</v>
      </c>
    </row>
    <row r="212" spans="1:6">
      <c r="A212" s="95">
        <v>44330</v>
      </c>
      <c r="B212" t="s">
        <v>835</v>
      </c>
      <c r="C212" t="s">
        <v>836</v>
      </c>
      <c r="D212" t="s">
        <v>837</v>
      </c>
      <c r="E212" t="s">
        <v>838</v>
      </c>
      <c r="F212" t="s">
        <v>838</v>
      </c>
    </row>
    <row r="213" spans="1:6">
      <c r="A213" s="95">
        <v>44331</v>
      </c>
      <c r="B213" t="s">
        <v>839</v>
      </c>
      <c r="C213" t="s">
        <v>840</v>
      </c>
      <c r="D213" t="s">
        <v>841</v>
      </c>
      <c r="E213" t="s">
        <v>842</v>
      </c>
      <c r="F213" t="s">
        <v>842</v>
      </c>
    </row>
    <row r="214" spans="1:6">
      <c r="A214" s="95">
        <v>44332</v>
      </c>
      <c r="B214" t="s">
        <v>843</v>
      </c>
      <c r="C214" t="s">
        <v>844</v>
      </c>
      <c r="D214" t="s">
        <v>845</v>
      </c>
      <c r="E214" t="s">
        <v>846</v>
      </c>
      <c r="F214" t="s">
        <v>846</v>
      </c>
    </row>
    <row r="215" spans="1:6">
      <c r="A215" s="95">
        <v>44333</v>
      </c>
      <c r="B215" t="s">
        <v>847</v>
      </c>
      <c r="C215" t="s">
        <v>848</v>
      </c>
      <c r="D215" t="s">
        <v>849</v>
      </c>
      <c r="E215" t="s">
        <v>850</v>
      </c>
      <c r="F215" t="s">
        <v>850</v>
      </c>
    </row>
    <row r="216" spans="1:6">
      <c r="A216" s="95">
        <v>44334</v>
      </c>
      <c r="B216" t="s">
        <v>851</v>
      </c>
      <c r="C216" t="s">
        <v>852</v>
      </c>
      <c r="D216" t="s">
        <v>853</v>
      </c>
      <c r="E216" t="s">
        <v>854</v>
      </c>
      <c r="F216" t="s">
        <v>854</v>
      </c>
    </row>
    <row r="217" spans="1:6">
      <c r="A217" s="95">
        <v>44336</v>
      </c>
      <c r="B217" t="s">
        <v>855</v>
      </c>
      <c r="C217" t="s">
        <v>856</v>
      </c>
      <c r="D217" t="s">
        <v>857</v>
      </c>
      <c r="E217" t="s">
        <v>858</v>
      </c>
      <c r="F217" t="s">
        <v>858</v>
      </c>
    </row>
    <row r="218" spans="1:6">
      <c r="A218" s="95">
        <v>44338</v>
      </c>
      <c r="B218" t="s">
        <v>859</v>
      </c>
      <c r="C218" t="s">
        <v>860</v>
      </c>
      <c r="D218" t="s">
        <v>861</v>
      </c>
      <c r="E218" t="s">
        <v>862</v>
      </c>
      <c r="F218" t="s">
        <v>862</v>
      </c>
    </row>
    <row r="219" spans="1:6">
      <c r="A219" s="95">
        <v>44339</v>
      </c>
      <c r="B219" t="s">
        <v>863</v>
      </c>
      <c r="C219" t="s">
        <v>864</v>
      </c>
      <c r="D219" t="s">
        <v>865</v>
      </c>
      <c r="E219" t="s">
        <v>866</v>
      </c>
      <c r="F219" t="s">
        <v>866</v>
      </c>
    </row>
    <row r="220" spans="1:6">
      <c r="A220" s="95">
        <v>44340</v>
      </c>
      <c r="B220" t="s">
        <v>867</v>
      </c>
      <c r="C220" t="s">
        <v>868</v>
      </c>
      <c r="D220" t="s">
        <v>869</v>
      </c>
      <c r="E220" t="s">
        <v>870</v>
      </c>
      <c r="F220" t="s">
        <v>870</v>
      </c>
    </row>
    <row r="221" spans="1:6">
      <c r="A221" s="95">
        <v>44341</v>
      </c>
      <c r="B221" t="s">
        <v>871</v>
      </c>
      <c r="C221" t="s">
        <v>872</v>
      </c>
      <c r="D221" t="s">
        <v>873</v>
      </c>
      <c r="E221" t="s">
        <v>874</v>
      </c>
      <c r="F221" t="s">
        <v>874</v>
      </c>
    </row>
    <row r="222" spans="1:6">
      <c r="A222" s="95">
        <v>44342</v>
      </c>
      <c r="B222" t="s">
        <v>875</v>
      </c>
      <c r="C222" t="s">
        <v>876</v>
      </c>
      <c r="D222" t="s">
        <v>877</v>
      </c>
      <c r="E222" t="s">
        <v>878</v>
      </c>
      <c r="F222" t="s">
        <v>878</v>
      </c>
    </row>
    <row r="223" spans="1:6">
      <c r="A223" s="95">
        <v>44343</v>
      </c>
      <c r="B223" t="s">
        <v>879</v>
      </c>
      <c r="C223" t="s">
        <v>880</v>
      </c>
      <c r="D223" t="s">
        <v>881</v>
      </c>
      <c r="E223" t="s">
        <v>882</v>
      </c>
      <c r="F223" t="s">
        <v>882</v>
      </c>
    </row>
    <row r="224" spans="1:6">
      <c r="A224" s="95">
        <v>44344</v>
      </c>
      <c r="B224" t="s">
        <v>883</v>
      </c>
      <c r="C224" t="s">
        <v>884</v>
      </c>
      <c r="D224" t="s">
        <v>885</v>
      </c>
      <c r="E224" t="s">
        <v>886</v>
      </c>
      <c r="F224" t="s">
        <v>886</v>
      </c>
    </row>
    <row r="225" spans="1:6">
      <c r="A225" s="95">
        <v>44345</v>
      </c>
      <c r="B225" t="s">
        <v>887</v>
      </c>
      <c r="C225" t="s">
        <v>888</v>
      </c>
      <c r="D225" t="s">
        <v>889</v>
      </c>
      <c r="E225" t="s">
        <v>890</v>
      </c>
      <c r="F225" t="s">
        <v>890</v>
      </c>
    </row>
    <row r="226" spans="1:6">
      <c r="A226" s="95">
        <v>44346</v>
      </c>
      <c r="B226" t="s">
        <v>891</v>
      </c>
      <c r="C226" t="s">
        <v>892</v>
      </c>
      <c r="D226" t="s">
        <v>893</v>
      </c>
      <c r="E226" t="s">
        <v>894</v>
      </c>
      <c r="F226" t="s">
        <v>894</v>
      </c>
    </row>
    <row r="227" spans="1:6">
      <c r="A227" s="95">
        <v>44347</v>
      </c>
      <c r="B227" t="s">
        <v>895</v>
      </c>
      <c r="C227" t="s">
        <v>896</v>
      </c>
      <c r="D227" t="s">
        <v>897</v>
      </c>
      <c r="E227" t="s">
        <v>898</v>
      </c>
      <c r="F227" t="s">
        <v>898</v>
      </c>
    </row>
    <row r="228" spans="1:6">
      <c r="A228" s="95">
        <v>44348</v>
      </c>
      <c r="B228" t="s">
        <v>899</v>
      </c>
      <c r="C228" t="s">
        <v>900</v>
      </c>
      <c r="D228" t="s">
        <v>901</v>
      </c>
      <c r="E228" t="s">
        <v>902</v>
      </c>
      <c r="F228" t="s">
        <v>902</v>
      </c>
    </row>
    <row r="229" spans="1:6">
      <c r="A229" s="95">
        <v>44349</v>
      </c>
      <c r="B229" t="s">
        <v>903</v>
      </c>
      <c r="C229" t="s">
        <v>904</v>
      </c>
      <c r="D229" t="s">
        <v>905</v>
      </c>
      <c r="E229" t="s">
        <v>906</v>
      </c>
      <c r="F229" t="s">
        <v>906</v>
      </c>
    </row>
    <row r="230" spans="1:6">
      <c r="A230" s="95">
        <v>44350</v>
      </c>
      <c r="B230" t="s">
        <v>907</v>
      </c>
      <c r="C230" t="s">
        <v>908</v>
      </c>
      <c r="D230" t="s">
        <v>909</v>
      </c>
      <c r="E230" t="s">
        <v>910</v>
      </c>
      <c r="F230" t="s">
        <v>910</v>
      </c>
    </row>
    <row r="231" spans="1:6">
      <c r="A231" s="95">
        <v>44351</v>
      </c>
      <c r="B231" t="s">
        <v>911</v>
      </c>
      <c r="C231" t="s">
        <v>911</v>
      </c>
      <c r="D231" t="s">
        <v>912</v>
      </c>
      <c r="E231" t="s">
        <v>913</v>
      </c>
      <c r="F231" t="s">
        <v>913</v>
      </c>
    </row>
    <row r="232" spans="1:6">
      <c r="A232" s="95">
        <v>44352</v>
      </c>
      <c r="B232" t="s">
        <v>914</v>
      </c>
      <c r="C232" t="s">
        <v>915</v>
      </c>
      <c r="D232" t="s">
        <v>916</v>
      </c>
      <c r="E232" t="s">
        <v>917</v>
      </c>
      <c r="F232" t="s">
        <v>917</v>
      </c>
    </row>
    <row r="233" spans="1:6">
      <c r="A233" s="95">
        <v>44353</v>
      </c>
      <c r="B233" t="s">
        <v>918</v>
      </c>
      <c r="C233" t="s">
        <v>919</v>
      </c>
      <c r="D233" t="s">
        <v>920</v>
      </c>
      <c r="E233" t="s">
        <v>921</v>
      </c>
      <c r="F233" t="s">
        <v>921</v>
      </c>
    </row>
    <row r="234" spans="1:6">
      <c r="A234" s="95">
        <v>44354</v>
      </c>
      <c r="B234" t="s">
        <v>922</v>
      </c>
      <c r="C234" t="s">
        <v>923</v>
      </c>
      <c r="D234" t="s">
        <v>924</v>
      </c>
      <c r="E234" t="s">
        <v>925</v>
      </c>
      <c r="F234" t="s">
        <v>925</v>
      </c>
    </row>
    <row r="235" spans="1:6">
      <c r="A235" s="95">
        <v>44355</v>
      </c>
      <c r="B235" t="s">
        <v>926</v>
      </c>
      <c r="C235" t="s">
        <v>927</v>
      </c>
      <c r="D235" t="s">
        <v>928</v>
      </c>
      <c r="E235" t="s">
        <v>929</v>
      </c>
      <c r="F235" t="s">
        <v>929</v>
      </c>
    </row>
    <row r="236" spans="1:6">
      <c r="A236" s="95">
        <v>44356</v>
      </c>
      <c r="B236" t="s">
        <v>930</v>
      </c>
      <c r="C236" t="s">
        <v>931</v>
      </c>
      <c r="D236" t="s">
        <v>932</v>
      </c>
      <c r="E236" t="s">
        <v>933</v>
      </c>
      <c r="F236" t="s">
        <v>933</v>
      </c>
    </row>
    <row r="237" spans="1:6">
      <c r="A237" s="95">
        <v>44357</v>
      </c>
      <c r="B237" t="s">
        <v>934</v>
      </c>
      <c r="C237" t="s">
        <v>935</v>
      </c>
      <c r="D237" t="s">
        <v>936</v>
      </c>
      <c r="E237" t="s">
        <v>937</v>
      </c>
      <c r="F237" t="s">
        <v>937</v>
      </c>
    </row>
    <row r="238" spans="1:6">
      <c r="A238" s="95">
        <v>44358</v>
      </c>
      <c r="B238" t="s">
        <v>938</v>
      </c>
      <c r="C238" t="s">
        <v>939</v>
      </c>
      <c r="D238" t="s">
        <v>940</v>
      </c>
      <c r="E238" t="s">
        <v>941</v>
      </c>
      <c r="F238" t="s">
        <v>941</v>
      </c>
    </row>
    <row r="239" spans="1:6">
      <c r="A239" s="95">
        <v>44359</v>
      </c>
      <c r="B239" t="s">
        <v>942</v>
      </c>
      <c r="C239" t="s">
        <v>943</v>
      </c>
      <c r="D239" t="s">
        <v>944</v>
      </c>
      <c r="E239" t="s">
        <v>945</v>
      </c>
      <c r="F239" t="s">
        <v>945</v>
      </c>
    </row>
    <row r="240" spans="1:6">
      <c r="A240" s="95">
        <v>44360</v>
      </c>
      <c r="B240" t="s">
        <v>946</v>
      </c>
      <c r="C240" t="s">
        <v>947</v>
      </c>
      <c r="D240" t="s">
        <v>948</v>
      </c>
      <c r="E240" t="s">
        <v>949</v>
      </c>
      <c r="F240" t="s">
        <v>949</v>
      </c>
    </row>
    <row r="241" spans="1:6">
      <c r="A241" s="95">
        <v>44361</v>
      </c>
      <c r="B241" t="s">
        <v>950</v>
      </c>
      <c r="C241" t="s">
        <v>951</v>
      </c>
      <c r="D241" t="s">
        <v>952</v>
      </c>
      <c r="E241" t="s">
        <v>953</v>
      </c>
      <c r="F241" t="s">
        <v>953</v>
      </c>
    </row>
    <row r="242" spans="1:6">
      <c r="A242" s="95">
        <v>44363</v>
      </c>
      <c r="B242" t="s">
        <v>954</v>
      </c>
      <c r="C242" t="s">
        <v>955</v>
      </c>
      <c r="D242" t="s">
        <v>956</v>
      </c>
      <c r="E242" t="s">
        <v>957</v>
      </c>
      <c r="F242" t="s">
        <v>957</v>
      </c>
    </row>
    <row r="243" spans="1:6">
      <c r="A243" s="95">
        <v>44364</v>
      </c>
      <c r="B243" t="s">
        <v>958</v>
      </c>
      <c r="C243" t="s">
        <v>959</v>
      </c>
      <c r="D243" t="s">
        <v>960</v>
      </c>
      <c r="E243" t="s">
        <v>961</v>
      </c>
      <c r="F243" t="s">
        <v>961</v>
      </c>
    </row>
    <row r="244" spans="1:6">
      <c r="A244" s="95">
        <v>44365</v>
      </c>
      <c r="B244" t="s">
        <v>962</v>
      </c>
      <c r="C244" t="s">
        <v>963</v>
      </c>
      <c r="D244" t="s">
        <v>964</v>
      </c>
      <c r="E244" t="s">
        <v>965</v>
      </c>
      <c r="F244" t="s">
        <v>965</v>
      </c>
    </row>
    <row r="245" spans="1:6">
      <c r="A245" s="95">
        <v>44366</v>
      </c>
      <c r="B245" t="s">
        <v>966</v>
      </c>
      <c r="C245" t="s">
        <v>967</v>
      </c>
      <c r="D245" t="s">
        <v>968</v>
      </c>
      <c r="E245" t="s">
        <v>969</v>
      </c>
      <c r="F245" t="s">
        <v>969</v>
      </c>
    </row>
    <row r="246" spans="1:6">
      <c r="A246" s="95">
        <v>44367</v>
      </c>
      <c r="B246" t="s">
        <v>970</v>
      </c>
      <c r="C246" t="s">
        <v>971</v>
      </c>
      <c r="D246" t="s">
        <v>972</v>
      </c>
      <c r="E246" t="s">
        <v>973</v>
      </c>
      <c r="F246" t="s">
        <v>973</v>
      </c>
    </row>
    <row r="247" spans="1:6">
      <c r="A247" s="95">
        <v>44368</v>
      </c>
      <c r="B247" t="s">
        <v>974</v>
      </c>
      <c r="C247" t="s">
        <v>975</v>
      </c>
      <c r="D247" t="s">
        <v>976</v>
      </c>
      <c r="E247" t="s">
        <v>977</v>
      </c>
      <c r="F247" t="s">
        <v>977</v>
      </c>
    </row>
    <row r="248" spans="1:6">
      <c r="A248" s="95">
        <v>44369</v>
      </c>
      <c r="B248" t="s">
        <v>978</v>
      </c>
      <c r="C248" t="s">
        <v>979</v>
      </c>
      <c r="D248" t="s">
        <v>980</v>
      </c>
      <c r="E248" t="s">
        <v>981</v>
      </c>
      <c r="F248" t="s">
        <v>981</v>
      </c>
    </row>
    <row r="249" spans="1:6">
      <c r="A249" s="95">
        <v>44370</v>
      </c>
      <c r="B249" t="s">
        <v>982</v>
      </c>
      <c r="C249" t="s">
        <v>983</v>
      </c>
      <c r="D249" t="s">
        <v>984</v>
      </c>
      <c r="E249" t="s">
        <v>985</v>
      </c>
      <c r="F249" t="s">
        <v>985</v>
      </c>
    </row>
    <row r="250" spans="1:6">
      <c r="A250" s="95">
        <v>44371</v>
      </c>
      <c r="B250" t="s">
        <v>986</v>
      </c>
      <c r="C250" t="s">
        <v>987</v>
      </c>
      <c r="D250" t="s">
        <v>988</v>
      </c>
      <c r="E250" t="s">
        <v>989</v>
      </c>
      <c r="F250" t="s">
        <v>989</v>
      </c>
    </row>
    <row r="251" spans="1:6">
      <c r="A251" s="95">
        <v>44372</v>
      </c>
      <c r="B251" t="s">
        <v>990</v>
      </c>
      <c r="C251" t="s">
        <v>991</v>
      </c>
      <c r="D251" t="s">
        <v>992</v>
      </c>
      <c r="E251" t="s">
        <v>993</v>
      </c>
      <c r="F251" t="s">
        <v>993</v>
      </c>
    </row>
    <row r="252" spans="1:6">
      <c r="A252" s="95">
        <v>44373</v>
      </c>
      <c r="B252" t="s">
        <v>994</v>
      </c>
      <c r="C252" t="s">
        <v>995</v>
      </c>
      <c r="D252" t="s">
        <v>996</v>
      </c>
      <c r="E252" t="s">
        <v>997</v>
      </c>
      <c r="F252" t="s">
        <v>997</v>
      </c>
    </row>
    <row r="253" spans="1:6">
      <c r="A253" s="95">
        <v>44374</v>
      </c>
      <c r="B253" t="s">
        <v>998</v>
      </c>
      <c r="C253" t="s">
        <v>999</v>
      </c>
      <c r="D253" t="s">
        <v>1000</v>
      </c>
      <c r="E253" t="s">
        <v>1001</v>
      </c>
      <c r="F253" t="s">
        <v>1001</v>
      </c>
    </row>
    <row r="254" spans="1:6">
      <c r="A254" s="95">
        <v>44375</v>
      </c>
      <c r="B254" t="s">
        <v>1002</v>
      </c>
      <c r="C254" t="s">
        <v>1003</v>
      </c>
      <c r="D254" t="s">
        <v>1004</v>
      </c>
      <c r="E254" t="s">
        <v>1005</v>
      </c>
      <c r="F254" t="s">
        <v>1005</v>
      </c>
    </row>
    <row r="255" spans="1:6">
      <c r="A255" s="95">
        <v>44376</v>
      </c>
      <c r="B255" t="s">
        <v>1006</v>
      </c>
      <c r="C255" t="s">
        <v>1007</v>
      </c>
      <c r="D255" t="s">
        <v>1008</v>
      </c>
      <c r="E255" t="s">
        <v>1009</v>
      </c>
      <c r="F255" t="s">
        <v>1009</v>
      </c>
    </row>
    <row r="256" spans="1:6">
      <c r="A256" s="95">
        <v>44377</v>
      </c>
      <c r="B256" t="s">
        <v>1010</v>
      </c>
      <c r="C256" t="s">
        <v>1011</v>
      </c>
      <c r="D256" t="s">
        <v>1012</v>
      </c>
      <c r="E256" t="s">
        <v>1013</v>
      </c>
      <c r="F256" t="s">
        <v>1013</v>
      </c>
    </row>
    <row r="257" spans="1:6">
      <c r="A257" s="95">
        <v>44378</v>
      </c>
      <c r="B257" t="s">
        <v>1014</v>
      </c>
      <c r="C257" t="s">
        <v>1014</v>
      </c>
      <c r="D257" t="s">
        <v>1015</v>
      </c>
      <c r="E257" t="s">
        <v>1016</v>
      </c>
      <c r="F257" t="s">
        <v>1016</v>
      </c>
    </row>
    <row r="258" spans="1:6">
      <c r="A258" s="95">
        <v>44379</v>
      </c>
      <c r="B258" t="s">
        <v>1017</v>
      </c>
      <c r="C258" t="s">
        <v>1018</v>
      </c>
      <c r="D258" t="s">
        <v>1019</v>
      </c>
      <c r="E258" t="s">
        <v>1020</v>
      </c>
      <c r="F258" t="s">
        <v>1020</v>
      </c>
    </row>
    <row r="259" spans="1:6">
      <c r="A259" s="95">
        <v>44380</v>
      </c>
      <c r="B259" t="s">
        <v>1021</v>
      </c>
      <c r="C259" t="s">
        <v>1022</v>
      </c>
      <c r="D259" t="s">
        <v>1023</v>
      </c>
      <c r="E259" t="s">
        <v>1024</v>
      </c>
      <c r="F259" t="s">
        <v>1024</v>
      </c>
    </row>
    <row r="260" spans="1:6">
      <c r="A260" s="95">
        <v>44381</v>
      </c>
      <c r="B260" t="s">
        <v>1025</v>
      </c>
      <c r="C260" t="s">
        <v>1026</v>
      </c>
      <c r="D260" t="s">
        <v>1027</v>
      </c>
      <c r="E260" t="s">
        <v>1028</v>
      </c>
      <c r="F260" t="s">
        <v>1028</v>
      </c>
    </row>
    <row r="261" spans="1:6">
      <c r="A261" s="95">
        <v>44383</v>
      </c>
      <c r="B261" t="s">
        <v>1029</v>
      </c>
      <c r="C261" t="s">
        <v>1030</v>
      </c>
      <c r="D261" t="s">
        <v>1031</v>
      </c>
      <c r="E261" t="s">
        <v>1032</v>
      </c>
      <c r="F261" t="s">
        <v>1032</v>
      </c>
    </row>
    <row r="262" spans="1:6">
      <c r="A262" s="95">
        <v>44384</v>
      </c>
      <c r="B262" t="s">
        <v>1033</v>
      </c>
      <c r="C262" t="s">
        <v>1034</v>
      </c>
      <c r="D262" t="s">
        <v>1035</v>
      </c>
      <c r="E262" t="s">
        <v>1036</v>
      </c>
      <c r="F262" t="s">
        <v>1036</v>
      </c>
    </row>
    <row r="263" spans="1:6">
      <c r="A263" s="95">
        <v>44385</v>
      </c>
      <c r="B263" t="s">
        <v>1037</v>
      </c>
      <c r="C263" t="s">
        <v>1038</v>
      </c>
      <c r="D263" t="s">
        <v>1039</v>
      </c>
      <c r="E263" t="s">
        <v>1040</v>
      </c>
      <c r="F263" t="s">
        <v>1040</v>
      </c>
    </row>
    <row r="264" spans="1:6">
      <c r="A264" s="95">
        <v>44386</v>
      </c>
      <c r="B264" t="s">
        <v>1041</v>
      </c>
      <c r="C264" t="s">
        <v>1042</v>
      </c>
      <c r="D264" t="s">
        <v>1043</v>
      </c>
      <c r="E264" t="s">
        <v>1044</v>
      </c>
      <c r="F264" t="s">
        <v>1044</v>
      </c>
    </row>
    <row r="265" spans="1:6">
      <c r="A265" s="95">
        <v>44387</v>
      </c>
      <c r="B265" t="s">
        <v>1045</v>
      </c>
      <c r="C265" t="s">
        <v>1046</v>
      </c>
      <c r="D265" t="s">
        <v>1047</v>
      </c>
      <c r="E265" t="s">
        <v>1048</v>
      </c>
      <c r="F265" t="s">
        <v>1048</v>
      </c>
    </row>
    <row r="266" spans="1:6">
      <c r="A266" s="95">
        <v>44388</v>
      </c>
      <c r="B266" t="s">
        <v>1049</v>
      </c>
      <c r="C266" t="s">
        <v>1050</v>
      </c>
      <c r="D266" t="s">
        <v>1051</v>
      </c>
      <c r="E266" t="s">
        <v>1052</v>
      </c>
      <c r="F266" t="s">
        <v>1052</v>
      </c>
    </row>
    <row r="267" spans="1:6">
      <c r="A267" s="95">
        <v>44389</v>
      </c>
      <c r="B267" t="s">
        <v>1053</v>
      </c>
      <c r="C267" t="s">
        <v>1054</v>
      </c>
      <c r="D267" t="s">
        <v>1055</v>
      </c>
      <c r="E267" t="s">
        <v>1056</v>
      </c>
      <c r="F267" t="s">
        <v>1056</v>
      </c>
    </row>
    <row r="268" spans="1:6">
      <c r="A268" s="95">
        <v>44390</v>
      </c>
      <c r="B268" t="s">
        <v>1057</v>
      </c>
      <c r="C268" t="s">
        <v>1058</v>
      </c>
      <c r="D268" t="s">
        <v>1059</v>
      </c>
      <c r="E268" t="s">
        <v>1060</v>
      </c>
      <c r="F268" t="s">
        <v>1060</v>
      </c>
    </row>
    <row r="269" spans="1:6">
      <c r="A269" s="95">
        <v>44391</v>
      </c>
      <c r="B269" t="s">
        <v>1061</v>
      </c>
      <c r="C269" t="s">
        <v>1062</v>
      </c>
      <c r="D269" t="s">
        <v>1063</v>
      </c>
      <c r="E269" t="s">
        <v>1064</v>
      </c>
      <c r="F269" t="s">
        <v>1064</v>
      </c>
    </row>
    <row r="270" spans="1:6">
      <c r="A270" s="95">
        <v>44392</v>
      </c>
      <c r="B270" t="s">
        <v>1065</v>
      </c>
      <c r="C270" t="s">
        <v>1066</v>
      </c>
      <c r="D270" t="s">
        <v>1067</v>
      </c>
      <c r="E270" t="s">
        <v>1068</v>
      </c>
      <c r="F270" t="s">
        <v>1068</v>
      </c>
    </row>
    <row r="271" spans="1:6">
      <c r="A271" s="95">
        <v>44393</v>
      </c>
      <c r="B271" t="s">
        <v>1069</v>
      </c>
      <c r="C271" t="s">
        <v>1070</v>
      </c>
      <c r="D271" t="s">
        <v>1071</v>
      </c>
      <c r="E271" t="s">
        <v>1072</v>
      </c>
      <c r="F271" t="s">
        <v>1072</v>
      </c>
    </row>
    <row r="272" spans="1:6">
      <c r="A272" s="95">
        <v>44395</v>
      </c>
      <c r="B272" t="s">
        <v>1073</v>
      </c>
      <c r="C272" t="s">
        <v>1074</v>
      </c>
      <c r="D272" t="s">
        <v>1075</v>
      </c>
      <c r="E272" t="s">
        <v>1076</v>
      </c>
      <c r="F272" t="s">
        <v>1076</v>
      </c>
    </row>
    <row r="273" spans="1:6">
      <c r="A273" s="95">
        <v>44396</v>
      </c>
      <c r="B273" t="s">
        <v>1077</v>
      </c>
      <c r="C273" t="s">
        <v>1078</v>
      </c>
      <c r="D273" t="s">
        <v>1079</v>
      </c>
      <c r="E273" t="s">
        <v>1080</v>
      </c>
      <c r="F273" t="s">
        <v>1080</v>
      </c>
    </row>
    <row r="274" spans="1:6">
      <c r="A274" s="95">
        <v>44397</v>
      </c>
      <c r="B274" t="s">
        <v>1081</v>
      </c>
      <c r="C274" t="s">
        <v>1082</v>
      </c>
      <c r="D274" t="s">
        <v>1083</v>
      </c>
      <c r="E274" t="s">
        <v>1084</v>
      </c>
      <c r="F274" t="s">
        <v>1084</v>
      </c>
    </row>
    <row r="275" spans="1:6">
      <c r="A275" s="95">
        <v>44398</v>
      </c>
      <c r="B275" t="s">
        <v>1085</v>
      </c>
      <c r="C275" t="s">
        <v>1086</v>
      </c>
      <c r="D275" t="s">
        <v>1087</v>
      </c>
      <c r="E275" t="s">
        <v>1088</v>
      </c>
      <c r="F275" t="s">
        <v>1088</v>
      </c>
    </row>
    <row r="276" spans="1:6">
      <c r="A276" s="95">
        <v>44399</v>
      </c>
      <c r="B276" t="s">
        <v>1089</v>
      </c>
      <c r="C276" t="s">
        <v>1090</v>
      </c>
      <c r="D276" t="s">
        <v>1091</v>
      </c>
      <c r="E276" t="s">
        <v>1092</v>
      </c>
      <c r="F276" t="s">
        <v>1092</v>
      </c>
    </row>
    <row r="277" spans="1:6">
      <c r="A277" s="95">
        <v>44400</v>
      </c>
      <c r="B277" t="s">
        <v>1093</v>
      </c>
      <c r="C277" t="s">
        <v>1094</v>
      </c>
      <c r="D277" t="s">
        <v>1095</v>
      </c>
      <c r="E277" t="s">
        <v>1094</v>
      </c>
      <c r="F277" t="s">
        <v>1094</v>
      </c>
    </row>
    <row r="278" spans="1:6">
      <c r="A278" s="95">
        <v>44401</v>
      </c>
      <c r="B278" t="s">
        <v>1096</v>
      </c>
      <c r="C278" t="s">
        <v>1097</v>
      </c>
      <c r="D278" t="s">
        <v>1098</v>
      </c>
      <c r="E278" t="s">
        <v>1099</v>
      </c>
      <c r="F278" t="s">
        <v>1099</v>
      </c>
    </row>
    <row r="279" spans="1:6">
      <c r="A279" s="95">
        <v>44402</v>
      </c>
      <c r="B279" t="s">
        <v>1100</v>
      </c>
      <c r="C279" t="s">
        <v>1101</v>
      </c>
      <c r="D279" t="s">
        <v>1102</v>
      </c>
      <c r="E279" t="s">
        <v>1103</v>
      </c>
      <c r="F279" t="s">
        <v>1103</v>
      </c>
    </row>
    <row r="280" spans="1:6">
      <c r="A280" s="95">
        <v>44403</v>
      </c>
      <c r="B280" t="s">
        <v>1104</v>
      </c>
      <c r="C280" t="s">
        <v>1105</v>
      </c>
      <c r="D280" t="s">
        <v>1106</v>
      </c>
      <c r="E280" t="s">
        <v>1107</v>
      </c>
      <c r="F280" t="s">
        <v>1107</v>
      </c>
    </row>
    <row r="281" spans="1:6">
      <c r="A281" s="95">
        <v>44404</v>
      </c>
      <c r="B281" t="s">
        <v>1108</v>
      </c>
      <c r="C281" t="s">
        <v>1109</v>
      </c>
      <c r="D281" t="s">
        <v>1110</v>
      </c>
      <c r="E281" t="s">
        <v>1109</v>
      </c>
      <c r="F281" t="s">
        <v>1109</v>
      </c>
    </row>
    <row r="282" spans="1:6">
      <c r="A282" s="95">
        <v>44405</v>
      </c>
      <c r="B282" t="s">
        <v>1111</v>
      </c>
      <c r="C282" t="s">
        <v>1112</v>
      </c>
      <c r="D282" t="s">
        <v>1113</v>
      </c>
      <c r="E282" t="s">
        <v>1114</v>
      </c>
      <c r="F282" t="s">
        <v>1114</v>
      </c>
    </row>
    <row r="283" spans="1:6">
      <c r="A283" s="95">
        <v>44406</v>
      </c>
      <c r="B283" t="s">
        <v>1115</v>
      </c>
      <c r="C283" t="s">
        <v>1116</v>
      </c>
      <c r="D283" t="s">
        <v>1117</v>
      </c>
      <c r="E283" t="s">
        <v>1118</v>
      </c>
      <c r="F283" t="s">
        <v>1118</v>
      </c>
    </row>
    <row r="284" spans="1:6">
      <c r="A284" s="95">
        <v>44407</v>
      </c>
      <c r="B284" t="s">
        <v>1119</v>
      </c>
      <c r="C284" t="s">
        <v>1120</v>
      </c>
      <c r="D284" t="s">
        <v>1121</v>
      </c>
      <c r="E284" t="s">
        <v>1120</v>
      </c>
      <c r="F284" t="s">
        <v>1120</v>
      </c>
    </row>
    <row r="285" spans="1:6">
      <c r="A285" s="95">
        <v>44408</v>
      </c>
      <c r="B285" t="s">
        <v>1122</v>
      </c>
      <c r="C285" t="s">
        <v>1123</v>
      </c>
      <c r="D285" t="s">
        <v>1124</v>
      </c>
      <c r="E285" t="s">
        <v>1125</v>
      </c>
      <c r="F285" t="s">
        <v>1125</v>
      </c>
    </row>
    <row r="286" spans="1:6">
      <c r="A286" s="95">
        <v>44410</v>
      </c>
      <c r="B286" t="s">
        <v>1126</v>
      </c>
      <c r="C286" t="s">
        <v>1127</v>
      </c>
      <c r="D286" t="s">
        <v>1128</v>
      </c>
      <c r="E286" t="s">
        <v>1129</v>
      </c>
      <c r="F286" t="s">
        <v>1129</v>
      </c>
    </row>
    <row r="287" spans="1:6">
      <c r="A287" s="95">
        <v>44411</v>
      </c>
      <c r="B287" t="s">
        <v>1130</v>
      </c>
      <c r="C287" t="s">
        <v>1131</v>
      </c>
      <c r="D287" t="s">
        <v>1132</v>
      </c>
      <c r="E287" t="s">
        <v>1133</v>
      </c>
      <c r="F287" t="s">
        <v>1133</v>
      </c>
    </row>
    <row r="288" spans="1:6">
      <c r="A288" s="95">
        <v>44412</v>
      </c>
      <c r="B288" t="s">
        <v>1134</v>
      </c>
      <c r="C288" t="s">
        <v>1135</v>
      </c>
      <c r="D288" t="s">
        <v>1136</v>
      </c>
      <c r="E288" t="s">
        <v>1137</v>
      </c>
      <c r="F288" t="s">
        <v>1137</v>
      </c>
    </row>
    <row r="289" spans="1:6">
      <c r="A289" s="95">
        <v>44413</v>
      </c>
      <c r="B289" t="s">
        <v>1138</v>
      </c>
      <c r="C289" t="s">
        <v>1139</v>
      </c>
      <c r="D289" t="s">
        <v>1140</v>
      </c>
      <c r="E289" t="s">
        <v>1141</v>
      </c>
      <c r="F289" t="s">
        <v>1141</v>
      </c>
    </row>
    <row r="290" spans="1:6">
      <c r="A290" s="95">
        <v>44414</v>
      </c>
      <c r="B290" t="s">
        <v>1142</v>
      </c>
      <c r="C290" t="s">
        <v>1143</v>
      </c>
      <c r="D290" t="s">
        <v>1144</v>
      </c>
      <c r="E290" t="s">
        <v>1145</v>
      </c>
      <c r="F290" t="s">
        <v>1145</v>
      </c>
    </row>
    <row r="291" spans="1:6">
      <c r="A291" s="95">
        <v>44415</v>
      </c>
      <c r="B291" t="s">
        <v>1146</v>
      </c>
      <c r="C291" t="s">
        <v>1147</v>
      </c>
      <c r="D291" t="s">
        <v>1148</v>
      </c>
      <c r="E291" t="s">
        <v>1149</v>
      </c>
      <c r="F291" t="s">
        <v>1149</v>
      </c>
    </row>
    <row r="292" spans="1:6">
      <c r="A292" s="95">
        <v>44417</v>
      </c>
      <c r="B292" t="s">
        <v>1150</v>
      </c>
      <c r="C292" t="s">
        <v>1151</v>
      </c>
      <c r="D292" t="s">
        <v>1152</v>
      </c>
      <c r="E292" t="s">
        <v>1153</v>
      </c>
      <c r="F292" t="s">
        <v>1153</v>
      </c>
    </row>
    <row r="293" spans="1:6">
      <c r="A293" s="95">
        <v>44418</v>
      </c>
      <c r="B293" t="s">
        <v>1154</v>
      </c>
      <c r="C293" t="s">
        <v>1155</v>
      </c>
      <c r="D293" t="s">
        <v>1156</v>
      </c>
      <c r="E293" t="s">
        <v>1157</v>
      </c>
      <c r="F293" t="s">
        <v>1157</v>
      </c>
    </row>
    <row r="294" spans="1:6">
      <c r="A294" s="95">
        <v>44419</v>
      </c>
      <c r="B294" t="s">
        <v>1158</v>
      </c>
      <c r="C294" t="s">
        <v>1159</v>
      </c>
      <c r="D294" t="s">
        <v>1160</v>
      </c>
      <c r="E294" t="s">
        <v>1161</v>
      </c>
      <c r="F294" t="s">
        <v>1161</v>
      </c>
    </row>
    <row r="295" spans="1:6">
      <c r="A295" s="95">
        <v>44420</v>
      </c>
      <c r="B295" t="s">
        <v>1162</v>
      </c>
      <c r="C295" t="s">
        <v>1163</v>
      </c>
      <c r="D295" t="s">
        <v>1164</v>
      </c>
      <c r="E295" t="s">
        <v>1165</v>
      </c>
      <c r="F295" t="s">
        <v>1165</v>
      </c>
    </row>
    <row r="296" spans="1:6">
      <c r="A296" s="95">
        <v>44421</v>
      </c>
      <c r="B296" t="s">
        <v>1166</v>
      </c>
      <c r="C296" t="s">
        <v>1167</v>
      </c>
      <c r="D296" t="s">
        <v>1168</v>
      </c>
      <c r="E296" t="s">
        <v>1169</v>
      </c>
      <c r="F296" t="s">
        <v>1169</v>
      </c>
    </row>
    <row r="297" spans="1:6">
      <c r="A297" s="95">
        <v>44422</v>
      </c>
      <c r="B297" t="s">
        <v>1170</v>
      </c>
      <c r="C297" t="s">
        <v>1171</v>
      </c>
      <c r="D297" t="s">
        <v>1172</v>
      </c>
      <c r="E297" t="s">
        <v>1173</v>
      </c>
      <c r="F297" t="s">
        <v>1173</v>
      </c>
    </row>
    <row r="298" spans="1:6">
      <c r="A298" s="95">
        <v>44423</v>
      </c>
      <c r="B298" t="s">
        <v>1174</v>
      </c>
      <c r="C298" t="s">
        <v>1175</v>
      </c>
      <c r="D298" t="s">
        <v>1176</v>
      </c>
      <c r="E298" t="s">
        <v>1177</v>
      </c>
      <c r="F298" t="s">
        <v>1177</v>
      </c>
    </row>
    <row r="299" spans="1:6">
      <c r="A299" s="95">
        <v>44424</v>
      </c>
      <c r="B299" t="s">
        <v>1178</v>
      </c>
      <c r="C299" t="s">
        <v>1179</v>
      </c>
      <c r="D299" t="s">
        <v>1180</v>
      </c>
      <c r="E299" t="s">
        <v>1181</v>
      </c>
      <c r="F299" t="s">
        <v>1181</v>
      </c>
    </row>
    <row r="300" spans="1:6">
      <c r="A300" s="95">
        <v>44425</v>
      </c>
      <c r="B300" t="s">
        <v>1182</v>
      </c>
      <c r="C300" t="s">
        <v>1183</v>
      </c>
      <c r="D300" t="s">
        <v>1184</v>
      </c>
      <c r="E300" t="s">
        <v>1185</v>
      </c>
      <c r="F300" t="s">
        <v>1185</v>
      </c>
    </row>
    <row r="301" spans="1:6">
      <c r="A301" s="95">
        <v>44427</v>
      </c>
      <c r="B301" t="s">
        <v>1186</v>
      </c>
      <c r="C301" t="s">
        <v>1187</v>
      </c>
      <c r="D301" t="s">
        <v>1188</v>
      </c>
      <c r="E301" t="s">
        <v>1189</v>
      </c>
      <c r="F301" t="s">
        <v>1189</v>
      </c>
    </row>
    <row r="302" spans="1:6">
      <c r="A302" s="95">
        <v>44428</v>
      </c>
      <c r="B302" t="s">
        <v>1190</v>
      </c>
      <c r="C302" t="s">
        <v>1191</v>
      </c>
      <c r="D302" t="s">
        <v>1192</v>
      </c>
      <c r="E302" t="s">
        <v>1193</v>
      </c>
      <c r="F302" t="s">
        <v>1193</v>
      </c>
    </row>
    <row r="303" spans="1:6">
      <c r="A303" s="95">
        <v>44429</v>
      </c>
      <c r="B303" t="s">
        <v>1194</v>
      </c>
      <c r="C303" t="s">
        <v>1195</v>
      </c>
      <c r="D303" t="s">
        <v>1196</v>
      </c>
      <c r="E303" t="s">
        <v>1197</v>
      </c>
      <c r="F303" t="s">
        <v>1197</v>
      </c>
    </row>
    <row r="304" spans="1:6">
      <c r="A304" s="95">
        <v>44430</v>
      </c>
      <c r="B304" t="s">
        <v>1198</v>
      </c>
      <c r="C304" t="s">
        <v>1199</v>
      </c>
      <c r="D304" t="s">
        <v>1200</v>
      </c>
      <c r="E304" t="s">
        <v>1201</v>
      </c>
      <c r="F304" t="s">
        <v>1201</v>
      </c>
    </row>
    <row r="305" spans="1:6">
      <c r="A305" s="95">
        <v>44432</v>
      </c>
      <c r="B305" t="s">
        <v>1202</v>
      </c>
      <c r="C305" t="s">
        <v>1203</v>
      </c>
      <c r="D305" t="s">
        <v>1204</v>
      </c>
      <c r="E305" t="s">
        <v>1205</v>
      </c>
      <c r="F305" t="s">
        <v>1205</v>
      </c>
    </row>
    <row r="306" spans="1:6">
      <c r="A306" s="95">
        <v>44433</v>
      </c>
      <c r="B306" t="s">
        <v>1206</v>
      </c>
      <c r="C306" t="s">
        <v>1207</v>
      </c>
      <c r="D306" t="s">
        <v>1208</v>
      </c>
      <c r="E306" t="s">
        <v>1209</v>
      </c>
      <c r="F306" t="s">
        <v>1209</v>
      </c>
    </row>
    <row r="307" spans="1:6">
      <c r="A307" s="95">
        <v>44434</v>
      </c>
      <c r="B307" t="s">
        <v>1210</v>
      </c>
      <c r="C307" t="s">
        <v>1211</v>
      </c>
      <c r="D307" t="s">
        <v>1212</v>
      </c>
      <c r="E307" t="s">
        <v>1213</v>
      </c>
      <c r="F307" t="s">
        <v>1213</v>
      </c>
    </row>
    <row r="308" spans="1:6">
      <c r="A308" s="95">
        <v>44435</v>
      </c>
      <c r="B308" t="s">
        <v>1214</v>
      </c>
      <c r="C308" t="s">
        <v>1215</v>
      </c>
      <c r="D308" t="s">
        <v>1216</v>
      </c>
      <c r="E308" t="s">
        <v>1217</v>
      </c>
      <c r="F308" t="s">
        <v>1217</v>
      </c>
    </row>
    <row r="309" spans="1:6">
      <c r="A309" s="95">
        <v>44436</v>
      </c>
      <c r="B309" t="s">
        <v>1218</v>
      </c>
      <c r="C309" t="s">
        <v>1219</v>
      </c>
      <c r="D309" t="s">
        <v>1220</v>
      </c>
      <c r="E309" t="s">
        <v>1221</v>
      </c>
      <c r="F309" t="s">
        <v>1221</v>
      </c>
    </row>
    <row r="310" spans="1:6">
      <c r="A310" s="95">
        <v>44437</v>
      </c>
      <c r="B310" t="s">
        <v>1222</v>
      </c>
      <c r="C310" t="s">
        <v>1223</v>
      </c>
      <c r="D310" t="s">
        <v>1224</v>
      </c>
      <c r="E310" t="s">
        <v>1225</v>
      </c>
      <c r="F310" t="s">
        <v>1225</v>
      </c>
    </row>
    <row r="311" spans="1:6">
      <c r="A311" s="95">
        <v>44438</v>
      </c>
      <c r="B311" t="s">
        <v>1226</v>
      </c>
      <c r="C311" t="s">
        <v>1227</v>
      </c>
      <c r="D311" t="s">
        <v>1228</v>
      </c>
      <c r="E311" t="s">
        <v>1229</v>
      </c>
      <c r="F311" t="s">
        <v>1229</v>
      </c>
    </row>
    <row r="312" spans="1:6">
      <c r="A312" s="95">
        <v>44439</v>
      </c>
      <c r="B312" t="s">
        <v>1230</v>
      </c>
      <c r="C312" t="s">
        <v>1231</v>
      </c>
      <c r="D312" t="s">
        <v>1232</v>
      </c>
      <c r="E312" t="s">
        <v>1233</v>
      </c>
      <c r="F312" t="s">
        <v>1233</v>
      </c>
    </row>
    <row r="313" spans="1:6">
      <c r="A313" s="95">
        <v>44440</v>
      </c>
      <c r="B313" t="s">
        <v>1234</v>
      </c>
      <c r="C313" t="s">
        <v>1235</v>
      </c>
      <c r="D313" t="s">
        <v>1236</v>
      </c>
      <c r="E313" t="s">
        <v>1237</v>
      </c>
      <c r="F313" t="s">
        <v>1237</v>
      </c>
    </row>
    <row r="314" spans="1:6">
      <c r="A314" s="95">
        <v>44441</v>
      </c>
      <c r="B314" t="s">
        <v>1238</v>
      </c>
      <c r="C314" t="s">
        <v>1239</v>
      </c>
      <c r="D314" t="s">
        <v>1240</v>
      </c>
      <c r="E314" t="s">
        <v>1241</v>
      </c>
      <c r="F314" t="s">
        <v>1241</v>
      </c>
    </row>
    <row r="315" spans="1:6">
      <c r="A315" s="95">
        <v>44442</v>
      </c>
      <c r="B315" t="s">
        <v>1242</v>
      </c>
      <c r="C315" t="s">
        <v>1243</v>
      </c>
      <c r="D315" t="s">
        <v>1244</v>
      </c>
      <c r="E315" t="s">
        <v>1245</v>
      </c>
      <c r="F315" t="s">
        <v>1245</v>
      </c>
    </row>
    <row r="316" spans="1:6">
      <c r="A316" s="95">
        <v>44443</v>
      </c>
      <c r="B316" t="s">
        <v>1246</v>
      </c>
      <c r="C316" t="s">
        <v>1247</v>
      </c>
      <c r="D316" t="s">
        <v>1248</v>
      </c>
      <c r="E316" t="s">
        <v>1249</v>
      </c>
      <c r="F316" t="s">
        <v>1249</v>
      </c>
    </row>
    <row r="317" spans="1:6">
      <c r="A317" s="95">
        <v>44445</v>
      </c>
      <c r="B317" t="s">
        <v>1250</v>
      </c>
      <c r="C317" t="s">
        <v>1251</v>
      </c>
      <c r="D317" t="s">
        <v>1252</v>
      </c>
      <c r="E317" t="s">
        <v>1253</v>
      </c>
      <c r="F317" t="s">
        <v>1253</v>
      </c>
    </row>
    <row r="318" spans="1:6">
      <c r="A318" s="95">
        <v>44447</v>
      </c>
      <c r="B318" t="s">
        <v>1254</v>
      </c>
      <c r="C318" t="s">
        <v>1255</v>
      </c>
      <c r="D318" t="s">
        <v>1256</v>
      </c>
      <c r="E318" t="s">
        <v>1257</v>
      </c>
      <c r="F318" t="s">
        <v>1257</v>
      </c>
    </row>
    <row r="319" spans="1:6">
      <c r="A319" s="95">
        <v>44448</v>
      </c>
      <c r="B319" t="s">
        <v>1258</v>
      </c>
      <c r="C319" t="s">
        <v>1259</v>
      </c>
      <c r="D319" t="s">
        <v>1260</v>
      </c>
      <c r="E319" t="s">
        <v>1261</v>
      </c>
      <c r="F319" t="s">
        <v>1261</v>
      </c>
    </row>
    <row r="320" spans="1:6">
      <c r="A320" s="95">
        <v>44449</v>
      </c>
      <c r="B320" t="s">
        <v>1262</v>
      </c>
      <c r="C320" t="s">
        <v>1263</v>
      </c>
      <c r="D320" t="s">
        <v>1264</v>
      </c>
      <c r="E320" t="s">
        <v>1265</v>
      </c>
      <c r="F320" t="s">
        <v>1265</v>
      </c>
    </row>
    <row r="321" spans="1:6">
      <c r="A321" s="95">
        <v>44451</v>
      </c>
      <c r="B321" t="s">
        <v>1266</v>
      </c>
      <c r="C321" t="s">
        <v>1267</v>
      </c>
      <c r="D321" t="s">
        <v>1268</v>
      </c>
      <c r="E321" t="s">
        <v>1269</v>
      </c>
      <c r="F321" t="s">
        <v>1269</v>
      </c>
    </row>
    <row r="322" spans="1:6">
      <c r="A322" s="95">
        <v>44452</v>
      </c>
      <c r="B322" t="s">
        <v>1270</v>
      </c>
      <c r="C322" t="s">
        <v>1271</v>
      </c>
      <c r="D322" t="s">
        <v>1272</v>
      </c>
      <c r="E322" t="s">
        <v>1273</v>
      </c>
      <c r="F322" t="s">
        <v>1273</v>
      </c>
    </row>
    <row r="323" spans="1:6">
      <c r="A323" s="95">
        <v>44453</v>
      </c>
      <c r="B323" t="s">
        <v>1274</v>
      </c>
      <c r="C323" t="s">
        <v>1275</v>
      </c>
      <c r="D323" t="s">
        <v>1276</v>
      </c>
      <c r="E323" t="s">
        <v>1277</v>
      </c>
      <c r="F323" t="s">
        <v>1277</v>
      </c>
    </row>
    <row r="324" spans="1:6">
      <c r="A324" s="95">
        <v>44454</v>
      </c>
      <c r="B324" t="s">
        <v>1278</v>
      </c>
      <c r="C324" t="s">
        <v>1279</v>
      </c>
      <c r="D324" t="s">
        <v>1280</v>
      </c>
      <c r="E324" t="s">
        <v>1281</v>
      </c>
      <c r="F324" t="s">
        <v>1281</v>
      </c>
    </row>
    <row r="325" spans="1:6">
      <c r="A325" s="95">
        <v>44455</v>
      </c>
      <c r="B325" t="s">
        <v>1282</v>
      </c>
      <c r="C325" t="s">
        <v>1283</v>
      </c>
      <c r="D325" t="s">
        <v>1284</v>
      </c>
      <c r="E325" t="s">
        <v>1285</v>
      </c>
      <c r="F325" t="s">
        <v>1285</v>
      </c>
    </row>
    <row r="326" spans="1:6">
      <c r="A326" s="95">
        <v>44456</v>
      </c>
      <c r="B326" t="s">
        <v>1286</v>
      </c>
      <c r="C326" t="s">
        <v>1287</v>
      </c>
      <c r="D326" t="s">
        <v>1288</v>
      </c>
      <c r="E326" t="s">
        <v>1289</v>
      </c>
      <c r="F326" t="s">
        <v>1289</v>
      </c>
    </row>
    <row r="327" spans="1:6">
      <c r="A327" s="95">
        <v>44457</v>
      </c>
      <c r="B327" t="s">
        <v>1290</v>
      </c>
      <c r="C327" t="s">
        <v>1291</v>
      </c>
      <c r="D327" t="s">
        <v>1292</v>
      </c>
      <c r="E327" t="s">
        <v>1293</v>
      </c>
      <c r="F327" t="s">
        <v>1293</v>
      </c>
    </row>
    <row r="328" spans="1:6">
      <c r="A328" s="95">
        <v>44458</v>
      </c>
      <c r="B328" t="s">
        <v>1294</v>
      </c>
      <c r="C328" t="s">
        <v>1295</v>
      </c>
      <c r="D328" t="s">
        <v>1296</v>
      </c>
      <c r="E328" t="s">
        <v>1297</v>
      </c>
      <c r="F328" t="s">
        <v>1297</v>
      </c>
    </row>
    <row r="329" spans="1:6">
      <c r="A329" s="95">
        <v>44459</v>
      </c>
      <c r="B329" t="s">
        <v>1298</v>
      </c>
      <c r="C329" t="s">
        <v>1299</v>
      </c>
      <c r="D329" t="s">
        <v>1300</v>
      </c>
      <c r="E329" t="s">
        <v>1301</v>
      </c>
      <c r="F329" t="s">
        <v>1301</v>
      </c>
    </row>
    <row r="330" spans="1:6">
      <c r="A330" s="95">
        <v>44460</v>
      </c>
      <c r="B330" t="s">
        <v>1302</v>
      </c>
      <c r="C330" t="s">
        <v>1303</v>
      </c>
      <c r="D330" t="s">
        <v>1304</v>
      </c>
      <c r="E330" t="s">
        <v>1305</v>
      </c>
      <c r="F330" t="s">
        <v>1305</v>
      </c>
    </row>
    <row r="331" spans="1:6">
      <c r="A331" s="95">
        <v>44461</v>
      </c>
      <c r="B331" t="s">
        <v>1306</v>
      </c>
      <c r="C331" t="s">
        <v>1307</v>
      </c>
      <c r="D331" t="s">
        <v>1308</v>
      </c>
      <c r="E331" t="s">
        <v>1309</v>
      </c>
      <c r="F331" t="s">
        <v>1309</v>
      </c>
    </row>
    <row r="332" spans="1:6">
      <c r="A332" s="95">
        <v>44462</v>
      </c>
      <c r="B332" t="s">
        <v>1310</v>
      </c>
      <c r="C332" t="s">
        <v>1311</v>
      </c>
      <c r="D332" t="s">
        <v>1312</v>
      </c>
      <c r="E332" t="s">
        <v>1313</v>
      </c>
      <c r="F332" t="s">
        <v>1313</v>
      </c>
    </row>
    <row r="333" spans="1:6">
      <c r="A333" s="95">
        <v>44463</v>
      </c>
      <c r="B333" t="s">
        <v>1314</v>
      </c>
      <c r="C333" t="s">
        <v>1315</v>
      </c>
      <c r="D333" t="s">
        <v>1316</v>
      </c>
      <c r="E333" t="s">
        <v>1317</v>
      </c>
      <c r="F333" t="s">
        <v>1317</v>
      </c>
    </row>
    <row r="334" spans="1:6">
      <c r="A334" s="95">
        <v>44464</v>
      </c>
      <c r="B334" t="s">
        <v>1318</v>
      </c>
      <c r="C334" t="s">
        <v>1319</v>
      </c>
      <c r="D334" t="s">
        <v>1320</v>
      </c>
      <c r="E334" t="s">
        <v>1321</v>
      </c>
      <c r="F334" t="s">
        <v>1321</v>
      </c>
    </row>
    <row r="335" spans="1:6">
      <c r="A335" s="95">
        <v>44465</v>
      </c>
      <c r="B335" t="s">
        <v>1322</v>
      </c>
      <c r="C335" t="s">
        <v>1323</v>
      </c>
      <c r="D335" t="s">
        <v>1324</v>
      </c>
      <c r="E335" t="s">
        <v>1325</v>
      </c>
      <c r="F335" t="s">
        <v>1325</v>
      </c>
    </row>
    <row r="336" spans="1:6">
      <c r="A336" s="95">
        <v>44466</v>
      </c>
      <c r="B336" t="s">
        <v>1326</v>
      </c>
      <c r="C336" t="s">
        <v>1327</v>
      </c>
      <c r="D336" t="s">
        <v>1328</v>
      </c>
      <c r="E336" t="s">
        <v>1329</v>
      </c>
      <c r="F336" t="s">
        <v>1329</v>
      </c>
    </row>
    <row r="337" spans="1:6">
      <c r="A337" s="95">
        <v>44467</v>
      </c>
      <c r="B337" t="s">
        <v>1330</v>
      </c>
      <c r="C337" t="s">
        <v>1331</v>
      </c>
      <c r="D337" t="s">
        <v>1332</v>
      </c>
      <c r="E337" t="s">
        <v>1333</v>
      </c>
      <c r="F337" t="s">
        <v>1333</v>
      </c>
    </row>
    <row r="338" spans="1:6">
      <c r="A338" s="95">
        <v>44468</v>
      </c>
      <c r="B338" t="s">
        <v>1334</v>
      </c>
      <c r="C338" t="s">
        <v>1335</v>
      </c>
      <c r="D338" t="s">
        <v>1336</v>
      </c>
      <c r="E338" t="s">
        <v>1337</v>
      </c>
      <c r="F338" t="s">
        <v>1337</v>
      </c>
    </row>
    <row r="339" spans="1:6">
      <c r="A339" s="95">
        <v>44469</v>
      </c>
      <c r="B339" t="s">
        <v>1338</v>
      </c>
      <c r="C339" t="s">
        <v>1339</v>
      </c>
      <c r="D339" t="s">
        <v>1340</v>
      </c>
      <c r="E339" t="s">
        <v>1341</v>
      </c>
      <c r="F339" t="s">
        <v>1341</v>
      </c>
    </row>
    <row r="340" spans="1:6">
      <c r="A340" s="95">
        <v>44470</v>
      </c>
      <c r="B340" t="s">
        <v>1342</v>
      </c>
      <c r="C340" t="s">
        <v>1343</v>
      </c>
      <c r="D340" t="s">
        <v>1344</v>
      </c>
      <c r="E340" t="s">
        <v>1345</v>
      </c>
      <c r="F340" t="s">
        <v>1345</v>
      </c>
    </row>
    <row r="341" spans="1:6">
      <c r="A341" s="95">
        <v>44471</v>
      </c>
      <c r="B341" t="s">
        <v>1346</v>
      </c>
      <c r="C341" t="s">
        <v>1347</v>
      </c>
      <c r="D341" t="s">
        <v>1348</v>
      </c>
      <c r="E341" t="s">
        <v>1349</v>
      </c>
      <c r="F341" t="s">
        <v>1349</v>
      </c>
    </row>
    <row r="342" spans="1:6">
      <c r="A342" s="95">
        <v>44472</v>
      </c>
      <c r="B342" t="s">
        <v>1350</v>
      </c>
      <c r="C342" t="s">
        <v>1351</v>
      </c>
      <c r="D342" t="s">
        <v>1352</v>
      </c>
      <c r="E342" t="s">
        <v>1353</v>
      </c>
      <c r="F342" t="s">
        <v>1353</v>
      </c>
    </row>
    <row r="343" spans="1:6">
      <c r="A343" s="95">
        <v>44473</v>
      </c>
      <c r="B343" t="s">
        <v>1354</v>
      </c>
      <c r="C343" t="s">
        <v>1355</v>
      </c>
      <c r="D343" t="s">
        <v>1356</v>
      </c>
      <c r="E343" t="s">
        <v>1357</v>
      </c>
      <c r="F343" t="s">
        <v>1357</v>
      </c>
    </row>
    <row r="344" spans="1:6">
      <c r="A344" s="95">
        <v>44474</v>
      </c>
      <c r="B344" t="s">
        <v>1358</v>
      </c>
      <c r="C344" t="s">
        <v>1359</v>
      </c>
      <c r="D344" t="s">
        <v>1360</v>
      </c>
      <c r="E344" t="s">
        <v>1361</v>
      </c>
      <c r="F344" t="s">
        <v>1361</v>
      </c>
    </row>
    <row r="345" spans="1:6">
      <c r="A345" s="95">
        <v>44475</v>
      </c>
      <c r="B345" t="s">
        <v>1362</v>
      </c>
      <c r="C345" t="s">
        <v>1363</v>
      </c>
      <c r="D345" t="s">
        <v>1364</v>
      </c>
      <c r="E345" t="s">
        <v>1365</v>
      </c>
      <c r="F345" t="s">
        <v>1365</v>
      </c>
    </row>
    <row r="346" spans="1:6">
      <c r="A346" s="95">
        <v>44476</v>
      </c>
      <c r="B346" t="s">
        <v>1366</v>
      </c>
      <c r="C346" t="s">
        <v>1366</v>
      </c>
      <c r="D346" t="s">
        <v>1367</v>
      </c>
      <c r="E346" t="s">
        <v>1368</v>
      </c>
      <c r="F346" t="s">
        <v>1368</v>
      </c>
    </row>
    <row r="347" spans="1:6">
      <c r="A347" s="95">
        <v>44477</v>
      </c>
      <c r="B347" t="s">
        <v>1369</v>
      </c>
      <c r="C347" t="s">
        <v>1370</v>
      </c>
      <c r="D347" t="s">
        <v>1371</v>
      </c>
      <c r="E347" t="s">
        <v>1372</v>
      </c>
      <c r="F347" t="s">
        <v>1372</v>
      </c>
    </row>
    <row r="348" spans="1:6">
      <c r="A348" s="95">
        <v>44479</v>
      </c>
      <c r="B348" t="s">
        <v>1373</v>
      </c>
      <c r="C348" t="s">
        <v>1374</v>
      </c>
      <c r="D348" t="s">
        <v>1375</v>
      </c>
      <c r="E348" t="s">
        <v>1376</v>
      </c>
      <c r="F348" t="s">
        <v>1376</v>
      </c>
    </row>
    <row r="349" spans="1:6">
      <c r="A349" s="95">
        <v>44480</v>
      </c>
      <c r="B349" t="s">
        <v>1377</v>
      </c>
      <c r="C349" t="s">
        <v>1378</v>
      </c>
      <c r="D349" t="s">
        <v>1379</v>
      </c>
      <c r="E349" t="s">
        <v>1380</v>
      </c>
      <c r="F349" t="s">
        <v>1380</v>
      </c>
    </row>
    <row r="350" spans="1:6">
      <c r="A350" s="95">
        <v>44481</v>
      </c>
      <c r="B350" t="s">
        <v>1381</v>
      </c>
      <c r="C350" t="s">
        <v>1382</v>
      </c>
      <c r="D350" t="s">
        <v>1383</v>
      </c>
      <c r="E350" t="s">
        <v>1384</v>
      </c>
      <c r="F350" t="s">
        <v>1384</v>
      </c>
    </row>
    <row r="351" spans="1:6">
      <c r="A351" s="95">
        <v>44482</v>
      </c>
      <c r="B351" t="s">
        <v>1385</v>
      </c>
      <c r="C351" t="s">
        <v>1386</v>
      </c>
      <c r="D351" t="s">
        <v>1387</v>
      </c>
      <c r="E351" t="s">
        <v>1388</v>
      </c>
      <c r="F351" t="s">
        <v>1388</v>
      </c>
    </row>
    <row r="352" spans="1:6">
      <c r="A352" s="95">
        <v>44483</v>
      </c>
      <c r="B352" t="s">
        <v>1389</v>
      </c>
      <c r="C352" t="s">
        <v>1390</v>
      </c>
      <c r="D352" t="s">
        <v>1391</v>
      </c>
      <c r="E352" t="s">
        <v>1392</v>
      </c>
      <c r="F352" t="s">
        <v>1392</v>
      </c>
    </row>
    <row r="353" spans="1:6">
      <c r="A353" s="95">
        <v>44484</v>
      </c>
      <c r="B353" t="s">
        <v>1393</v>
      </c>
      <c r="C353" t="s">
        <v>1394</v>
      </c>
      <c r="D353" t="s">
        <v>1395</v>
      </c>
      <c r="E353" t="s">
        <v>1396</v>
      </c>
      <c r="F353" t="s">
        <v>1396</v>
      </c>
    </row>
    <row r="354" spans="1:6">
      <c r="A354" s="95">
        <v>44485</v>
      </c>
      <c r="B354" t="s">
        <v>1397</v>
      </c>
      <c r="C354" t="s">
        <v>1398</v>
      </c>
      <c r="D354" t="s">
        <v>1399</v>
      </c>
      <c r="E354" t="s">
        <v>1400</v>
      </c>
      <c r="F354" t="s">
        <v>1400</v>
      </c>
    </row>
    <row r="355" spans="1:6">
      <c r="A355" s="95">
        <v>44486</v>
      </c>
      <c r="B355" t="s">
        <v>1401</v>
      </c>
      <c r="C355" t="s">
        <v>1402</v>
      </c>
      <c r="D355" t="s">
        <v>1403</v>
      </c>
      <c r="E355" t="s">
        <v>1404</v>
      </c>
      <c r="F355" t="s">
        <v>1404</v>
      </c>
    </row>
    <row r="356" spans="1:6">
      <c r="A356" s="95">
        <v>44487</v>
      </c>
      <c r="B356" t="s">
        <v>1405</v>
      </c>
      <c r="C356" t="s">
        <v>1406</v>
      </c>
      <c r="D356" t="s">
        <v>1407</v>
      </c>
      <c r="E356" t="s">
        <v>1408</v>
      </c>
      <c r="F356" t="s">
        <v>1408</v>
      </c>
    </row>
    <row r="357" spans="1:6">
      <c r="A357" s="95">
        <v>44488</v>
      </c>
      <c r="B357" t="s">
        <v>1409</v>
      </c>
      <c r="C357" t="s">
        <v>1410</v>
      </c>
      <c r="D357" t="s">
        <v>1411</v>
      </c>
      <c r="E357" t="s">
        <v>1412</v>
      </c>
      <c r="F357" t="s">
        <v>1412</v>
      </c>
    </row>
    <row r="358" spans="1:6">
      <c r="A358" s="95">
        <v>44489</v>
      </c>
      <c r="B358" t="s">
        <v>1413</v>
      </c>
      <c r="C358" t="s">
        <v>1414</v>
      </c>
      <c r="D358" t="s">
        <v>1415</v>
      </c>
      <c r="E358" t="s">
        <v>1416</v>
      </c>
      <c r="F358" t="s">
        <v>1416</v>
      </c>
    </row>
    <row r="359" spans="1:6">
      <c r="A359" s="95">
        <v>44490</v>
      </c>
      <c r="B359" t="s">
        <v>1417</v>
      </c>
      <c r="C359" t="s">
        <v>1418</v>
      </c>
      <c r="D359" t="s">
        <v>1419</v>
      </c>
      <c r="E359" t="s">
        <v>1420</v>
      </c>
      <c r="F359" t="s">
        <v>1420</v>
      </c>
    </row>
    <row r="360" spans="1:6">
      <c r="A360" s="95">
        <v>44492</v>
      </c>
      <c r="B360" t="s">
        <v>1421</v>
      </c>
      <c r="C360" t="s">
        <v>1422</v>
      </c>
      <c r="D360" t="s">
        <v>1423</v>
      </c>
      <c r="E360" t="s">
        <v>1424</v>
      </c>
      <c r="F360" t="s">
        <v>1424</v>
      </c>
    </row>
    <row r="361" spans="1:6">
      <c r="A361" s="95">
        <v>44493</v>
      </c>
      <c r="B361" t="s">
        <v>1425</v>
      </c>
      <c r="C361" t="s">
        <v>1426</v>
      </c>
      <c r="D361" t="s">
        <v>1427</v>
      </c>
      <c r="E361" t="s">
        <v>1428</v>
      </c>
      <c r="F361" t="s">
        <v>1428</v>
      </c>
    </row>
    <row r="362" spans="1:6">
      <c r="A362" s="95">
        <v>44494</v>
      </c>
      <c r="B362" t="s">
        <v>1429</v>
      </c>
      <c r="C362" t="s">
        <v>1430</v>
      </c>
      <c r="D362" t="s">
        <v>1431</v>
      </c>
      <c r="E362" t="s">
        <v>1432</v>
      </c>
      <c r="F362" t="s">
        <v>1432</v>
      </c>
    </row>
    <row r="363" spans="1:6">
      <c r="A363" s="95">
        <v>44495</v>
      </c>
      <c r="B363" t="s">
        <v>1433</v>
      </c>
      <c r="C363" t="s">
        <v>1434</v>
      </c>
      <c r="D363" t="s">
        <v>1435</v>
      </c>
      <c r="E363" t="s">
        <v>1436</v>
      </c>
      <c r="F363" t="s">
        <v>1436</v>
      </c>
    </row>
    <row r="364" spans="1:6">
      <c r="A364" s="95">
        <v>44496</v>
      </c>
      <c r="B364" t="s">
        <v>1437</v>
      </c>
      <c r="C364" t="s">
        <v>1438</v>
      </c>
      <c r="D364" t="s">
        <v>1439</v>
      </c>
      <c r="E364" t="s">
        <v>1440</v>
      </c>
      <c r="F364" t="s">
        <v>1440</v>
      </c>
    </row>
    <row r="365" spans="1:6">
      <c r="A365" s="95">
        <v>44497</v>
      </c>
      <c r="B365" t="s">
        <v>1441</v>
      </c>
      <c r="C365" t="s">
        <v>1442</v>
      </c>
      <c r="D365" t="s">
        <v>1443</v>
      </c>
      <c r="E365" t="s">
        <v>1444</v>
      </c>
      <c r="F365" t="s">
        <v>1444</v>
      </c>
    </row>
    <row r="366" spans="1:6">
      <c r="A366" s="95">
        <v>44498</v>
      </c>
      <c r="B366" t="s">
        <v>1445</v>
      </c>
      <c r="C366" t="s">
        <v>1446</v>
      </c>
      <c r="D366" t="s">
        <v>1447</v>
      </c>
      <c r="E366" t="s">
        <v>1448</v>
      </c>
      <c r="F366" t="s">
        <v>1448</v>
      </c>
    </row>
    <row r="367" spans="1:6">
      <c r="A367" s="95">
        <v>44500</v>
      </c>
      <c r="B367" t="s">
        <v>1449</v>
      </c>
      <c r="C367" t="s">
        <v>1450</v>
      </c>
      <c r="D367" t="s">
        <v>1451</v>
      </c>
      <c r="E367" t="s">
        <v>1452</v>
      </c>
      <c r="F367" t="s">
        <v>1452</v>
      </c>
    </row>
    <row r="368" spans="1:6">
      <c r="A368" s="95">
        <v>44501</v>
      </c>
      <c r="B368" t="s">
        <v>1453</v>
      </c>
      <c r="C368" t="s">
        <v>1454</v>
      </c>
      <c r="D368" t="s">
        <v>1455</v>
      </c>
      <c r="E368" t="s">
        <v>1456</v>
      </c>
      <c r="F368" t="s">
        <v>1456</v>
      </c>
    </row>
    <row r="369" spans="1:6">
      <c r="A369" s="95">
        <v>44502</v>
      </c>
      <c r="B369" t="s">
        <v>1457</v>
      </c>
      <c r="C369" t="s">
        <v>1458</v>
      </c>
      <c r="D369" t="s">
        <v>1459</v>
      </c>
      <c r="E369" t="s">
        <v>1460</v>
      </c>
      <c r="F369" t="s">
        <v>1460</v>
      </c>
    </row>
    <row r="370" spans="1:6">
      <c r="A370" s="95">
        <v>44503</v>
      </c>
      <c r="B370" t="s">
        <v>1461</v>
      </c>
      <c r="C370" t="s">
        <v>1462</v>
      </c>
      <c r="D370" t="s">
        <v>1463</v>
      </c>
      <c r="E370" t="s">
        <v>1464</v>
      </c>
      <c r="F370" t="s">
        <v>1464</v>
      </c>
    </row>
    <row r="371" spans="1:6">
      <c r="A371" s="95">
        <v>44506</v>
      </c>
      <c r="B371" t="s">
        <v>1465</v>
      </c>
      <c r="C371" t="s">
        <v>1466</v>
      </c>
      <c r="D371" t="s">
        <v>1467</v>
      </c>
      <c r="E371" t="s">
        <v>1468</v>
      </c>
      <c r="F371" t="s">
        <v>1468</v>
      </c>
    </row>
    <row r="372" spans="1:6">
      <c r="A372" s="95">
        <v>44507</v>
      </c>
      <c r="B372" t="s">
        <v>1469</v>
      </c>
      <c r="C372" t="s">
        <v>1470</v>
      </c>
      <c r="D372" t="s">
        <v>1471</v>
      </c>
      <c r="E372" t="s">
        <v>1470</v>
      </c>
      <c r="F372" t="s">
        <v>1470</v>
      </c>
    </row>
    <row r="373" spans="1:6">
      <c r="A373" s="95">
        <v>44508</v>
      </c>
      <c r="B373" t="s">
        <v>1472</v>
      </c>
      <c r="C373" t="s">
        <v>1473</v>
      </c>
      <c r="D373" t="s">
        <v>1472</v>
      </c>
      <c r="E373" t="s">
        <v>1474</v>
      </c>
      <c r="F373" t="s">
        <v>1474</v>
      </c>
    </row>
    <row r="374" spans="1:6">
      <c r="A374" s="95">
        <v>44509</v>
      </c>
      <c r="B374" t="s">
        <v>1475</v>
      </c>
      <c r="C374" t="s">
        <v>1476</v>
      </c>
      <c r="D374" t="s">
        <v>1477</v>
      </c>
      <c r="E374" t="s">
        <v>1478</v>
      </c>
      <c r="F374" t="s">
        <v>1478</v>
      </c>
    </row>
    <row r="375" spans="1:6">
      <c r="A375" s="95">
        <v>44510</v>
      </c>
      <c r="B375" t="s">
        <v>1479</v>
      </c>
      <c r="C375" t="s">
        <v>1480</v>
      </c>
      <c r="D375" t="s">
        <v>1481</v>
      </c>
      <c r="E375" t="s">
        <v>1482</v>
      </c>
      <c r="F375" t="s">
        <v>1482</v>
      </c>
    </row>
    <row r="376" spans="1:6">
      <c r="A376" s="95">
        <v>44512</v>
      </c>
      <c r="B376" t="s">
        <v>1483</v>
      </c>
      <c r="C376" t="s">
        <v>1484</v>
      </c>
      <c r="D376" t="s">
        <v>1485</v>
      </c>
      <c r="E376" t="s">
        <v>1486</v>
      </c>
      <c r="F376" t="s">
        <v>1486</v>
      </c>
    </row>
    <row r="377" spans="1:6">
      <c r="A377" s="95">
        <v>44513</v>
      </c>
      <c r="B377" t="s">
        <v>1487</v>
      </c>
      <c r="C377" t="s">
        <v>1488</v>
      </c>
      <c r="D377" t="s">
        <v>1489</v>
      </c>
      <c r="E377" t="s">
        <v>1490</v>
      </c>
      <c r="F377" t="s">
        <v>1490</v>
      </c>
    </row>
    <row r="378" spans="1:6">
      <c r="A378" s="95">
        <v>44514</v>
      </c>
      <c r="B378" t="s">
        <v>1491</v>
      </c>
      <c r="C378" t="s">
        <v>1492</v>
      </c>
      <c r="D378" t="s">
        <v>1493</v>
      </c>
      <c r="E378" t="s">
        <v>1494</v>
      </c>
      <c r="F378" t="s">
        <v>1494</v>
      </c>
    </row>
    <row r="379" spans="1:6">
      <c r="A379" s="95">
        <v>44515</v>
      </c>
      <c r="B379" t="s">
        <v>1495</v>
      </c>
      <c r="C379" t="s">
        <v>1496</v>
      </c>
      <c r="D379" t="s">
        <v>1497</v>
      </c>
      <c r="E379" t="s">
        <v>1498</v>
      </c>
      <c r="F379" t="s">
        <v>1498</v>
      </c>
    </row>
    <row r="380" spans="1:6">
      <c r="A380" s="95">
        <v>44516</v>
      </c>
      <c r="B380" t="s">
        <v>1499</v>
      </c>
      <c r="C380" t="s">
        <v>1499</v>
      </c>
      <c r="D380" t="s">
        <v>1500</v>
      </c>
      <c r="E380" t="s">
        <v>1501</v>
      </c>
      <c r="F380" t="s">
        <v>1501</v>
      </c>
    </row>
    <row r="381" spans="1:6">
      <c r="A381" s="95">
        <v>44517</v>
      </c>
      <c r="B381" t="s">
        <v>1502</v>
      </c>
      <c r="C381" t="s">
        <v>1503</v>
      </c>
      <c r="D381" t="s">
        <v>1504</v>
      </c>
      <c r="E381" t="s">
        <v>1505</v>
      </c>
      <c r="F381" t="s">
        <v>1505</v>
      </c>
    </row>
    <row r="382" spans="1:6">
      <c r="A382" s="95">
        <v>44518</v>
      </c>
      <c r="B382" t="s">
        <v>1506</v>
      </c>
      <c r="C382" t="s">
        <v>1507</v>
      </c>
      <c r="D382" t="s">
        <v>1508</v>
      </c>
      <c r="E382" t="s">
        <v>1509</v>
      </c>
      <c r="F382" t="s">
        <v>1509</v>
      </c>
    </row>
    <row r="383" spans="1:6">
      <c r="A383" s="95">
        <v>44519</v>
      </c>
      <c r="B383" t="s">
        <v>1510</v>
      </c>
      <c r="C383" t="s">
        <v>1511</v>
      </c>
      <c r="D383" t="s">
        <v>1512</v>
      </c>
      <c r="E383" t="s">
        <v>1513</v>
      </c>
      <c r="F383" t="s">
        <v>1513</v>
      </c>
    </row>
    <row r="384" spans="1:6">
      <c r="A384" s="95">
        <v>44520</v>
      </c>
      <c r="B384" t="s">
        <v>1514</v>
      </c>
      <c r="C384" t="s">
        <v>1515</v>
      </c>
      <c r="D384" t="s">
        <v>1516</v>
      </c>
      <c r="E384" t="s">
        <v>1517</v>
      </c>
      <c r="F384" t="s">
        <v>1517</v>
      </c>
    </row>
    <row r="385" spans="1:6">
      <c r="A385" s="95">
        <v>44521</v>
      </c>
      <c r="B385" t="s">
        <v>1518</v>
      </c>
      <c r="C385" t="s">
        <v>1519</v>
      </c>
      <c r="D385" t="s">
        <v>1520</v>
      </c>
      <c r="E385" t="s">
        <v>1521</v>
      </c>
      <c r="F385" t="s">
        <v>1521</v>
      </c>
    </row>
    <row r="386" spans="1:6">
      <c r="A386" s="95">
        <v>44522</v>
      </c>
      <c r="B386" t="s">
        <v>1522</v>
      </c>
      <c r="C386" t="s">
        <v>1523</v>
      </c>
      <c r="D386" t="s">
        <v>1524</v>
      </c>
      <c r="E386" t="s">
        <v>1525</v>
      </c>
      <c r="F386" t="s">
        <v>1525</v>
      </c>
    </row>
    <row r="387" spans="1:6">
      <c r="A387" s="95">
        <v>44523</v>
      </c>
      <c r="B387" t="s">
        <v>1526</v>
      </c>
      <c r="C387" t="s">
        <v>1527</v>
      </c>
      <c r="D387" t="s">
        <v>1528</v>
      </c>
      <c r="E387" t="s">
        <v>1529</v>
      </c>
      <c r="F387" t="s">
        <v>1529</v>
      </c>
    </row>
    <row r="388" spans="1:6">
      <c r="A388" s="95">
        <v>44524</v>
      </c>
      <c r="B388" t="s">
        <v>1530</v>
      </c>
      <c r="C388" t="s">
        <v>1531</v>
      </c>
      <c r="D388" t="s">
        <v>1532</v>
      </c>
      <c r="E388" t="s">
        <v>1533</v>
      </c>
      <c r="F388" t="s">
        <v>1533</v>
      </c>
    </row>
    <row r="389" spans="1:6">
      <c r="A389" s="95">
        <v>44525</v>
      </c>
      <c r="B389" t="s">
        <v>1534</v>
      </c>
      <c r="C389" t="s">
        <v>1535</v>
      </c>
      <c r="D389" t="s">
        <v>1536</v>
      </c>
      <c r="E389" t="s">
        <v>1537</v>
      </c>
      <c r="F389" t="s">
        <v>1537</v>
      </c>
    </row>
    <row r="390" spans="1:6">
      <c r="A390" s="95">
        <v>44526</v>
      </c>
      <c r="B390" t="s">
        <v>1538</v>
      </c>
      <c r="C390" t="s">
        <v>1539</v>
      </c>
      <c r="D390" t="s">
        <v>1540</v>
      </c>
      <c r="E390" t="s">
        <v>1540</v>
      </c>
      <c r="F390" t="s">
        <v>1540</v>
      </c>
    </row>
    <row r="391" spans="1:6">
      <c r="A391" s="95">
        <v>44527</v>
      </c>
      <c r="B391" t="s">
        <v>1541</v>
      </c>
      <c r="C391" t="s">
        <v>1542</v>
      </c>
      <c r="D391" t="s">
        <v>1543</v>
      </c>
      <c r="E391" t="s">
        <v>1544</v>
      </c>
      <c r="F391" t="s">
        <v>1544</v>
      </c>
    </row>
    <row r="392" spans="1:6">
      <c r="A392" s="95">
        <v>44528</v>
      </c>
      <c r="B392" t="s">
        <v>1545</v>
      </c>
      <c r="C392" t="s">
        <v>1546</v>
      </c>
      <c r="D392" t="s">
        <v>1547</v>
      </c>
      <c r="E392" t="s">
        <v>1548</v>
      </c>
      <c r="F392" t="s">
        <v>1548</v>
      </c>
    </row>
    <row r="393" spans="1:6">
      <c r="A393" s="95">
        <v>44529</v>
      </c>
      <c r="B393" t="s">
        <v>1549</v>
      </c>
      <c r="C393" t="s">
        <v>1550</v>
      </c>
      <c r="D393" t="s">
        <v>1551</v>
      </c>
      <c r="E393" t="s">
        <v>1552</v>
      </c>
      <c r="F393" t="s">
        <v>1552</v>
      </c>
    </row>
    <row r="394" spans="1:6">
      <c r="A394" s="95">
        <v>44532</v>
      </c>
      <c r="B394" t="s">
        <v>1553</v>
      </c>
      <c r="C394" t="s">
        <v>1554</v>
      </c>
      <c r="D394" t="s">
        <v>1555</v>
      </c>
      <c r="E394" t="s">
        <v>1556</v>
      </c>
      <c r="F394" t="s">
        <v>1556</v>
      </c>
    </row>
    <row r="395" spans="1:6">
      <c r="A395" s="95">
        <v>44534</v>
      </c>
      <c r="B395" t="s">
        <v>1557</v>
      </c>
      <c r="C395" t="s">
        <v>1558</v>
      </c>
      <c r="D395" t="s">
        <v>1559</v>
      </c>
      <c r="E395" t="s">
        <v>1560</v>
      </c>
      <c r="F395" t="s">
        <v>1560</v>
      </c>
    </row>
    <row r="396" spans="1:6">
      <c r="A396" s="95">
        <v>44535</v>
      </c>
      <c r="B396" t="s">
        <v>1561</v>
      </c>
      <c r="C396" t="s">
        <v>1562</v>
      </c>
      <c r="D396" t="s">
        <v>1563</v>
      </c>
      <c r="E396" t="s">
        <v>1564</v>
      </c>
      <c r="F396" t="s">
        <v>1564</v>
      </c>
    </row>
    <row r="397" spans="1:6">
      <c r="A397" s="95">
        <v>44536</v>
      </c>
      <c r="B397" t="s">
        <v>1565</v>
      </c>
      <c r="C397" t="s">
        <v>1566</v>
      </c>
      <c r="D397" t="s">
        <v>1567</v>
      </c>
      <c r="E397" t="s">
        <v>1568</v>
      </c>
      <c r="F397" t="s">
        <v>1568</v>
      </c>
    </row>
    <row r="398" spans="1:6">
      <c r="A398" s="95">
        <v>44537</v>
      </c>
      <c r="B398" t="s">
        <v>1569</v>
      </c>
      <c r="C398" t="s">
        <v>1570</v>
      </c>
      <c r="D398" t="s">
        <v>1571</v>
      </c>
      <c r="E398" t="s">
        <v>1572</v>
      </c>
      <c r="F398" t="s">
        <v>1572</v>
      </c>
    </row>
    <row r="399" spans="1:6">
      <c r="A399" s="95">
        <v>44538</v>
      </c>
      <c r="B399" t="s">
        <v>1573</v>
      </c>
      <c r="C399" t="s">
        <v>1574</v>
      </c>
      <c r="D399" t="s">
        <v>1575</v>
      </c>
      <c r="E399" t="s">
        <v>1576</v>
      </c>
      <c r="F399" t="s">
        <v>1576</v>
      </c>
    </row>
    <row r="400" spans="1:6">
      <c r="A400" s="95">
        <v>44539</v>
      </c>
      <c r="B400" t="s">
        <v>1577</v>
      </c>
      <c r="C400" t="s">
        <v>1578</v>
      </c>
      <c r="D400" t="s">
        <v>1579</v>
      </c>
      <c r="E400" t="s">
        <v>1580</v>
      </c>
      <c r="F400" t="s">
        <v>1580</v>
      </c>
    </row>
    <row r="401" spans="1:6">
      <c r="A401" s="95">
        <v>44540</v>
      </c>
      <c r="B401" t="s">
        <v>1581</v>
      </c>
      <c r="C401" t="s">
        <v>1582</v>
      </c>
      <c r="D401" t="s">
        <v>1583</v>
      </c>
      <c r="E401" t="s">
        <v>1584</v>
      </c>
      <c r="F401" t="s">
        <v>1584</v>
      </c>
    </row>
    <row r="402" spans="1:6">
      <c r="A402" s="95">
        <v>44541</v>
      </c>
      <c r="B402" t="s">
        <v>1585</v>
      </c>
      <c r="C402" t="s">
        <v>1586</v>
      </c>
      <c r="D402" t="s">
        <v>1587</v>
      </c>
      <c r="E402" t="s">
        <v>1588</v>
      </c>
      <c r="F402" t="s">
        <v>1588</v>
      </c>
    </row>
    <row r="403" spans="1:6">
      <c r="A403" s="95">
        <v>44542</v>
      </c>
      <c r="B403" t="s">
        <v>1589</v>
      </c>
      <c r="C403" t="s">
        <v>1590</v>
      </c>
      <c r="D403" t="s">
        <v>1591</v>
      </c>
      <c r="E403" t="s">
        <v>1592</v>
      </c>
      <c r="F403" t="s">
        <v>1592</v>
      </c>
    </row>
    <row r="404" spans="1:6">
      <c r="A404" s="95">
        <v>44543</v>
      </c>
      <c r="B404" t="s">
        <v>1593</v>
      </c>
      <c r="C404" t="s">
        <v>1594</v>
      </c>
      <c r="D404" t="s">
        <v>1595</v>
      </c>
      <c r="E404" t="s">
        <v>1596</v>
      </c>
      <c r="F404" t="s">
        <v>1596</v>
      </c>
    </row>
    <row r="405" spans="1:6">
      <c r="A405" s="95">
        <v>44545</v>
      </c>
      <c r="B405" t="s">
        <v>1597</v>
      </c>
      <c r="C405" t="s">
        <v>1598</v>
      </c>
      <c r="D405" t="s">
        <v>1599</v>
      </c>
      <c r="E405" t="s">
        <v>1600</v>
      </c>
      <c r="F405" t="s">
        <v>1600</v>
      </c>
    </row>
    <row r="406" spans="1:6">
      <c r="A406" s="95">
        <v>44546</v>
      </c>
      <c r="B406" t="s">
        <v>1601</v>
      </c>
      <c r="C406" t="s">
        <v>1602</v>
      </c>
      <c r="D406" t="s">
        <v>1603</v>
      </c>
      <c r="E406" t="s">
        <v>1604</v>
      </c>
      <c r="F406" t="s">
        <v>1604</v>
      </c>
    </row>
    <row r="407" spans="1:6">
      <c r="A407" s="95">
        <v>44547</v>
      </c>
      <c r="B407" t="s">
        <v>1605</v>
      </c>
      <c r="C407" t="s">
        <v>1606</v>
      </c>
      <c r="D407" t="s">
        <v>1607</v>
      </c>
      <c r="E407" t="s">
        <v>1608</v>
      </c>
      <c r="F407" t="s">
        <v>1608</v>
      </c>
    </row>
    <row r="408" spans="1:6">
      <c r="A408" s="95">
        <v>44548</v>
      </c>
      <c r="B408" t="s">
        <v>1609</v>
      </c>
      <c r="C408" t="s">
        <v>1610</v>
      </c>
      <c r="D408" t="s">
        <v>1611</v>
      </c>
      <c r="E408" t="s">
        <v>1612</v>
      </c>
      <c r="F408" t="s">
        <v>1612</v>
      </c>
    </row>
    <row r="409" spans="1:6">
      <c r="A409" s="95">
        <v>44549</v>
      </c>
      <c r="B409" t="s">
        <v>1613</v>
      </c>
      <c r="C409" t="s">
        <v>1614</v>
      </c>
      <c r="D409" t="s">
        <v>1615</v>
      </c>
      <c r="E409" t="s">
        <v>1616</v>
      </c>
      <c r="F409" t="s">
        <v>1616</v>
      </c>
    </row>
    <row r="410" spans="1:6">
      <c r="A410" s="95">
        <v>44550</v>
      </c>
      <c r="B410" t="s">
        <v>1617</v>
      </c>
      <c r="C410" t="s">
        <v>1618</v>
      </c>
      <c r="D410" t="s">
        <v>1619</v>
      </c>
      <c r="E410" t="s">
        <v>1620</v>
      </c>
      <c r="F410" t="s">
        <v>1620</v>
      </c>
    </row>
    <row r="411" spans="1:6">
      <c r="A411" s="95">
        <v>44551</v>
      </c>
      <c r="B411" t="s">
        <v>1621</v>
      </c>
      <c r="C411" t="s">
        <v>1622</v>
      </c>
      <c r="D411" t="s">
        <v>1623</v>
      </c>
      <c r="E411" t="s">
        <v>1624</v>
      </c>
      <c r="F411" t="s">
        <v>1624</v>
      </c>
    </row>
    <row r="412" spans="1:6">
      <c r="A412" s="95">
        <v>44552</v>
      </c>
      <c r="B412" t="s">
        <v>1625</v>
      </c>
      <c r="C412" t="s">
        <v>1626</v>
      </c>
      <c r="D412" t="s">
        <v>1627</v>
      </c>
      <c r="E412" t="s">
        <v>1628</v>
      </c>
      <c r="F412" t="s">
        <v>1628</v>
      </c>
    </row>
    <row r="413" spans="1:6">
      <c r="A413" s="95">
        <v>44553</v>
      </c>
      <c r="B413" t="s">
        <v>1629</v>
      </c>
      <c r="C413" t="s">
        <v>1630</v>
      </c>
      <c r="D413" t="s">
        <v>1631</v>
      </c>
      <c r="E413" t="s">
        <v>1632</v>
      </c>
      <c r="F413" t="s">
        <v>1632</v>
      </c>
    </row>
    <row r="414" spans="1:6">
      <c r="A414" s="95">
        <v>44554</v>
      </c>
      <c r="B414" t="s">
        <v>1633</v>
      </c>
      <c r="C414" t="s">
        <v>1634</v>
      </c>
      <c r="D414" t="s">
        <v>1635</v>
      </c>
      <c r="E414" t="s">
        <v>1636</v>
      </c>
      <c r="F414" t="s">
        <v>1636</v>
      </c>
    </row>
    <row r="415" spans="1:6">
      <c r="A415" s="95">
        <v>44555</v>
      </c>
      <c r="B415" t="s">
        <v>1637</v>
      </c>
      <c r="C415" t="s">
        <v>1638</v>
      </c>
      <c r="D415" t="s">
        <v>1639</v>
      </c>
      <c r="E415" t="s">
        <v>1640</v>
      </c>
      <c r="F415" t="s">
        <v>1640</v>
      </c>
    </row>
    <row r="416" spans="1:6">
      <c r="A416" s="95">
        <v>44557</v>
      </c>
      <c r="B416" t="s">
        <v>1641</v>
      </c>
      <c r="C416" t="s">
        <v>1642</v>
      </c>
      <c r="D416" t="s">
        <v>1643</v>
      </c>
      <c r="E416" t="s">
        <v>1644</v>
      </c>
      <c r="F416" t="s">
        <v>1644</v>
      </c>
    </row>
    <row r="417" spans="1:6">
      <c r="A417" s="95">
        <v>44558</v>
      </c>
      <c r="B417" t="s">
        <v>1645</v>
      </c>
      <c r="C417" t="s">
        <v>1645</v>
      </c>
      <c r="D417" t="s">
        <v>1646</v>
      </c>
      <c r="E417" t="s">
        <v>1647</v>
      </c>
      <c r="F417" t="s">
        <v>1647</v>
      </c>
    </row>
    <row r="418" spans="1:6">
      <c r="A418" s="95">
        <v>44559</v>
      </c>
      <c r="B418" t="s">
        <v>1648</v>
      </c>
      <c r="C418" t="s">
        <v>1649</v>
      </c>
      <c r="D418" t="s">
        <v>1650</v>
      </c>
      <c r="E418" t="s">
        <v>1651</v>
      </c>
      <c r="F418" t="s">
        <v>1651</v>
      </c>
    </row>
    <row r="419" spans="1:6">
      <c r="A419" s="95">
        <v>44560</v>
      </c>
      <c r="B419" t="s">
        <v>1652</v>
      </c>
      <c r="C419" t="s">
        <v>1653</v>
      </c>
      <c r="D419" t="s">
        <v>1654</v>
      </c>
      <c r="E419" t="s">
        <v>1655</v>
      </c>
      <c r="F419" t="s">
        <v>1655</v>
      </c>
    </row>
    <row r="420" spans="1:6">
      <c r="A420" s="95">
        <v>44561</v>
      </c>
      <c r="B420" t="s">
        <v>1656</v>
      </c>
      <c r="C420" t="s">
        <v>1657</v>
      </c>
      <c r="D420" t="s">
        <v>1658</v>
      </c>
      <c r="E420" t="s">
        <v>1659</v>
      </c>
      <c r="F420" t="s">
        <v>1659</v>
      </c>
    </row>
    <row r="421" spans="1:6">
      <c r="A421" s="95">
        <v>44562</v>
      </c>
      <c r="B421" t="s">
        <v>1660</v>
      </c>
      <c r="C421" t="s">
        <v>1661</v>
      </c>
      <c r="D421" t="s">
        <v>1662</v>
      </c>
      <c r="E421" t="s">
        <v>1663</v>
      </c>
      <c r="F421" t="s">
        <v>1663</v>
      </c>
    </row>
    <row r="422" spans="1:6">
      <c r="A422" s="95">
        <v>44563</v>
      </c>
      <c r="B422" t="s">
        <v>1664</v>
      </c>
      <c r="C422" t="s">
        <v>1665</v>
      </c>
      <c r="D422" t="s">
        <v>1666</v>
      </c>
      <c r="E422" t="s">
        <v>1667</v>
      </c>
      <c r="F422" t="s">
        <v>1667</v>
      </c>
    </row>
    <row r="423" spans="1:6">
      <c r="A423" s="95">
        <v>44564</v>
      </c>
      <c r="B423" t="s">
        <v>1668</v>
      </c>
      <c r="C423" t="s">
        <v>1669</v>
      </c>
      <c r="D423" t="s">
        <v>1670</v>
      </c>
      <c r="E423" t="s">
        <v>1671</v>
      </c>
      <c r="F423" t="s">
        <v>1671</v>
      </c>
    </row>
    <row r="424" spans="1:6">
      <c r="A424" s="95">
        <v>44565</v>
      </c>
      <c r="B424" t="s">
        <v>1672</v>
      </c>
      <c r="C424" t="s">
        <v>1673</v>
      </c>
      <c r="D424" t="s">
        <v>1674</v>
      </c>
      <c r="E424" t="s">
        <v>1675</v>
      </c>
      <c r="F424" t="s">
        <v>1675</v>
      </c>
    </row>
    <row r="425" spans="1:6">
      <c r="A425" s="95">
        <v>44566</v>
      </c>
      <c r="B425" t="s">
        <v>1676</v>
      </c>
      <c r="C425" t="s">
        <v>1677</v>
      </c>
      <c r="D425" t="s">
        <v>1678</v>
      </c>
      <c r="E425" t="s">
        <v>1679</v>
      </c>
      <c r="F425" t="s">
        <v>1679</v>
      </c>
    </row>
    <row r="426" spans="1:6">
      <c r="A426" s="95">
        <v>44567</v>
      </c>
      <c r="B426" t="s">
        <v>1680</v>
      </c>
      <c r="C426" t="s">
        <v>1681</v>
      </c>
      <c r="D426" t="s">
        <v>1682</v>
      </c>
      <c r="E426" t="s">
        <v>1683</v>
      </c>
      <c r="F426" t="s">
        <v>1683</v>
      </c>
    </row>
    <row r="427" spans="1:6">
      <c r="A427" s="95">
        <v>44568</v>
      </c>
      <c r="B427" t="s">
        <v>1684</v>
      </c>
      <c r="C427" t="s">
        <v>1684</v>
      </c>
      <c r="D427" t="s">
        <v>1685</v>
      </c>
      <c r="E427" t="s">
        <v>1686</v>
      </c>
      <c r="F427" t="s">
        <v>1686</v>
      </c>
    </row>
    <row r="428" spans="1:6">
      <c r="A428" s="95">
        <v>44569</v>
      </c>
      <c r="B428" t="s">
        <v>1687</v>
      </c>
      <c r="C428" t="s">
        <v>1688</v>
      </c>
      <c r="D428" t="s">
        <v>1689</v>
      </c>
      <c r="E428" t="s">
        <v>1690</v>
      </c>
      <c r="F428" t="s">
        <v>1690</v>
      </c>
    </row>
    <row r="429" spans="1:6">
      <c r="A429" s="95">
        <v>44570</v>
      </c>
      <c r="B429" t="s">
        <v>1691</v>
      </c>
      <c r="C429" t="s">
        <v>1692</v>
      </c>
      <c r="D429" t="s">
        <v>1693</v>
      </c>
      <c r="E429" t="s">
        <v>1694</v>
      </c>
      <c r="F429" t="s">
        <v>1694</v>
      </c>
    </row>
    <row r="430" spans="1:6">
      <c r="A430" s="95">
        <v>44571</v>
      </c>
      <c r="B430" t="s">
        <v>1695</v>
      </c>
      <c r="C430" t="s">
        <v>1696</v>
      </c>
      <c r="D430" t="s">
        <v>1697</v>
      </c>
      <c r="E430" t="s">
        <v>1698</v>
      </c>
      <c r="F430" t="s">
        <v>1698</v>
      </c>
    </row>
    <row r="431" spans="1:6">
      <c r="A431" s="95">
        <v>44572</v>
      </c>
      <c r="B431" t="s">
        <v>1699</v>
      </c>
      <c r="C431" t="s">
        <v>1700</v>
      </c>
      <c r="D431" t="s">
        <v>1701</v>
      </c>
      <c r="E431" t="s">
        <v>1702</v>
      </c>
      <c r="F431" t="s">
        <v>1702</v>
      </c>
    </row>
    <row r="432" spans="1:6">
      <c r="A432" s="95">
        <v>44573</v>
      </c>
      <c r="B432" t="s">
        <v>1703</v>
      </c>
      <c r="C432" t="s">
        <v>1704</v>
      </c>
      <c r="D432" t="s">
        <v>1705</v>
      </c>
      <c r="E432" t="s">
        <v>1706</v>
      </c>
      <c r="F432" t="s">
        <v>1706</v>
      </c>
    </row>
    <row r="433" spans="1:6">
      <c r="A433" s="95">
        <v>44574</v>
      </c>
      <c r="B433" t="s">
        <v>1707</v>
      </c>
      <c r="C433" t="s">
        <v>1708</v>
      </c>
      <c r="D433" t="s">
        <v>1709</v>
      </c>
      <c r="E433" t="s">
        <v>1710</v>
      </c>
      <c r="F433" t="s">
        <v>1710</v>
      </c>
    </row>
    <row r="434" spans="1:6">
      <c r="A434" s="95">
        <v>44575</v>
      </c>
      <c r="B434" t="s">
        <v>1711</v>
      </c>
      <c r="C434" t="s">
        <v>1712</v>
      </c>
      <c r="D434" t="s">
        <v>1713</v>
      </c>
      <c r="E434" t="s">
        <v>1714</v>
      </c>
      <c r="F434" t="s">
        <v>1714</v>
      </c>
    </row>
    <row r="435" spans="1:6">
      <c r="A435" s="95">
        <v>44576</v>
      </c>
      <c r="B435" t="s">
        <v>1715</v>
      </c>
      <c r="C435" t="s">
        <v>1716</v>
      </c>
      <c r="D435" t="s">
        <v>1717</v>
      </c>
      <c r="E435" t="s">
        <v>1718</v>
      </c>
      <c r="F435" t="s">
        <v>1718</v>
      </c>
    </row>
    <row r="436" spans="1:6">
      <c r="A436" s="95">
        <v>44577</v>
      </c>
      <c r="B436" t="s">
        <v>1719</v>
      </c>
      <c r="C436" t="s">
        <v>1720</v>
      </c>
      <c r="D436" t="s">
        <v>1721</v>
      </c>
      <c r="E436" t="s">
        <v>1722</v>
      </c>
      <c r="F436" t="s">
        <v>1722</v>
      </c>
    </row>
    <row r="437" spans="1:6">
      <c r="A437" s="95">
        <v>44578</v>
      </c>
      <c r="B437" t="s">
        <v>1723</v>
      </c>
      <c r="C437" t="s">
        <v>1724</v>
      </c>
      <c r="D437" t="s">
        <v>1725</v>
      </c>
      <c r="E437" t="s">
        <v>1726</v>
      </c>
      <c r="F437" t="s">
        <v>1726</v>
      </c>
    </row>
    <row r="438" spans="1:6">
      <c r="A438" s="95">
        <v>44579</v>
      </c>
      <c r="B438" t="s">
        <v>1727</v>
      </c>
      <c r="C438" t="s">
        <v>1728</v>
      </c>
      <c r="D438" t="s">
        <v>1729</v>
      </c>
      <c r="E438" t="s">
        <v>1730</v>
      </c>
      <c r="F438" t="s">
        <v>1730</v>
      </c>
    </row>
    <row r="439" spans="1:6">
      <c r="A439" s="95">
        <v>44580</v>
      </c>
      <c r="B439" t="s">
        <v>1731</v>
      </c>
      <c r="C439" t="s">
        <v>1732</v>
      </c>
      <c r="D439" t="s">
        <v>1733</v>
      </c>
      <c r="E439" t="s">
        <v>1734</v>
      </c>
      <c r="F439" t="s">
        <v>1734</v>
      </c>
    </row>
    <row r="440" spans="1:6">
      <c r="A440" s="95">
        <v>44581</v>
      </c>
      <c r="B440" t="s">
        <v>1735</v>
      </c>
      <c r="C440" t="s">
        <v>1736</v>
      </c>
      <c r="D440" t="s">
        <v>1737</v>
      </c>
      <c r="E440" t="s">
        <v>1738</v>
      </c>
      <c r="F440" t="s">
        <v>1738</v>
      </c>
    </row>
    <row r="441" spans="1:6">
      <c r="A441" s="95">
        <v>44582</v>
      </c>
      <c r="B441" t="s">
        <v>1739</v>
      </c>
      <c r="C441" t="s">
        <v>1740</v>
      </c>
      <c r="D441" t="s">
        <v>1741</v>
      </c>
      <c r="E441" t="s">
        <v>1742</v>
      </c>
      <c r="F441" t="s">
        <v>1742</v>
      </c>
    </row>
    <row r="442" spans="1:6">
      <c r="A442" s="95">
        <v>44584</v>
      </c>
      <c r="B442" t="s">
        <v>1743</v>
      </c>
      <c r="C442" t="s">
        <v>1744</v>
      </c>
      <c r="D442" t="s">
        <v>1745</v>
      </c>
      <c r="E442" t="s">
        <v>1746</v>
      </c>
      <c r="F442" t="s">
        <v>1746</v>
      </c>
    </row>
    <row r="443" spans="1:6">
      <c r="A443" s="95">
        <v>44585</v>
      </c>
      <c r="B443" t="s">
        <v>1747</v>
      </c>
      <c r="C443" t="s">
        <v>1748</v>
      </c>
      <c r="D443" t="s">
        <v>1749</v>
      </c>
      <c r="E443" t="s">
        <v>1750</v>
      </c>
      <c r="F443" t="s">
        <v>1750</v>
      </c>
    </row>
    <row r="444" spans="1:6">
      <c r="A444" s="95">
        <v>44586</v>
      </c>
      <c r="B444" t="s">
        <v>1751</v>
      </c>
      <c r="C444" t="s">
        <v>1752</v>
      </c>
      <c r="D444" t="s">
        <v>1753</v>
      </c>
      <c r="E444" t="s">
        <v>1754</v>
      </c>
      <c r="F444" t="s">
        <v>1754</v>
      </c>
    </row>
    <row r="445" spans="1:6">
      <c r="A445" s="95">
        <v>44587</v>
      </c>
      <c r="B445" t="s">
        <v>1755</v>
      </c>
      <c r="C445" t="s">
        <v>1756</v>
      </c>
      <c r="D445" t="s">
        <v>1757</v>
      </c>
      <c r="E445" t="s">
        <v>1758</v>
      </c>
      <c r="F445" t="s">
        <v>1758</v>
      </c>
    </row>
    <row r="446" spans="1:6">
      <c r="A446" s="95">
        <v>44588</v>
      </c>
      <c r="B446" t="s">
        <v>1759</v>
      </c>
      <c r="C446" t="s">
        <v>1760</v>
      </c>
      <c r="D446" t="s">
        <v>1761</v>
      </c>
      <c r="E446" t="s">
        <v>1762</v>
      </c>
      <c r="F446" t="s">
        <v>1762</v>
      </c>
    </row>
    <row r="447" spans="1:6">
      <c r="A447" s="95">
        <v>44589</v>
      </c>
      <c r="B447" t="s">
        <v>1763</v>
      </c>
      <c r="C447" t="s">
        <v>1764</v>
      </c>
      <c r="D447" t="s">
        <v>1765</v>
      </c>
      <c r="E447" t="s">
        <v>1766</v>
      </c>
      <c r="F447" t="s">
        <v>1766</v>
      </c>
    </row>
    <row r="448" spans="1:6">
      <c r="A448" s="95">
        <v>44590</v>
      </c>
      <c r="B448" t="s">
        <v>1767</v>
      </c>
      <c r="C448" t="s">
        <v>1768</v>
      </c>
      <c r="D448" t="s">
        <v>1769</v>
      </c>
      <c r="E448" t="s">
        <v>1770</v>
      </c>
      <c r="F448" t="s">
        <v>1770</v>
      </c>
    </row>
    <row r="449" spans="1:6">
      <c r="A449" s="95">
        <v>44591</v>
      </c>
      <c r="B449" t="s">
        <v>1771</v>
      </c>
      <c r="C449" t="s">
        <v>1772</v>
      </c>
      <c r="D449" t="s">
        <v>1773</v>
      </c>
      <c r="E449" t="s">
        <v>1774</v>
      </c>
      <c r="F449" t="s">
        <v>1774</v>
      </c>
    </row>
    <row r="450" spans="1:6">
      <c r="A450" s="95">
        <v>44592</v>
      </c>
      <c r="B450" t="s">
        <v>1775</v>
      </c>
      <c r="C450" t="s">
        <v>1776</v>
      </c>
      <c r="D450" t="s">
        <v>1777</v>
      </c>
      <c r="E450" t="s">
        <v>1778</v>
      </c>
      <c r="F450" t="s">
        <v>1778</v>
      </c>
    </row>
    <row r="451" spans="1:6">
      <c r="A451" s="95">
        <v>44593</v>
      </c>
      <c r="B451" t="s">
        <v>1779</v>
      </c>
      <c r="C451" t="s">
        <v>1780</v>
      </c>
      <c r="D451" t="s">
        <v>1781</v>
      </c>
      <c r="E451" t="s">
        <v>1782</v>
      </c>
      <c r="F451" t="s">
        <v>1782</v>
      </c>
    </row>
    <row r="452" spans="1:6">
      <c r="A452" s="95">
        <v>44594</v>
      </c>
      <c r="B452" t="s">
        <v>1783</v>
      </c>
      <c r="C452" t="s">
        <v>1784</v>
      </c>
      <c r="D452" t="s">
        <v>1785</v>
      </c>
      <c r="E452" t="s">
        <v>1786</v>
      </c>
      <c r="F452" t="s">
        <v>1786</v>
      </c>
    </row>
    <row r="453" spans="1:6">
      <c r="A453" s="95">
        <v>44595</v>
      </c>
      <c r="B453" t="s">
        <v>1787</v>
      </c>
      <c r="C453" t="s">
        <v>1788</v>
      </c>
      <c r="D453" t="s">
        <v>1789</v>
      </c>
      <c r="E453" t="s">
        <v>1788</v>
      </c>
      <c r="F453" t="s">
        <v>1788</v>
      </c>
    </row>
    <row r="454" spans="1:6">
      <c r="A454" s="95">
        <v>44596</v>
      </c>
      <c r="B454" t="s">
        <v>1790</v>
      </c>
      <c r="C454" t="s">
        <v>1791</v>
      </c>
      <c r="D454" t="s">
        <v>1792</v>
      </c>
      <c r="E454" t="s">
        <v>1793</v>
      </c>
      <c r="F454" t="s">
        <v>1793</v>
      </c>
    </row>
    <row r="455" spans="1:6">
      <c r="A455" s="95">
        <v>44597</v>
      </c>
      <c r="B455" t="s">
        <v>1794</v>
      </c>
      <c r="C455" t="s">
        <v>1795</v>
      </c>
      <c r="D455" t="s">
        <v>1796</v>
      </c>
      <c r="E455" t="s">
        <v>1797</v>
      </c>
      <c r="F455" t="s">
        <v>1797</v>
      </c>
    </row>
    <row r="456" spans="1:6">
      <c r="A456" s="95">
        <v>44598</v>
      </c>
      <c r="B456" t="s">
        <v>1798</v>
      </c>
      <c r="C456" t="s">
        <v>1799</v>
      </c>
      <c r="D456" t="s">
        <v>1800</v>
      </c>
      <c r="E456" t="s">
        <v>1801</v>
      </c>
      <c r="F456" t="s">
        <v>1801</v>
      </c>
    </row>
    <row r="457" spans="1:6">
      <c r="A457" s="95">
        <v>44599</v>
      </c>
      <c r="B457" t="s">
        <v>1802</v>
      </c>
      <c r="C457" t="s">
        <v>1803</v>
      </c>
      <c r="D457" t="s">
        <v>1804</v>
      </c>
      <c r="E457" t="s">
        <v>1805</v>
      </c>
      <c r="F457" t="s">
        <v>1805</v>
      </c>
    </row>
    <row r="458" spans="1:6">
      <c r="A458" s="95">
        <v>44600</v>
      </c>
      <c r="B458" t="s">
        <v>1806</v>
      </c>
      <c r="C458" t="s">
        <v>1807</v>
      </c>
      <c r="D458" t="s">
        <v>1808</v>
      </c>
      <c r="E458" t="s">
        <v>1809</v>
      </c>
      <c r="F458" t="s">
        <v>1809</v>
      </c>
    </row>
    <row r="459" spans="1:6">
      <c r="A459" s="95">
        <v>44601</v>
      </c>
      <c r="B459" t="s">
        <v>1810</v>
      </c>
      <c r="C459" t="s">
        <v>1811</v>
      </c>
      <c r="D459" t="s">
        <v>1812</v>
      </c>
      <c r="E459" t="s">
        <v>1813</v>
      </c>
      <c r="F459" t="s">
        <v>1813</v>
      </c>
    </row>
    <row r="460" spans="1:6">
      <c r="A460" s="95">
        <v>44603</v>
      </c>
      <c r="B460" t="s">
        <v>1814</v>
      </c>
      <c r="C460" t="s">
        <v>1815</v>
      </c>
      <c r="D460" t="s">
        <v>1816</v>
      </c>
      <c r="E460" t="s">
        <v>1817</v>
      </c>
      <c r="F460" t="s">
        <v>1817</v>
      </c>
    </row>
    <row r="461" spans="1:6">
      <c r="A461" s="95">
        <v>44604</v>
      </c>
      <c r="B461" t="s">
        <v>1818</v>
      </c>
      <c r="C461" t="s">
        <v>1819</v>
      </c>
      <c r="D461" t="s">
        <v>1820</v>
      </c>
      <c r="E461" t="s">
        <v>1821</v>
      </c>
      <c r="F461" t="s">
        <v>1821</v>
      </c>
    </row>
    <row r="462" spans="1:6">
      <c r="A462" s="95">
        <v>44605</v>
      </c>
      <c r="B462" t="s">
        <v>1822</v>
      </c>
      <c r="C462" t="s">
        <v>1823</v>
      </c>
      <c r="D462" t="s">
        <v>1824</v>
      </c>
      <c r="E462" t="s">
        <v>1825</v>
      </c>
      <c r="F462" t="s">
        <v>1825</v>
      </c>
    </row>
    <row r="463" spans="1:6">
      <c r="A463" s="95">
        <v>44606</v>
      </c>
      <c r="B463" t="s">
        <v>1826</v>
      </c>
      <c r="C463" t="s">
        <v>1827</v>
      </c>
      <c r="D463" t="s">
        <v>1828</v>
      </c>
      <c r="E463" t="s">
        <v>1829</v>
      </c>
      <c r="F463" t="s">
        <v>1829</v>
      </c>
    </row>
    <row r="464" spans="1:6">
      <c r="A464" s="95">
        <v>44607</v>
      </c>
      <c r="B464" t="s">
        <v>1830</v>
      </c>
      <c r="C464" t="s">
        <v>1831</v>
      </c>
      <c r="D464" t="s">
        <v>1832</v>
      </c>
      <c r="E464" t="s">
        <v>1833</v>
      </c>
      <c r="F464" t="s">
        <v>1833</v>
      </c>
    </row>
    <row r="465" spans="1:6">
      <c r="A465" s="95">
        <v>44608</v>
      </c>
      <c r="B465" t="s">
        <v>1834</v>
      </c>
      <c r="C465" t="s">
        <v>1834</v>
      </c>
      <c r="D465" t="s">
        <v>1835</v>
      </c>
      <c r="E465" t="s">
        <v>1836</v>
      </c>
      <c r="F465" t="s">
        <v>1836</v>
      </c>
    </row>
    <row r="466" spans="1:6">
      <c r="A466" s="95">
        <v>44609</v>
      </c>
      <c r="B466" t="s">
        <v>1837</v>
      </c>
      <c r="C466" t="s">
        <v>1838</v>
      </c>
      <c r="D466" t="s">
        <v>1839</v>
      </c>
      <c r="E466" t="s">
        <v>1840</v>
      </c>
      <c r="F466" t="s">
        <v>1840</v>
      </c>
    </row>
    <row r="467" spans="1:6">
      <c r="A467" s="95">
        <v>44610</v>
      </c>
      <c r="B467" t="s">
        <v>1841</v>
      </c>
      <c r="C467" t="s">
        <v>1842</v>
      </c>
      <c r="D467" t="s">
        <v>1843</v>
      </c>
      <c r="E467" t="s">
        <v>1844</v>
      </c>
      <c r="F467" t="s">
        <v>1844</v>
      </c>
    </row>
    <row r="468" spans="1:6">
      <c r="A468" s="95">
        <v>44611</v>
      </c>
      <c r="B468" t="s">
        <v>1845</v>
      </c>
      <c r="C468" t="s">
        <v>1846</v>
      </c>
      <c r="D468" t="s">
        <v>1847</v>
      </c>
      <c r="E468" t="s">
        <v>1848</v>
      </c>
      <c r="F468" t="s">
        <v>1848</v>
      </c>
    </row>
    <row r="469" spans="1:6">
      <c r="A469" s="95">
        <v>44612</v>
      </c>
      <c r="B469" t="s">
        <v>1849</v>
      </c>
      <c r="C469" t="s">
        <v>1850</v>
      </c>
      <c r="D469" t="s">
        <v>1851</v>
      </c>
      <c r="E469" t="s">
        <v>1852</v>
      </c>
      <c r="F469" t="s">
        <v>1852</v>
      </c>
    </row>
    <row r="470" spans="1:6">
      <c r="A470" s="95">
        <v>44613</v>
      </c>
      <c r="B470" t="s">
        <v>1853</v>
      </c>
      <c r="C470" t="s">
        <v>1854</v>
      </c>
      <c r="D470" t="s">
        <v>1855</v>
      </c>
      <c r="E470" t="s">
        <v>1856</v>
      </c>
      <c r="F470" t="s">
        <v>1856</v>
      </c>
    </row>
    <row r="471" spans="1:6">
      <c r="A471" s="95">
        <v>44614</v>
      </c>
      <c r="B471" t="s">
        <v>1857</v>
      </c>
      <c r="C471" t="s">
        <v>1858</v>
      </c>
      <c r="D471" t="s">
        <v>1859</v>
      </c>
      <c r="E471" t="s">
        <v>1860</v>
      </c>
      <c r="F471" t="s">
        <v>1860</v>
      </c>
    </row>
    <row r="472" spans="1:6">
      <c r="A472" s="95">
        <v>44615</v>
      </c>
      <c r="B472" t="s">
        <v>1861</v>
      </c>
      <c r="C472" t="s">
        <v>1862</v>
      </c>
      <c r="D472" t="s">
        <v>1863</v>
      </c>
      <c r="E472" t="s">
        <v>1864</v>
      </c>
      <c r="F472" t="s">
        <v>1864</v>
      </c>
    </row>
    <row r="473" spans="1:6">
      <c r="A473" s="95">
        <v>44616</v>
      </c>
      <c r="B473" t="s">
        <v>1865</v>
      </c>
      <c r="C473" t="s">
        <v>1866</v>
      </c>
      <c r="D473" t="s">
        <v>1867</v>
      </c>
      <c r="E473" t="s">
        <v>1868</v>
      </c>
      <c r="F473" t="s">
        <v>1868</v>
      </c>
    </row>
    <row r="474" spans="1:6">
      <c r="A474" s="95">
        <v>44617</v>
      </c>
      <c r="B474" t="s">
        <v>1869</v>
      </c>
      <c r="C474" t="s">
        <v>1870</v>
      </c>
      <c r="D474" t="s">
        <v>1871</v>
      </c>
      <c r="E474" t="s">
        <v>1872</v>
      </c>
      <c r="F474" t="s">
        <v>1872</v>
      </c>
    </row>
    <row r="475" spans="1:6">
      <c r="A475" s="95">
        <v>44618</v>
      </c>
      <c r="B475" t="s">
        <v>1873</v>
      </c>
      <c r="C475" t="s">
        <v>1874</v>
      </c>
      <c r="D475" t="s">
        <v>1875</v>
      </c>
      <c r="E475" t="s">
        <v>1876</v>
      </c>
      <c r="F475" t="s">
        <v>1876</v>
      </c>
    </row>
    <row r="476" spans="1:6">
      <c r="A476" s="95">
        <v>44619</v>
      </c>
      <c r="B476" t="s">
        <v>1877</v>
      </c>
      <c r="C476" t="s">
        <v>1878</v>
      </c>
      <c r="D476" t="s">
        <v>1879</v>
      </c>
      <c r="E476" t="s">
        <v>1880</v>
      </c>
      <c r="F476" t="s">
        <v>1880</v>
      </c>
    </row>
    <row r="477" spans="1:6">
      <c r="A477" s="95">
        <v>44620</v>
      </c>
      <c r="B477" t="s">
        <v>1881</v>
      </c>
      <c r="C477" t="s">
        <v>1882</v>
      </c>
      <c r="D477" t="s">
        <v>1883</v>
      </c>
      <c r="E477" t="s">
        <v>1884</v>
      </c>
      <c r="F477" t="s">
        <v>1884</v>
      </c>
    </row>
    <row r="478" spans="1:6">
      <c r="A478" s="95">
        <v>44621</v>
      </c>
      <c r="B478" t="s">
        <v>1885</v>
      </c>
      <c r="C478" t="s">
        <v>1886</v>
      </c>
      <c r="D478" t="s">
        <v>1887</v>
      </c>
      <c r="E478" t="s">
        <v>1888</v>
      </c>
      <c r="F478" t="s">
        <v>1888</v>
      </c>
    </row>
    <row r="479" spans="1:6">
      <c r="A479" s="95">
        <v>44622</v>
      </c>
      <c r="B479" t="s">
        <v>1889</v>
      </c>
      <c r="C479" t="s">
        <v>1890</v>
      </c>
      <c r="D479" t="s">
        <v>1891</v>
      </c>
      <c r="E479" t="s">
        <v>1892</v>
      </c>
      <c r="F479" t="s">
        <v>1892</v>
      </c>
    </row>
    <row r="480" spans="1:6">
      <c r="A480" s="95">
        <v>44624</v>
      </c>
      <c r="B480" t="s">
        <v>1893</v>
      </c>
      <c r="C480" t="s">
        <v>1894</v>
      </c>
      <c r="D480" t="s">
        <v>1895</v>
      </c>
      <c r="E480" t="s">
        <v>1896</v>
      </c>
      <c r="F480" t="s">
        <v>1896</v>
      </c>
    </row>
    <row r="481" spans="1:6">
      <c r="A481" s="95">
        <v>44625</v>
      </c>
      <c r="B481" t="s">
        <v>1897</v>
      </c>
      <c r="C481" t="s">
        <v>1898</v>
      </c>
      <c r="D481" t="s">
        <v>1899</v>
      </c>
      <c r="E481" t="s">
        <v>1900</v>
      </c>
      <c r="F481" t="s">
        <v>1900</v>
      </c>
    </row>
    <row r="482" spans="1:6">
      <c r="A482" s="95">
        <v>44626</v>
      </c>
      <c r="B482" t="s">
        <v>1901</v>
      </c>
      <c r="C482" t="s">
        <v>1902</v>
      </c>
      <c r="D482" t="s">
        <v>1903</v>
      </c>
      <c r="E482" t="s">
        <v>1904</v>
      </c>
      <c r="F482" t="s">
        <v>1904</v>
      </c>
    </row>
    <row r="483" spans="1:6">
      <c r="A483" s="95">
        <v>44627</v>
      </c>
      <c r="B483" t="s">
        <v>1905</v>
      </c>
      <c r="C483" t="s">
        <v>1906</v>
      </c>
      <c r="D483" t="s">
        <v>1907</v>
      </c>
      <c r="E483" t="s">
        <v>1908</v>
      </c>
      <c r="F483" t="s">
        <v>1908</v>
      </c>
    </row>
    <row r="484" spans="1:6">
      <c r="A484" s="95">
        <v>44628</v>
      </c>
      <c r="B484" t="s">
        <v>1909</v>
      </c>
      <c r="C484" t="s">
        <v>1910</v>
      </c>
      <c r="D484" t="s">
        <v>1911</v>
      </c>
      <c r="E484" t="s">
        <v>1912</v>
      </c>
      <c r="F484" t="s">
        <v>1912</v>
      </c>
    </row>
    <row r="485" spans="1:6">
      <c r="A485" s="95">
        <v>44629</v>
      </c>
      <c r="B485" t="s">
        <v>1913</v>
      </c>
      <c r="C485" t="s">
        <v>1914</v>
      </c>
      <c r="D485" t="s">
        <v>1915</v>
      </c>
      <c r="E485" t="s">
        <v>1916</v>
      </c>
      <c r="F485" t="s">
        <v>1916</v>
      </c>
    </row>
    <row r="486" spans="1:6">
      <c r="A486" s="95">
        <v>44630</v>
      </c>
      <c r="B486" t="s">
        <v>1917</v>
      </c>
      <c r="C486" t="s">
        <v>1918</v>
      </c>
      <c r="D486" t="s">
        <v>1919</v>
      </c>
      <c r="E486" t="s">
        <v>1920</v>
      </c>
      <c r="F486" t="s">
        <v>1920</v>
      </c>
    </row>
    <row r="487" spans="1:6">
      <c r="A487" s="95">
        <v>44631</v>
      </c>
      <c r="B487" t="s">
        <v>1921</v>
      </c>
      <c r="C487" t="s">
        <v>1922</v>
      </c>
      <c r="D487" t="s">
        <v>1923</v>
      </c>
      <c r="E487" t="s">
        <v>1924</v>
      </c>
      <c r="F487" t="s">
        <v>1924</v>
      </c>
    </row>
    <row r="488" spans="1:6">
      <c r="A488" s="95">
        <v>44632</v>
      </c>
      <c r="B488" t="s">
        <v>1925</v>
      </c>
      <c r="C488" t="s">
        <v>1926</v>
      </c>
      <c r="D488" t="s">
        <v>1927</v>
      </c>
      <c r="E488" t="s">
        <v>1928</v>
      </c>
      <c r="F488" t="s">
        <v>1928</v>
      </c>
    </row>
    <row r="489" spans="1:6">
      <c r="A489" s="95">
        <v>44633</v>
      </c>
      <c r="B489" t="s">
        <v>1929</v>
      </c>
      <c r="C489" t="s">
        <v>1930</v>
      </c>
      <c r="D489" t="s">
        <v>1931</v>
      </c>
      <c r="E489" t="s">
        <v>1932</v>
      </c>
      <c r="F489" t="s">
        <v>1932</v>
      </c>
    </row>
    <row r="490" spans="1:6">
      <c r="A490" s="95">
        <v>44634</v>
      </c>
      <c r="B490" t="s">
        <v>1933</v>
      </c>
      <c r="C490" t="s">
        <v>1934</v>
      </c>
      <c r="D490" t="s">
        <v>1935</v>
      </c>
      <c r="E490" t="s">
        <v>1936</v>
      </c>
      <c r="F490" t="s">
        <v>1936</v>
      </c>
    </row>
    <row r="491" spans="1:6">
      <c r="A491" s="95">
        <v>44635</v>
      </c>
      <c r="B491" t="s">
        <v>1937</v>
      </c>
      <c r="C491" t="s">
        <v>1938</v>
      </c>
      <c r="D491" t="s">
        <v>1939</v>
      </c>
      <c r="E491" t="s">
        <v>1940</v>
      </c>
      <c r="F491" t="s">
        <v>1940</v>
      </c>
    </row>
    <row r="492" spans="1:6">
      <c r="A492" s="95">
        <v>44636</v>
      </c>
      <c r="B492" t="s">
        <v>1941</v>
      </c>
      <c r="C492" t="s">
        <v>1942</v>
      </c>
      <c r="D492" t="s">
        <v>1943</v>
      </c>
      <c r="E492" t="s">
        <v>1944</v>
      </c>
      <c r="F492" t="s">
        <v>1944</v>
      </c>
    </row>
    <row r="493" spans="1:6">
      <c r="A493" s="95">
        <v>44637</v>
      </c>
      <c r="B493" t="s">
        <v>1945</v>
      </c>
      <c r="C493" t="s">
        <v>1946</v>
      </c>
      <c r="D493" t="s">
        <v>1947</v>
      </c>
      <c r="E493" t="s">
        <v>1948</v>
      </c>
      <c r="F493" t="s">
        <v>1948</v>
      </c>
    </row>
    <row r="494" spans="1:6">
      <c r="A494" s="95">
        <v>44639</v>
      </c>
      <c r="B494" t="s">
        <v>1949</v>
      </c>
      <c r="C494" t="s">
        <v>1950</v>
      </c>
      <c r="D494" t="s">
        <v>1951</v>
      </c>
      <c r="E494" t="s">
        <v>1952</v>
      </c>
      <c r="F494" t="s">
        <v>1952</v>
      </c>
    </row>
    <row r="495" spans="1:6">
      <c r="A495" s="95">
        <v>44640</v>
      </c>
      <c r="B495" t="s">
        <v>1953</v>
      </c>
      <c r="C495" t="s">
        <v>1954</v>
      </c>
      <c r="D495" t="s">
        <v>1955</v>
      </c>
      <c r="E495" t="s">
        <v>1956</v>
      </c>
      <c r="F495" t="s">
        <v>1956</v>
      </c>
    </row>
    <row r="496" spans="1:6">
      <c r="A496" s="95">
        <v>44641</v>
      </c>
      <c r="B496" t="s">
        <v>1957</v>
      </c>
      <c r="C496" t="s">
        <v>1958</v>
      </c>
      <c r="D496" t="s">
        <v>1959</v>
      </c>
      <c r="E496" t="s">
        <v>1960</v>
      </c>
      <c r="F496" t="s">
        <v>1960</v>
      </c>
    </row>
    <row r="497" spans="1:6">
      <c r="A497" s="95">
        <v>44642</v>
      </c>
      <c r="B497" t="s">
        <v>1961</v>
      </c>
      <c r="C497" t="s">
        <v>1962</v>
      </c>
      <c r="D497" t="s">
        <v>1963</v>
      </c>
      <c r="E497" t="s">
        <v>1964</v>
      </c>
      <c r="F497" t="s">
        <v>1964</v>
      </c>
    </row>
    <row r="498" spans="1:6">
      <c r="A498" s="95">
        <v>44643</v>
      </c>
      <c r="B498" t="s">
        <v>1965</v>
      </c>
      <c r="C498" t="s">
        <v>1966</v>
      </c>
      <c r="D498" t="s">
        <v>1967</v>
      </c>
      <c r="E498" t="s">
        <v>1968</v>
      </c>
      <c r="F498" t="s">
        <v>1968</v>
      </c>
    </row>
    <row r="499" spans="1:6">
      <c r="A499" s="95">
        <v>44644</v>
      </c>
      <c r="B499" t="s">
        <v>1969</v>
      </c>
      <c r="C499" t="s">
        <v>1970</v>
      </c>
      <c r="D499" t="s">
        <v>1971</v>
      </c>
      <c r="E499" t="s">
        <v>1972</v>
      </c>
      <c r="F499" t="s">
        <v>1972</v>
      </c>
    </row>
    <row r="500" spans="1:6">
      <c r="A500" s="95">
        <v>44645</v>
      </c>
      <c r="B500" t="s">
        <v>1973</v>
      </c>
      <c r="C500" t="s">
        <v>1974</v>
      </c>
      <c r="D500" t="s">
        <v>1975</v>
      </c>
      <c r="E500" t="s">
        <v>1976</v>
      </c>
      <c r="F500" t="s">
        <v>1976</v>
      </c>
    </row>
    <row r="501" spans="1:6">
      <c r="A501" s="95">
        <v>44646</v>
      </c>
      <c r="B501" t="s">
        <v>1977</v>
      </c>
      <c r="C501" t="s">
        <v>1978</v>
      </c>
      <c r="D501" t="s">
        <v>1979</v>
      </c>
      <c r="E501" t="s">
        <v>1980</v>
      </c>
      <c r="F501" t="s">
        <v>1980</v>
      </c>
    </row>
    <row r="502" spans="1:6">
      <c r="A502" s="95">
        <v>44647</v>
      </c>
      <c r="B502" t="s">
        <v>1981</v>
      </c>
      <c r="C502" t="s">
        <v>1982</v>
      </c>
      <c r="D502" t="s">
        <v>1983</v>
      </c>
      <c r="E502" t="s">
        <v>1984</v>
      </c>
      <c r="F502" t="s">
        <v>1984</v>
      </c>
    </row>
    <row r="503" spans="1:6">
      <c r="A503" s="95">
        <v>44648</v>
      </c>
      <c r="B503" t="s">
        <v>1985</v>
      </c>
      <c r="C503" t="s">
        <v>1986</v>
      </c>
      <c r="D503" t="s">
        <v>1987</v>
      </c>
      <c r="E503" t="s">
        <v>1988</v>
      </c>
      <c r="F503" t="s">
        <v>1988</v>
      </c>
    </row>
    <row r="504" spans="1:6">
      <c r="A504" s="95">
        <v>44650</v>
      </c>
      <c r="B504" t="s">
        <v>1989</v>
      </c>
      <c r="C504" t="s">
        <v>1990</v>
      </c>
      <c r="D504" t="s">
        <v>1991</v>
      </c>
      <c r="E504" t="s">
        <v>1992</v>
      </c>
      <c r="F504" t="s">
        <v>1992</v>
      </c>
    </row>
    <row r="505" spans="1:6">
      <c r="A505" s="95">
        <v>44651</v>
      </c>
      <c r="B505" t="s">
        <v>1993</v>
      </c>
      <c r="C505" t="s">
        <v>1994</v>
      </c>
      <c r="D505" t="s">
        <v>1995</v>
      </c>
      <c r="E505" t="s">
        <v>1996</v>
      </c>
      <c r="F505" t="s">
        <v>1996</v>
      </c>
    </row>
    <row r="506" spans="1:6">
      <c r="A506" s="95">
        <v>44652</v>
      </c>
      <c r="B506" t="s">
        <v>1997</v>
      </c>
      <c r="C506" t="s">
        <v>1998</v>
      </c>
      <c r="D506" t="s">
        <v>1999</v>
      </c>
      <c r="E506" t="s">
        <v>2000</v>
      </c>
      <c r="F506" t="s">
        <v>2000</v>
      </c>
    </row>
    <row r="507" spans="1:6">
      <c r="A507" s="95">
        <v>44653</v>
      </c>
      <c r="B507" t="s">
        <v>2001</v>
      </c>
      <c r="C507" t="s">
        <v>2002</v>
      </c>
      <c r="D507" t="s">
        <v>2003</v>
      </c>
      <c r="E507" t="s">
        <v>2004</v>
      </c>
      <c r="F507" t="s">
        <v>2004</v>
      </c>
    </row>
    <row r="508" spans="1:6">
      <c r="A508" s="95">
        <v>44654</v>
      </c>
      <c r="B508" t="s">
        <v>2005</v>
      </c>
      <c r="C508" t="s">
        <v>2006</v>
      </c>
      <c r="D508" t="s">
        <v>2007</v>
      </c>
      <c r="E508" t="s">
        <v>2008</v>
      </c>
      <c r="F508" t="s">
        <v>2008</v>
      </c>
    </row>
    <row r="509" spans="1:6">
      <c r="A509" s="95">
        <v>44655</v>
      </c>
      <c r="B509" t="s">
        <v>2009</v>
      </c>
      <c r="C509" t="s">
        <v>2010</v>
      </c>
      <c r="D509" t="s">
        <v>2011</v>
      </c>
      <c r="E509" t="s">
        <v>2012</v>
      </c>
      <c r="F509" t="s">
        <v>2012</v>
      </c>
    </row>
    <row r="510" spans="1:6">
      <c r="A510" s="95">
        <v>44656</v>
      </c>
      <c r="B510" t="s">
        <v>2013</v>
      </c>
      <c r="C510" t="s">
        <v>2014</v>
      </c>
      <c r="D510" t="s">
        <v>2015</v>
      </c>
      <c r="E510" t="s">
        <v>2016</v>
      </c>
      <c r="F510" t="s">
        <v>2016</v>
      </c>
    </row>
    <row r="511" spans="1:6">
      <c r="A511" s="95">
        <v>44657</v>
      </c>
      <c r="B511" t="s">
        <v>2017</v>
      </c>
      <c r="C511" t="s">
        <v>2017</v>
      </c>
      <c r="D511" t="s">
        <v>2018</v>
      </c>
      <c r="E511" t="s">
        <v>2019</v>
      </c>
      <c r="F511" t="s">
        <v>2019</v>
      </c>
    </row>
    <row r="512" spans="1:6">
      <c r="A512" s="95">
        <v>44658</v>
      </c>
      <c r="B512" t="s">
        <v>2020</v>
      </c>
      <c r="C512" t="s">
        <v>2021</v>
      </c>
      <c r="D512" t="s">
        <v>2022</v>
      </c>
      <c r="E512" t="s">
        <v>2023</v>
      </c>
      <c r="F512" t="s">
        <v>2023</v>
      </c>
    </row>
    <row r="513" spans="1:6">
      <c r="A513" s="95">
        <v>44659</v>
      </c>
      <c r="B513" t="s">
        <v>2024</v>
      </c>
      <c r="C513" t="s">
        <v>2025</v>
      </c>
      <c r="D513" t="s">
        <v>2026</v>
      </c>
      <c r="E513" t="s">
        <v>2027</v>
      </c>
      <c r="F513" t="s">
        <v>2027</v>
      </c>
    </row>
    <row r="514" spans="1:6">
      <c r="A514" s="95">
        <v>44660</v>
      </c>
      <c r="B514" t="s">
        <v>2028</v>
      </c>
      <c r="C514" t="s">
        <v>2029</v>
      </c>
      <c r="D514" t="s">
        <v>2030</v>
      </c>
      <c r="E514" t="s">
        <v>2031</v>
      </c>
      <c r="F514" t="s">
        <v>2031</v>
      </c>
    </row>
    <row r="515" spans="1:6">
      <c r="A515" s="95">
        <v>44661</v>
      </c>
      <c r="B515" t="s">
        <v>2032</v>
      </c>
      <c r="C515" t="s">
        <v>2033</v>
      </c>
      <c r="D515" t="s">
        <v>2034</v>
      </c>
      <c r="E515" t="s">
        <v>2035</v>
      </c>
      <c r="F515" t="s">
        <v>2035</v>
      </c>
    </row>
    <row r="516" spans="1:6">
      <c r="A516" s="95">
        <v>44663</v>
      </c>
      <c r="B516" t="s">
        <v>2036</v>
      </c>
      <c r="C516" t="s">
        <v>2037</v>
      </c>
      <c r="D516" t="s">
        <v>2038</v>
      </c>
      <c r="E516" t="s">
        <v>2039</v>
      </c>
      <c r="F516" t="s">
        <v>2039</v>
      </c>
    </row>
    <row r="517" spans="1:6">
      <c r="A517" s="95">
        <v>44664</v>
      </c>
      <c r="B517" t="s">
        <v>2040</v>
      </c>
      <c r="C517" t="s">
        <v>2041</v>
      </c>
      <c r="D517" t="s">
        <v>2042</v>
      </c>
      <c r="E517" t="s">
        <v>2043</v>
      </c>
      <c r="F517" t="s">
        <v>2043</v>
      </c>
    </row>
    <row r="518" spans="1:6">
      <c r="A518" s="95">
        <v>44665</v>
      </c>
      <c r="B518" t="s">
        <v>2044</v>
      </c>
      <c r="C518" t="s">
        <v>2045</v>
      </c>
      <c r="D518" t="s">
        <v>2046</v>
      </c>
      <c r="E518" t="s">
        <v>2047</v>
      </c>
      <c r="F518" t="s">
        <v>2047</v>
      </c>
    </row>
    <row r="519" spans="1:6">
      <c r="A519" s="95">
        <v>44667</v>
      </c>
      <c r="B519" t="s">
        <v>2048</v>
      </c>
      <c r="C519" t="s">
        <v>2049</v>
      </c>
      <c r="D519" t="s">
        <v>2050</v>
      </c>
      <c r="E519" t="s">
        <v>2051</v>
      </c>
      <c r="F519" t="s">
        <v>2051</v>
      </c>
    </row>
    <row r="520" spans="1:6">
      <c r="A520" s="95">
        <v>44668</v>
      </c>
      <c r="B520" t="s">
        <v>2052</v>
      </c>
      <c r="C520" t="s">
        <v>2053</v>
      </c>
      <c r="D520" t="s">
        <v>2054</v>
      </c>
      <c r="E520" t="s">
        <v>2055</v>
      </c>
      <c r="F520" t="s">
        <v>2055</v>
      </c>
    </row>
    <row r="521" spans="1:6">
      <c r="A521" s="95">
        <v>44669</v>
      </c>
      <c r="B521" t="s">
        <v>2056</v>
      </c>
      <c r="C521" t="s">
        <v>2057</v>
      </c>
      <c r="D521" t="s">
        <v>2058</v>
      </c>
      <c r="E521" t="s">
        <v>2059</v>
      </c>
      <c r="F521" t="s">
        <v>2059</v>
      </c>
    </row>
    <row r="522" spans="1:6">
      <c r="A522" s="95">
        <v>44670</v>
      </c>
      <c r="B522" t="s">
        <v>2060</v>
      </c>
      <c r="C522" t="s">
        <v>2061</v>
      </c>
      <c r="D522" t="s">
        <v>2062</v>
      </c>
      <c r="E522" t="s">
        <v>2063</v>
      </c>
      <c r="F522" t="s">
        <v>2063</v>
      </c>
    </row>
    <row r="523" spans="1:6">
      <c r="A523" s="95">
        <v>44671</v>
      </c>
      <c r="B523" t="s">
        <v>2064</v>
      </c>
      <c r="C523" t="s">
        <v>2065</v>
      </c>
      <c r="D523" t="s">
        <v>2066</v>
      </c>
      <c r="E523" t="s">
        <v>2067</v>
      </c>
      <c r="F523" t="s">
        <v>2067</v>
      </c>
    </row>
    <row r="524" spans="1:6">
      <c r="A524" s="95">
        <v>44673</v>
      </c>
      <c r="B524" t="s">
        <v>2068</v>
      </c>
      <c r="C524" t="s">
        <v>2069</v>
      </c>
      <c r="D524" t="s">
        <v>2070</v>
      </c>
      <c r="E524" t="s">
        <v>2071</v>
      </c>
      <c r="F524" t="s">
        <v>2071</v>
      </c>
    </row>
    <row r="525" spans="1:6">
      <c r="A525" s="95">
        <v>44674</v>
      </c>
      <c r="B525" t="s">
        <v>2072</v>
      </c>
      <c r="C525" t="s">
        <v>2073</v>
      </c>
      <c r="D525" t="s">
        <v>2074</v>
      </c>
      <c r="E525" t="s">
        <v>2075</v>
      </c>
      <c r="F525" t="s">
        <v>2075</v>
      </c>
    </row>
    <row r="526" spans="1:6">
      <c r="A526" s="95">
        <v>44676</v>
      </c>
      <c r="B526" t="s">
        <v>2076</v>
      </c>
      <c r="C526" t="s">
        <v>2077</v>
      </c>
      <c r="D526" t="s">
        <v>2078</v>
      </c>
      <c r="E526" t="s">
        <v>2079</v>
      </c>
      <c r="F526" t="s">
        <v>2079</v>
      </c>
    </row>
    <row r="527" spans="1:6">
      <c r="A527" s="95">
        <v>44677</v>
      </c>
      <c r="B527" t="s">
        <v>2080</v>
      </c>
      <c r="C527" t="s">
        <v>2081</v>
      </c>
      <c r="D527" t="s">
        <v>2082</v>
      </c>
      <c r="E527" t="s">
        <v>2083</v>
      </c>
      <c r="F527" t="s">
        <v>2083</v>
      </c>
    </row>
    <row r="528" spans="1:6">
      <c r="A528" s="95">
        <v>44678</v>
      </c>
      <c r="B528" t="s">
        <v>2084</v>
      </c>
      <c r="C528" t="s">
        <v>2085</v>
      </c>
      <c r="D528" t="s">
        <v>2086</v>
      </c>
      <c r="E528" t="s">
        <v>2087</v>
      </c>
      <c r="F528" t="s">
        <v>2087</v>
      </c>
    </row>
    <row r="529" spans="1:6">
      <c r="A529" s="95">
        <v>44680</v>
      </c>
      <c r="B529" t="s">
        <v>2088</v>
      </c>
      <c r="C529" t="s">
        <v>2089</v>
      </c>
      <c r="D529" t="s">
        <v>2090</v>
      </c>
      <c r="E529" t="s">
        <v>2091</v>
      </c>
      <c r="F529" t="s">
        <v>2091</v>
      </c>
    </row>
    <row r="530" spans="1:6">
      <c r="A530" s="95">
        <v>44681</v>
      </c>
      <c r="B530" t="s">
        <v>2092</v>
      </c>
      <c r="C530" t="s">
        <v>2093</v>
      </c>
      <c r="D530" t="s">
        <v>2094</v>
      </c>
      <c r="E530" t="s">
        <v>2095</v>
      </c>
      <c r="F530" t="s">
        <v>2095</v>
      </c>
    </row>
    <row r="531" spans="1:6">
      <c r="A531" s="95">
        <v>44682</v>
      </c>
      <c r="B531" t="s">
        <v>2096</v>
      </c>
      <c r="C531" t="s">
        <v>2097</v>
      </c>
      <c r="D531" t="s">
        <v>2098</v>
      </c>
      <c r="E531" t="s">
        <v>2099</v>
      </c>
      <c r="F531" t="s">
        <v>2099</v>
      </c>
    </row>
    <row r="532" spans="1:6">
      <c r="A532" s="95">
        <v>44683</v>
      </c>
      <c r="B532" t="s">
        <v>2100</v>
      </c>
      <c r="C532" t="s">
        <v>2101</v>
      </c>
      <c r="D532" t="s">
        <v>2102</v>
      </c>
      <c r="E532" t="s">
        <v>2103</v>
      </c>
      <c r="F532" t="s">
        <v>2103</v>
      </c>
    </row>
    <row r="533" spans="1:6">
      <c r="A533" s="95">
        <v>44684</v>
      </c>
      <c r="B533" t="s">
        <v>2104</v>
      </c>
      <c r="C533" t="s">
        <v>2105</v>
      </c>
      <c r="D533" t="s">
        <v>2106</v>
      </c>
      <c r="E533" t="s">
        <v>2107</v>
      </c>
      <c r="F533" t="s">
        <v>2107</v>
      </c>
    </row>
    <row r="534" spans="1:6">
      <c r="A534" s="95">
        <v>44685</v>
      </c>
      <c r="B534" t="s">
        <v>2108</v>
      </c>
      <c r="C534" t="s">
        <v>2109</v>
      </c>
      <c r="D534" t="s">
        <v>2110</v>
      </c>
      <c r="E534" t="s">
        <v>2111</v>
      </c>
      <c r="F534" t="s">
        <v>2111</v>
      </c>
    </row>
    <row r="535" spans="1:6">
      <c r="A535" s="95">
        <v>44686</v>
      </c>
      <c r="B535" t="s">
        <v>2046</v>
      </c>
      <c r="C535" t="s">
        <v>2112</v>
      </c>
      <c r="D535" t="s">
        <v>2113</v>
      </c>
      <c r="E535" t="s">
        <v>2114</v>
      </c>
      <c r="F535" t="s">
        <v>2114</v>
      </c>
    </row>
    <row r="536" spans="1:6">
      <c r="A536" s="95">
        <v>44687</v>
      </c>
      <c r="B536" t="s">
        <v>2115</v>
      </c>
      <c r="C536" t="s">
        <v>2116</v>
      </c>
      <c r="D536" t="s">
        <v>2117</v>
      </c>
      <c r="E536" t="s">
        <v>2118</v>
      </c>
      <c r="F536" t="s">
        <v>2118</v>
      </c>
    </row>
    <row r="537" spans="1:6">
      <c r="A537" s="95">
        <v>44688</v>
      </c>
      <c r="B537" t="s">
        <v>2119</v>
      </c>
      <c r="C537" t="s">
        <v>2120</v>
      </c>
      <c r="D537" t="s">
        <v>2121</v>
      </c>
      <c r="E537" t="s">
        <v>2122</v>
      </c>
      <c r="F537" t="s">
        <v>2122</v>
      </c>
    </row>
    <row r="538" spans="1:6">
      <c r="A538" s="95">
        <v>44689</v>
      </c>
      <c r="B538" t="s">
        <v>2123</v>
      </c>
      <c r="C538" t="s">
        <v>2123</v>
      </c>
      <c r="D538" t="s">
        <v>2124</v>
      </c>
      <c r="E538" t="s">
        <v>2125</v>
      </c>
      <c r="F538" t="s">
        <v>2125</v>
      </c>
    </row>
    <row r="539" spans="1:6">
      <c r="A539" s="95">
        <v>44690</v>
      </c>
      <c r="B539" t="s">
        <v>2126</v>
      </c>
      <c r="C539" t="s">
        <v>2127</v>
      </c>
      <c r="D539" t="s">
        <v>2128</v>
      </c>
      <c r="E539" t="s">
        <v>2128</v>
      </c>
      <c r="F539" t="s">
        <v>2128</v>
      </c>
    </row>
    <row r="540" spans="1:6">
      <c r="A540" s="95">
        <v>44691</v>
      </c>
      <c r="B540" t="s">
        <v>2129</v>
      </c>
      <c r="C540" t="s">
        <v>2130</v>
      </c>
      <c r="D540" t="s">
        <v>2131</v>
      </c>
      <c r="E540" t="s">
        <v>2132</v>
      </c>
      <c r="F540" t="s">
        <v>2132</v>
      </c>
    </row>
    <row r="541" spans="1:6">
      <c r="A541" s="95">
        <v>44693</v>
      </c>
      <c r="B541" t="s">
        <v>2133</v>
      </c>
      <c r="C541" t="s">
        <v>2134</v>
      </c>
      <c r="D541" t="s">
        <v>2135</v>
      </c>
      <c r="E541" t="s">
        <v>2136</v>
      </c>
      <c r="F541" t="s">
        <v>2136</v>
      </c>
    </row>
    <row r="542" spans="1:6">
      <c r="A542" s="95">
        <v>44694</v>
      </c>
      <c r="B542" t="s">
        <v>2137</v>
      </c>
      <c r="C542" t="s">
        <v>2138</v>
      </c>
      <c r="D542" t="s">
        <v>2139</v>
      </c>
      <c r="E542" t="s">
        <v>2140</v>
      </c>
      <c r="F542" t="s">
        <v>2140</v>
      </c>
    </row>
    <row r="543" spans="1:6">
      <c r="A543" s="95">
        <v>44695</v>
      </c>
      <c r="B543" t="s">
        <v>2141</v>
      </c>
      <c r="C543" t="s">
        <v>2142</v>
      </c>
      <c r="D543" t="s">
        <v>2143</v>
      </c>
      <c r="E543" t="s">
        <v>2144</v>
      </c>
      <c r="F543" t="s">
        <v>2144</v>
      </c>
    </row>
    <row r="544" spans="1:6">
      <c r="A544" s="95">
        <v>44696</v>
      </c>
      <c r="B544" t="s">
        <v>2145</v>
      </c>
      <c r="C544" t="s">
        <v>2146</v>
      </c>
      <c r="D544" t="s">
        <v>2147</v>
      </c>
      <c r="E544" t="s">
        <v>2148</v>
      </c>
      <c r="F544" t="s">
        <v>2148</v>
      </c>
    </row>
    <row r="545" spans="1:6">
      <c r="A545" s="95">
        <v>44697</v>
      </c>
      <c r="B545" t="s">
        <v>2149</v>
      </c>
      <c r="C545" t="s">
        <v>2150</v>
      </c>
      <c r="D545" t="s">
        <v>2151</v>
      </c>
      <c r="E545" t="s">
        <v>2152</v>
      </c>
      <c r="F545" t="s">
        <v>2152</v>
      </c>
    </row>
    <row r="546" spans="1:6">
      <c r="A546" s="95">
        <v>44699</v>
      </c>
      <c r="B546" t="s">
        <v>2153</v>
      </c>
      <c r="C546" t="s">
        <v>2154</v>
      </c>
      <c r="D546" t="s">
        <v>2155</v>
      </c>
      <c r="E546" t="s">
        <v>2155</v>
      </c>
      <c r="F546" t="s">
        <v>2155</v>
      </c>
    </row>
    <row r="547" spans="1:6">
      <c r="A547" s="95">
        <v>44700</v>
      </c>
      <c r="B547" t="s">
        <v>2156</v>
      </c>
      <c r="C547" t="s">
        <v>2157</v>
      </c>
      <c r="D547" t="s">
        <v>2158</v>
      </c>
      <c r="E547" t="s">
        <v>2159</v>
      </c>
      <c r="F547" t="s">
        <v>2159</v>
      </c>
    </row>
    <row r="548" spans="1:6">
      <c r="A548" s="95">
        <v>44701</v>
      </c>
      <c r="B548" t="s">
        <v>2160</v>
      </c>
      <c r="C548" t="s">
        <v>2161</v>
      </c>
      <c r="D548" t="s">
        <v>2162</v>
      </c>
      <c r="E548" t="s">
        <v>2163</v>
      </c>
      <c r="F548" t="s">
        <v>2163</v>
      </c>
    </row>
    <row r="549" spans="1:6">
      <c r="A549" s="95">
        <v>44702</v>
      </c>
      <c r="B549" t="s">
        <v>2164</v>
      </c>
      <c r="C549" t="s">
        <v>2165</v>
      </c>
      <c r="D549" t="s">
        <v>2166</v>
      </c>
      <c r="E549" t="s">
        <v>2167</v>
      </c>
      <c r="F549" t="s">
        <v>2167</v>
      </c>
    </row>
    <row r="550" spans="1:6">
      <c r="A550" s="95">
        <v>44703</v>
      </c>
      <c r="B550" t="s">
        <v>2168</v>
      </c>
      <c r="C550" t="s">
        <v>2169</v>
      </c>
      <c r="D550" t="s">
        <v>2170</v>
      </c>
      <c r="E550" t="s">
        <v>2171</v>
      </c>
      <c r="F550" t="s">
        <v>2171</v>
      </c>
    </row>
    <row r="551" spans="1:6">
      <c r="A551" s="95">
        <v>44704</v>
      </c>
      <c r="B551" t="s">
        <v>2172</v>
      </c>
      <c r="C551" t="s">
        <v>2173</v>
      </c>
      <c r="D551" t="s">
        <v>2174</v>
      </c>
      <c r="E551" t="s">
        <v>2175</v>
      </c>
      <c r="F551" t="s">
        <v>2175</v>
      </c>
    </row>
    <row r="552" spans="1:6">
      <c r="A552" s="95">
        <v>44705</v>
      </c>
      <c r="B552" t="s">
        <v>2176</v>
      </c>
      <c r="C552" t="s">
        <v>2177</v>
      </c>
      <c r="D552" t="s">
        <v>2178</v>
      </c>
      <c r="E552" t="s">
        <v>2179</v>
      </c>
      <c r="F552" t="s">
        <v>2179</v>
      </c>
    </row>
    <row r="553" spans="1:6">
      <c r="A553" s="95">
        <v>44706</v>
      </c>
      <c r="B553" t="s">
        <v>2180</v>
      </c>
      <c r="C553" t="s">
        <v>2181</v>
      </c>
      <c r="D553" t="s">
        <v>2182</v>
      </c>
      <c r="E553" t="s">
        <v>2183</v>
      </c>
      <c r="F553" t="s">
        <v>2183</v>
      </c>
    </row>
    <row r="554" spans="1:6">
      <c r="A554" s="95">
        <v>44707</v>
      </c>
      <c r="B554" t="s">
        <v>2184</v>
      </c>
      <c r="C554" t="s">
        <v>2185</v>
      </c>
      <c r="D554" t="s">
        <v>2186</v>
      </c>
      <c r="E554" t="s">
        <v>2187</v>
      </c>
      <c r="F554" t="s">
        <v>2187</v>
      </c>
    </row>
    <row r="555" spans="1:6">
      <c r="A555" s="95">
        <v>44708</v>
      </c>
      <c r="B555" t="s">
        <v>2188</v>
      </c>
      <c r="C555" t="s">
        <v>2189</v>
      </c>
      <c r="D555" t="s">
        <v>2190</v>
      </c>
      <c r="E555" t="s">
        <v>2191</v>
      </c>
      <c r="F555" t="s">
        <v>2191</v>
      </c>
    </row>
    <row r="556" spans="1:6">
      <c r="A556" s="95">
        <v>44709</v>
      </c>
      <c r="B556" t="s">
        <v>2192</v>
      </c>
      <c r="C556" t="s">
        <v>2193</v>
      </c>
      <c r="D556" t="s">
        <v>2194</v>
      </c>
      <c r="E556" t="s">
        <v>2193</v>
      </c>
      <c r="F556" t="s">
        <v>2193</v>
      </c>
    </row>
    <row r="557" spans="1:6">
      <c r="A557" s="95">
        <v>44710</v>
      </c>
      <c r="B557" t="s">
        <v>2195</v>
      </c>
      <c r="C557" t="s">
        <v>2196</v>
      </c>
      <c r="D557" t="s">
        <v>2197</v>
      </c>
      <c r="E557" t="s">
        <v>2198</v>
      </c>
      <c r="F557" t="s">
        <v>2198</v>
      </c>
    </row>
    <row r="558" spans="1:6">
      <c r="A558" s="95">
        <v>44711</v>
      </c>
      <c r="B558" t="s">
        <v>2199</v>
      </c>
      <c r="C558" t="s">
        <v>2200</v>
      </c>
      <c r="D558" t="s">
        <v>2201</v>
      </c>
      <c r="E558" t="s">
        <v>2202</v>
      </c>
      <c r="F558" t="s">
        <v>2202</v>
      </c>
    </row>
    <row r="559" spans="1:6">
      <c r="A559" s="95">
        <v>44712</v>
      </c>
      <c r="B559" t="s">
        <v>2203</v>
      </c>
      <c r="C559" t="s">
        <v>2204</v>
      </c>
      <c r="D559" t="s">
        <v>2205</v>
      </c>
      <c r="E559" t="s">
        <v>2206</v>
      </c>
      <c r="F559" t="s">
        <v>2206</v>
      </c>
    </row>
    <row r="560" spans="1:6">
      <c r="A560" s="95">
        <v>44713</v>
      </c>
      <c r="B560" t="s">
        <v>2207</v>
      </c>
      <c r="C560" t="s">
        <v>2208</v>
      </c>
      <c r="D560" t="s">
        <v>2209</v>
      </c>
      <c r="E560" t="s">
        <v>2210</v>
      </c>
      <c r="F560" t="s">
        <v>2210</v>
      </c>
    </row>
    <row r="561" spans="1:6">
      <c r="A561" s="95">
        <v>44714</v>
      </c>
      <c r="B561" t="s">
        <v>2211</v>
      </c>
      <c r="C561" t="s">
        <v>2212</v>
      </c>
      <c r="D561" t="s">
        <v>2213</v>
      </c>
      <c r="E561" t="s">
        <v>2214</v>
      </c>
      <c r="F561" t="s">
        <v>2214</v>
      </c>
    </row>
    <row r="562" spans="1:6">
      <c r="A562" s="95">
        <v>44715</v>
      </c>
      <c r="B562" t="s">
        <v>2215</v>
      </c>
      <c r="C562" t="s">
        <v>2216</v>
      </c>
      <c r="D562" t="s">
        <v>2217</v>
      </c>
      <c r="E562" t="s">
        <v>2218</v>
      </c>
      <c r="F562" t="s">
        <v>2218</v>
      </c>
    </row>
    <row r="563" spans="1:6">
      <c r="A563" s="95">
        <v>44716</v>
      </c>
      <c r="B563" t="s">
        <v>2219</v>
      </c>
      <c r="C563" t="s">
        <v>2220</v>
      </c>
      <c r="D563" t="s">
        <v>2221</v>
      </c>
      <c r="E563" t="s">
        <v>2222</v>
      </c>
      <c r="F563" t="s">
        <v>2222</v>
      </c>
    </row>
    <row r="564" spans="1:6">
      <c r="A564" s="95">
        <v>44718</v>
      </c>
      <c r="B564" t="s">
        <v>2223</v>
      </c>
      <c r="C564" t="s">
        <v>2224</v>
      </c>
      <c r="D564" t="s">
        <v>2225</v>
      </c>
      <c r="E564" t="s">
        <v>2226</v>
      </c>
      <c r="F564" t="s">
        <v>2226</v>
      </c>
    </row>
    <row r="565" spans="1:6">
      <c r="A565" s="95">
        <v>44719</v>
      </c>
      <c r="B565" t="s">
        <v>2227</v>
      </c>
      <c r="C565" t="s">
        <v>2228</v>
      </c>
      <c r="D565" t="s">
        <v>2229</v>
      </c>
      <c r="E565" t="s">
        <v>2230</v>
      </c>
      <c r="F565" t="s">
        <v>2230</v>
      </c>
    </row>
    <row r="566" spans="1:6">
      <c r="A566" s="95">
        <v>44720</v>
      </c>
      <c r="B566" t="s">
        <v>2231</v>
      </c>
      <c r="C566" t="s">
        <v>2232</v>
      </c>
      <c r="D566" t="s">
        <v>2233</v>
      </c>
      <c r="E566" t="s">
        <v>2234</v>
      </c>
      <c r="F566" t="s">
        <v>2234</v>
      </c>
    </row>
    <row r="567" spans="1:6">
      <c r="A567" s="95">
        <v>44721</v>
      </c>
      <c r="B567" t="s">
        <v>2235</v>
      </c>
      <c r="C567" t="s">
        <v>2236</v>
      </c>
      <c r="D567" t="s">
        <v>2237</v>
      </c>
      <c r="E567" t="s">
        <v>2238</v>
      </c>
      <c r="F567" t="s">
        <v>2238</v>
      </c>
    </row>
    <row r="568" spans="1:6">
      <c r="A568" s="95">
        <v>44722</v>
      </c>
      <c r="B568" t="s">
        <v>2239</v>
      </c>
      <c r="C568" t="s">
        <v>2240</v>
      </c>
      <c r="D568" t="s">
        <v>2241</v>
      </c>
      <c r="E568" t="s">
        <v>2242</v>
      </c>
      <c r="F568" t="s">
        <v>2242</v>
      </c>
    </row>
    <row r="569" spans="1:6">
      <c r="A569" s="95">
        <v>44723</v>
      </c>
      <c r="B569" t="s">
        <v>2243</v>
      </c>
      <c r="C569" t="s">
        <v>2244</v>
      </c>
      <c r="D569" t="s">
        <v>2245</v>
      </c>
      <c r="E569" t="s">
        <v>2246</v>
      </c>
      <c r="F569" t="s">
        <v>2246</v>
      </c>
    </row>
    <row r="570" spans="1:6">
      <c r="A570" s="95">
        <v>44724</v>
      </c>
      <c r="B570" t="s">
        <v>2247</v>
      </c>
      <c r="C570" t="s">
        <v>2248</v>
      </c>
      <c r="D570" t="s">
        <v>2249</v>
      </c>
      <c r="E570" t="s">
        <v>2249</v>
      </c>
      <c r="F570" t="s">
        <v>2249</v>
      </c>
    </row>
    <row r="571" spans="1:6">
      <c r="A571" s="95">
        <v>44725</v>
      </c>
      <c r="B571" t="s">
        <v>2250</v>
      </c>
      <c r="C571" t="s">
        <v>2251</v>
      </c>
      <c r="D571" t="s">
        <v>2252</v>
      </c>
      <c r="E571" t="s">
        <v>2253</v>
      </c>
      <c r="F571" t="s">
        <v>2253</v>
      </c>
    </row>
    <row r="572" spans="1:6">
      <c r="A572" s="95">
        <v>44727</v>
      </c>
      <c r="B572" t="s">
        <v>2254</v>
      </c>
      <c r="C572" t="s">
        <v>2255</v>
      </c>
      <c r="D572" t="s">
        <v>2256</v>
      </c>
      <c r="E572" t="s">
        <v>2257</v>
      </c>
      <c r="F572" t="s">
        <v>2257</v>
      </c>
    </row>
    <row r="573" spans="1:6">
      <c r="A573" s="95">
        <v>44728</v>
      </c>
      <c r="B573" t="s">
        <v>2258</v>
      </c>
      <c r="C573" t="s">
        <v>2259</v>
      </c>
      <c r="D573" t="s">
        <v>2260</v>
      </c>
      <c r="E573" t="s">
        <v>2261</v>
      </c>
      <c r="F573" t="s">
        <v>2261</v>
      </c>
    </row>
    <row r="574" spans="1:6">
      <c r="A574" s="95">
        <v>44729</v>
      </c>
      <c r="B574" t="s">
        <v>2262</v>
      </c>
      <c r="C574" t="s">
        <v>2263</v>
      </c>
      <c r="D574" t="s">
        <v>2264</v>
      </c>
      <c r="E574" t="s">
        <v>2265</v>
      </c>
      <c r="F574" t="s">
        <v>2265</v>
      </c>
    </row>
    <row r="575" spans="1:6">
      <c r="A575" s="95">
        <v>44731</v>
      </c>
      <c r="B575" t="s">
        <v>2266</v>
      </c>
      <c r="C575" t="s">
        <v>2267</v>
      </c>
      <c r="D575" t="s">
        <v>2268</v>
      </c>
      <c r="E575" t="s">
        <v>2269</v>
      </c>
      <c r="F575" t="s">
        <v>2269</v>
      </c>
    </row>
    <row r="576" spans="1:6">
      <c r="A576" s="95">
        <v>44733</v>
      </c>
      <c r="B576" t="s">
        <v>2270</v>
      </c>
      <c r="C576" t="s">
        <v>2271</v>
      </c>
      <c r="D576" t="s">
        <v>2272</v>
      </c>
      <c r="E576" t="s">
        <v>2273</v>
      </c>
      <c r="F576" t="s">
        <v>2273</v>
      </c>
    </row>
    <row r="577" spans="1:6">
      <c r="A577" s="95">
        <v>44734</v>
      </c>
      <c r="B577" t="s">
        <v>2274</v>
      </c>
      <c r="C577" t="s">
        <v>2275</v>
      </c>
      <c r="D577" t="s">
        <v>2276</v>
      </c>
      <c r="E577" t="s">
        <v>2277</v>
      </c>
      <c r="F577" t="s">
        <v>2277</v>
      </c>
    </row>
    <row r="578" spans="1:6">
      <c r="A578" s="95">
        <v>44735</v>
      </c>
      <c r="B578" t="s">
        <v>2278</v>
      </c>
      <c r="C578" t="s">
        <v>2279</v>
      </c>
      <c r="D578" t="s">
        <v>2280</v>
      </c>
      <c r="E578" t="s">
        <v>2281</v>
      </c>
      <c r="F578" t="s">
        <v>2281</v>
      </c>
    </row>
    <row r="579" spans="1:6">
      <c r="A579" s="95">
        <v>44736</v>
      </c>
      <c r="B579" t="s">
        <v>2282</v>
      </c>
      <c r="C579" t="s">
        <v>2283</v>
      </c>
      <c r="D579" t="s">
        <v>2284</v>
      </c>
      <c r="E579" t="s">
        <v>2285</v>
      </c>
      <c r="F579" t="s">
        <v>2285</v>
      </c>
    </row>
    <row r="580" spans="1:6">
      <c r="A580" s="95">
        <v>44737</v>
      </c>
      <c r="B580" t="s">
        <v>2286</v>
      </c>
      <c r="C580" t="s">
        <v>2287</v>
      </c>
      <c r="D580" t="s">
        <v>2288</v>
      </c>
      <c r="E580" t="s">
        <v>2289</v>
      </c>
      <c r="F580" t="s">
        <v>2289</v>
      </c>
    </row>
    <row r="581" spans="1:6">
      <c r="A581" s="95">
        <v>44738</v>
      </c>
      <c r="B581" t="s">
        <v>2290</v>
      </c>
      <c r="C581" t="s">
        <v>2291</v>
      </c>
      <c r="D581" t="s">
        <v>2292</v>
      </c>
      <c r="E581" t="s">
        <v>2293</v>
      </c>
      <c r="F581" t="s">
        <v>2293</v>
      </c>
    </row>
    <row r="582" spans="1:6">
      <c r="A582" s="95">
        <v>44739</v>
      </c>
      <c r="B582" t="s">
        <v>2294</v>
      </c>
      <c r="C582" t="s">
        <v>2295</v>
      </c>
      <c r="D582" t="s">
        <v>2296</v>
      </c>
      <c r="E582" t="s">
        <v>2297</v>
      </c>
      <c r="F582" t="s">
        <v>2297</v>
      </c>
    </row>
    <row r="583" spans="1:6">
      <c r="A583" s="95">
        <v>44740</v>
      </c>
      <c r="B583" t="s">
        <v>2298</v>
      </c>
      <c r="C583" t="s">
        <v>2299</v>
      </c>
      <c r="D583" t="s">
        <v>2300</v>
      </c>
      <c r="E583" t="s">
        <v>2301</v>
      </c>
      <c r="F583" t="s">
        <v>2301</v>
      </c>
    </row>
    <row r="584" spans="1:6">
      <c r="A584" s="95">
        <v>44741</v>
      </c>
      <c r="B584" t="s">
        <v>2302</v>
      </c>
      <c r="C584" t="s">
        <v>2303</v>
      </c>
      <c r="D584" t="s">
        <v>2304</v>
      </c>
      <c r="E584" t="s">
        <v>2305</v>
      </c>
      <c r="F584" t="s">
        <v>2305</v>
      </c>
    </row>
    <row r="585" spans="1:6">
      <c r="A585" s="95">
        <v>44742</v>
      </c>
      <c r="B585" t="s">
        <v>2306</v>
      </c>
      <c r="C585" t="s">
        <v>2307</v>
      </c>
      <c r="D585" t="s">
        <v>2308</v>
      </c>
      <c r="E585" t="s">
        <v>2309</v>
      </c>
      <c r="F585" t="s">
        <v>2309</v>
      </c>
    </row>
    <row r="586" spans="1:6">
      <c r="A586" s="95">
        <v>44743</v>
      </c>
      <c r="B586" t="s">
        <v>2310</v>
      </c>
      <c r="C586" t="s">
        <v>2311</v>
      </c>
      <c r="D586" t="s">
        <v>2312</v>
      </c>
      <c r="E586" t="s">
        <v>2313</v>
      </c>
      <c r="F586" t="s">
        <v>2313</v>
      </c>
    </row>
    <row r="587" spans="1:6">
      <c r="A587" s="95">
        <v>44744</v>
      </c>
      <c r="B587" t="s">
        <v>2314</v>
      </c>
      <c r="C587" t="s">
        <v>2315</v>
      </c>
      <c r="D587" t="s">
        <v>2316</v>
      </c>
      <c r="E587" t="s">
        <v>2317</v>
      </c>
      <c r="F587" t="s">
        <v>2317</v>
      </c>
    </row>
    <row r="588" spans="1:6">
      <c r="A588" s="95">
        <v>44745</v>
      </c>
      <c r="B588" t="s">
        <v>2318</v>
      </c>
      <c r="C588" t="s">
        <v>2319</v>
      </c>
      <c r="D588" t="s">
        <v>2320</v>
      </c>
      <c r="E588" t="s">
        <v>2321</v>
      </c>
      <c r="F588" t="s">
        <v>2321</v>
      </c>
    </row>
    <row r="589" spans="1:6">
      <c r="A589" s="95">
        <v>44748</v>
      </c>
      <c r="B589" t="s">
        <v>2322</v>
      </c>
      <c r="C589" t="s">
        <v>2323</v>
      </c>
      <c r="D589" t="s">
        <v>2324</v>
      </c>
      <c r="E589" t="s">
        <v>2325</v>
      </c>
      <c r="F589" t="s">
        <v>2325</v>
      </c>
    </row>
    <row r="590" spans="1:6">
      <c r="A590" s="95">
        <v>44749</v>
      </c>
      <c r="B590" t="s">
        <v>2326</v>
      </c>
      <c r="C590" t="s">
        <v>2327</v>
      </c>
      <c r="D590" t="s">
        <v>2328</v>
      </c>
      <c r="E590" t="s">
        <v>2329</v>
      </c>
      <c r="F590" t="s">
        <v>2329</v>
      </c>
    </row>
    <row r="591" spans="1:6">
      <c r="A591" s="95">
        <v>44750</v>
      </c>
      <c r="B591" t="s">
        <v>2330</v>
      </c>
      <c r="C591" t="s">
        <v>2331</v>
      </c>
      <c r="D591" t="s">
        <v>2332</v>
      </c>
      <c r="E591" t="s">
        <v>2333</v>
      </c>
      <c r="F591" t="s">
        <v>2333</v>
      </c>
    </row>
    <row r="592" spans="1:6">
      <c r="A592" s="95">
        <v>44751</v>
      </c>
      <c r="B592" t="s">
        <v>2334</v>
      </c>
      <c r="C592" t="s">
        <v>2335</v>
      </c>
      <c r="D592" t="s">
        <v>2336</v>
      </c>
      <c r="E592" t="s">
        <v>2337</v>
      </c>
      <c r="F592" t="s">
        <v>2337</v>
      </c>
    </row>
    <row r="593" spans="1:6">
      <c r="A593" s="95">
        <v>44752</v>
      </c>
      <c r="B593" t="s">
        <v>2338</v>
      </c>
      <c r="C593" t="s">
        <v>2338</v>
      </c>
      <c r="D593" t="s">
        <v>2339</v>
      </c>
      <c r="E593" t="s">
        <v>2340</v>
      </c>
      <c r="F593" t="s">
        <v>2340</v>
      </c>
    </row>
    <row r="594" spans="1:6">
      <c r="A594" s="95">
        <v>44753</v>
      </c>
      <c r="B594" t="s">
        <v>2341</v>
      </c>
      <c r="C594" t="s">
        <v>2341</v>
      </c>
      <c r="D594" t="s">
        <v>2342</v>
      </c>
      <c r="E594" t="s">
        <v>2343</v>
      </c>
      <c r="F594" t="s">
        <v>2343</v>
      </c>
    </row>
    <row r="595" spans="1:6">
      <c r="A595" s="95">
        <v>44754</v>
      </c>
      <c r="B595" t="s">
        <v>2344</v>
      </c>
      <c r="C595" t="s">
        <v>2345</v>
      </c>
      <c r="D595" t="s">
        <v>2346</v>
      </c>
      <c r="E595" t="s">
        <v>2347</v>
      </c>
      <c r="F595" t="s">
        <v>2347</v>
      </c>
    </row>
    <row r="596" spans="1:6">
      <c r="A596" s="95">
        <v>44756</v>
      </c>
      <c r="B596" t="s">
        <v>2348</v>
      </c>
      <c r="C596" t="s">
        <v>2349</v>
      </c>
      <c r="D596" t="s">
        <v>2350</v>
      </c>
      <c r="E596" t="s">
        <v>2351</v>
      </c>
      <c r="F596" t="s">
        <v>2351</v>
      </c>
    </row>
    <row r="597" spans="1:6">
      <c r="A597" s="95">
        <v>44757</v>
      </c>
      <c r="B597" t="s">
        <v>2352</v>
      </c>
      <c r="C597" t="s">
        <v>2353</v>
      </c>
      <c r="D597" t="s">
        <v>2354</v>
      </c>
      <c r="E597" t="s">
        <v>2355</v>
      </c>
      <c r="F597" t="s">
        <v>2355</v>
      </c>
    </row>
    <row r="598" spans="1:6">
      <c r="A598" s="95">
        <v>44758</v>
      </c>
      <c r="B598" t="s">
        <v>2356</v>
      </c>
      <c r="C598" t="s">
        <v>2357</v>
      </c>
      <c r="D598" t="s">
        <v>2358</v>
      </c>
      <c r="E598" t="s">
        <v>2359</v>
      </c>
      <c r="F598" t="s">
        <v>2359</v>
      </c>
    </row>
    <row r="599" spans="1:6">
      <c r="A599" s="95">
        <v>44759</v>
      </c>
      <c r="B599" t="s">
        <v>2360</v>
      </c>
      <c r="C599" t="s">
        <v>2361</v>
      </c>
      <c r="D599" t="s">
        <v>2362</v>
      </c>
      <c r="E599" t="s">
        <v>2363</v>
      </c>
      <c r="F599" t="s">
        <v>2363</v>
      </c>
    </row>
    <row r="600" spans="1:6">
      <c r="A600" s="95">
        <v>44760</v>
      </c>
      <c r="B600" t="s">
        <v>2364</v>
      </c>
      <c r="C600" t="s">
        <v>2365</v>
      </c>
      <c r="D600" t="s">
        <v>2364</v>
      </c>
      <c r="E600" t="s">
        <v>2366</v>
      </c>
      <c r="F600" t="s">
        <v>2366</v>
      </c>
    </row>
    <row r="601" spans="1:6">
      <c r="A601" s="95">
        <v>44761</v>
      </c>
      <c r="B601" t="s">
        <v>2367</v>
      </c>
      <c r="C601" t="s">
        <v>2368</v>
      </c>
      <c r="D601" t="s">
        <v>2369</v>
      </c>
      <c r="E601" t="s">
        <v>2370</v>
      </c>
      <c r="F601" t="s">
        <v>2370</v>
      </c>
    </row>
    <row r="602" spans="1:6">
      <c r="A602" s="95">
        <v>44762</v>
      </c>
      <c r="B602" t="s">
        <v>2371</v>
      </c>
      <c r="C602" t="s">
        <v>2372</v>
      </c>
      <c r="D602" t="s">
        <v>2373</v>
      </c>
      <c r="E602" t="s">
        <v>2374</v>
      </c>
      <c r="F602" t="s">
        <v>2374</v>
      </c>
    </row>
    <row r="603" spans="1:6">
      <c r="A603" s="95">
        <v>44763</v>
      </c>
      <c r="B603" t="s">
        <v>2375</v>
      </c>
      <c r="C603" t="s">
        <v>2376</v>
      </c>
      <c r="D603" t="s">
        <v>2377</v>
      </c>
      <c r="E603" t="s">
        <v>2378</v>
      </c>
      <c r="F603" t="s">
        <v>2378</v>
      </c>
    </row>
    <row r="604" spans="1:6">
      <c r="A604" s="95">
        <v>44764</v>
      </c>
      <c r="B604" t="s">
        <v>2379</v>
      </c>
      <c r="C604" t="s">
        <v>2380</v>
      </c>
      <c r="D604" t="s">
        <v>2381</v>
      </c>
      <c r="E604" t="s">
        <v>2382</v>
      </c>
      <c r="F604" t="s">
        <v>2382</v>
      </c>
    </row>
    <row r="605" spans="1:6">
      <c r="A605" s="95">
        <v>44765</v>
      </c>
      <c r="B605" t="s">
        <v>2383</v>
      </c>
      <c r="C605" t="s">
        <v>2384</v>
      </c>
      <c r="D605" t="s">
        <v>2385</v>
      </c>
      <c r="E605" t="s">
        <v>2386</v>
      </c>
      <c r="F605" t="s">
        <v>2386</v>
      </c>
    </row>
    <row r="606" spans="1:6">
      <c r="A606" s="95">
        <v>44766</v>
      </c>
      <c r="B606" t="s">
        <v>2387</v>
      </c>
      <c r="C606" t="s">
        <v>2388</v>
      </c>
      <c r="D606" t="s">
        <v>2389</v>
      </c>
      <c r="E606" t="s">
        <v>2390</v>
      </c>
      <c r="F606" t="s">
        <v>2390</v>
      </c>
    </row>
    <row r="607" spans="1:6">
      <c r="A607" s="95">
        <v>44767</v>
      </c>
      <c r="B607" t="s">
        <v>2391</v>
      </c>
      <c r="C607" t="s">
        <v>2392</v>
      </c>
      <c r="D607" t="s">
        <v>2393</v>
      </c>
      <c r="E607" t="s">
        <v>2394</v>
      </c>
      <c r="F607" t="s">
        <v>2394</v>
      </c>
    </row>
    <row r="608" spans="1:6">
      <c r="A608" s="95">
        <v>44769</v>
      </c>
      <c r="B608" t="s">
        <v>2395</v>
      </c>
      <c r="C608" t="s">
        <v>2396</v>
      </c>
      <c r="D608" t="s">
        <v>2397</v>
      </c>
      <c r="E608" t="s">
        <v>2398</v>
      </c>
      <c r="F608" t="s">
        <v>2398</v>
      </c>
    </row>
    <row r="609" spans="1:6">
      <c r="A609" s="95">
        <v>44770</v>
      </c>
      <c r="B609" t="s">
        <v>2399</v>
      </c>
      <c r="C609" t="s">
        <v>2400</v>
      </c>
      <c r="D609" t="s">
        <v>2401</v>
      </c>
      <c r="E609" t="s">
        <v>2402</v>
      </c>
      <c r="F609" t="s">
        <v>2402</v>
      </c>
    </row>
    <row r="610" spans="1:6">
      <c r="A610" s="95">
        <v>44771</v>
      </c>
      <c r="B610" t="s">
        <v>2403</v>
      </c>
      <c r="C610" t="s">
        <v>2404</v>
      </c>
      <c r="D610" t="s">
        <v>2405</v>
      </c>
      <c r="E610" t="s">
        <v>2406</v>
      </c>
      <c r="F610" t="s">
        <v>2406</v>
      </c>
    </row>
    <row r="611" spans="1:6">
      <c r="A611" s="95">
        <v>44772</v>
      </c>
      <c r="B611" t="s">
        <v>2407</v>
      </c>
      <c r="C611" t="s">
        <v>2408</v>
      </c>
      <c r="D611" t="s">
        <v>2409</v>
      </c>
      <c r="E611" t="s">
        <v>2410</v>
      </c>
      <c r="F611" t="s">
        <v>2410</v>
      </c>
    </row>
    <row r="612" spans="1:6">
      <c r="A612" s="95">
        <v>44773</v>
      </c>
      <c r="B612" t="s">
        <v>2411</v>
      </c>
      <c r="C612" t="s">
        <v>2412</v>
      </c>
      <c r="D612" t="s">
        <v>2413</v>
      </c>
      <c r="E612" t="s">
        <v>2414</v>
      </c>
      <c r="F612" t="s">
        <v>2414</v>
      </c>
    </row>
    <row r="613" spans="1:6">
      <c r="A613" s="95">
        <v>44774</v>
      </c>
      <c r="B613" t="s">
        <v>2415</v>
      </c>
      <c r="C613" t="s">
        <v>2416</v>
      </c>
      <c r="D613" t="s">
        <v>2417</v>
      </c>
      <c r="E613" t="s">
        <v>2418</v>
      </c>
      <c r="F613" t="s">
        <v>2418</v>
      </c>
    </row>
    <row r="614" spans="1:6">
      <c r="A614" s="95">
        <v>44775</v>
      </c>
      <c r="B614" t="s">
        <v>2419</v>
      </c>
      <c r="C614" t="s">
        <v>2420</v>
      </c>
      <c r="D614" t="s">
        <v>2421</v>
      </c>
      <c r="E614" t="s">
        <v>2422</v>
      </c>
      <c r="F614" t="s">
        <v>2422</v>
      </c>
    </row>
    <row r="615" spans="1:6">
      <c r="A615" s="95">
        <v>44776</v>
      </c>
      <c r="B615" t="s">
        <v>2423</v>
      </c>
      <c r="C615" t="s">
        <v>2424</v>
      </c>
      <c r="D615" t="s">
        <v>2425</v>
      </c>
      <c r="E615" t="s">
        <v>2426</v>
      </c>
      <c r="F615" t="s">
        <v>2426</v>
      </c>
    </row>
    <row r="616" spans="1:6">
      <c r="A616" s="95">
        <v>44777</v>
      </c>
      <c r="B616" t="s">
        <v>2427</v>
      </c>
      <c r="C616" t="s">
        <v>2428</v>
      </c>
      <c r="D616" t="s">
        <v>2429</v>
      </c>
      <c r="E616" t="s">
        <v>2430</v>
      </c>
      <c r="F616" t="s">
        <v>2430</v>
      </c>
    </row>
    <row r="617" spans="1:6">
      <c r="A617" s="95">
        <v>44779</v>
      </c>
      <c r="B617" t="s">
        <v>2431</v>
      </c>
      <c r="C617" t="s">
        <v>2432</v>
      </c>
      <c r="D617" t="s">
        <v>2433</v>
      </c>
      <c r="E617" t="s">
        <v>2433</v>
      </c>
      <c r="F617" t="s">
        <v>2433</v>
      </c>
    </row>
    <row r="618" spans="1:6">
      <c r="A618" s="95">
        <v>44780</v>
      </c>
      <c r="B618" t="s">
        <v>2434</v>
      </c>
      <c r="C618" t="s">
        <v>2435</v>
      </c>
      <c r="D618" t="s">
        <v>2436</v>
      </c>
      <c r="E618" t="s">
        <v>2437</v>
      </c>
      <c r="F618" t="s">
        <v>2437</v>
      </c>
    </row>
    <row r="619" spans="1:6">
      <c r="A619" s="95">
        <v>44781</v>
      </c>
      <c r="B619" t="s">
        <v>2438</v>
      </c>
      <c r="C619" t="s">
        <v>2439</v>
      </c>
      <c r="D619" t="s">
        <v>2440</v>
      </c>
      <c r="E619" t="s">
        <v>2441</v>
      </c>
      <c r="F619" t="s">
        <v>2441</v>
      </c>
    </row>
    <row r="620" spans="1:6">
      <c r="A620" s="95">
        <v>44782</v>
      </c>
      <c r="B620" t="s">
        <v>2442</v>
      </c>
      <c r="C620" t="s">
        <v>2443</v>
      </c>
      <c r="D620" t="s">
        <v>2444</v>
      </c>
      <c r="E620" t="s">
        <v>2445</v>
      </c>
      <c r="F620" t="s">
        <v>2445</v>
      </c>
    </row>
    <row r="621" spans="1:6">
      <c r="A621" s="95">
        <v>44783</v>
      </c>
      <c r="B621" t="s">
        <v>2446</v>
      </c>
      <c r="C621" t="s">
        <v>2447</v>
      </c>
      <c r="D621" t="s">
        <v>2448</v>
      </c>
      <c r="E621" t="s">
        <v>2449</v>
      </c>
      <c r="F621" t="s">
        <v>2449</v>
      </c>
    </row>
    <row r="622" spans="1:6">
      <c r="A622" s="95">
        <v>44784</v>
      </c>
      <c r="B622" t="s">
        <v>2450</v>
      </c>
      <c r="C622" t="s">
        <v>2451</v>
      </c>
      <c r="D622" t="s">
        <v>2452</v>
      </c>
      <c r="E622" t="s">
        <v>2453</v>
      </c>
      <c r="F622" t="s">
        <v>2453</v>
      </c>
    </row>
    <row r="623" spans="1:6">
      <c r="A623" s="95">
        <v>44785</v>
      </c>
      <c r="B623" t="s">
        <v>2454</v>
      </c>
      <c r="C623" t="s">
        <v>2455</v>
      </c>
      <c r="D623" t="s">
        <v>2456</v>
      </c>
      <c r="E623" t="s">
        <v>2457</v>
      </c>
      <c r="F623" t="s">
        <v>2457</v>
      </c>
    </row>
    <row r="624" spans="1:6">
      <c r="A624" s="95">
        <v>44786</v>
      </c>
      <c r="B624" t="s">
        <v>2458</v>
      </c>
      <c r="C624" t="s">
        <v>2459</v>
      </c>
      <c r="D624" t="s">
        <v>2460</v>
      </c>
      <c r="E624" t="s">
        <v>2461</v>
      </c>
      <c r="F624" t="s">
        <v>2461</v>
      </c>
    </row>
    <row r="625" spans="1:6">
      <c r="A625" s="95">
        <v>44787</v>
      </c>
      <c r="B625" t="s">
        <v>2462</v>
      </c>
      <c r="C625" t="s">
        <v>2463</v>
      </c>
      <c r="D625" t="s">
        <v>2464</v>
      </c>
      <c r="E625" t="s">
        <v>2465</v>
      </c>
      <c r="F625" t="s">
        <v>2465</v>
      </c>
    </row>
    <row r="626" spans="1:6">
      <c r="A626" s="95">
        <v>44788</v>
      </c>
      <c r="B626" t="s">
        <v>2466</v>
      </c>
      <c r="C626" t="s">
        <v>2467</v>
      </c>
      <c r="D626" t="s">
        <v>2468</v>
      </c>
      <c r="E626" t="s">
        <v>2469</v>
      </c>
      <c r="F626" t="s">
        <v>2469</v>
      </c>
    </row>
    <row r="627" spans="1:6">
      <c r="A627" s="95">
        <v>44789</v>
      </c>
      <c r="B627" t="s">
        <v>2470</v>
      </c>
      <c r="C627" t="s">
        <v>2471</v>
      </c>
      <c r="D627" t="s">
        <v>2472</v>
      </c>
      <c r="E627" t="s">
        <v>2473</v>
      </c>
      <c r="F627" t="s">
        <v>2473</v>
      </c>
    </row>
    <row r="628" spans="1:6">
      <c r="A628" s="95">
        <v>44790</v>
      </c>
      <c r="B628" t="s">
        <v>2474</v>
      </c>
      <c r="C628" t="s">
        <v>2475</v>
      </c>
      <c r="D628" t="s">
        <v>2476</v>
      </c>
      <c r="E628" t="s">
        <v>2477</v>
      </c>
      <c r="F628" t="s">
        <v>2477</v>
      </c>
    </row>
    <row r="629" spans="1:6">
      <c r="A629" s="95">
        <v>44791</v>
      </c>
      <c r="B629" t="s">
        <v>2478</v>
      </c>
      <c r="C629" t="s">
        <v>2479</v>
      </c>
      <c r="D629" t="s">
        <v>2480</v>
      </c>
      <c r="E629" t="s">
        <v>2481</v>
      </c>
      <c r="F629" t="s">
        <v>2481</v>
      </c>
    </row>
    <row r="630" spans="1:6">
      <c r="A630" s="95">
        <v>44792</v>
      </c>
      <c r="B630" t="s">
        <v>2482</v>
      </c>
      <c r="C630" t="s">
        <v>2482</v>
      </c>
      <c r="D630" t="s">
        <v>2483</v>
      </c>
      <c r="E630" t="s">
        <v>2484</v>
      </c>
      <c r="F630" t="s">
        <v>2484</v>
      </c>
    </row>
    <row r="631" spans="1:6">
      <c r="A631" s="95">
        <v>44793</v>
      </c>
      <c r="B631" t="s">
        <v>2485</v>
      </c>
      <c r="C631" t="s">
        <v>2486</v>
      </c>
      <c r="D631" t="s">
        <v>2487</v>
      </c>
      <c r="E631" t="s">
        <v>2488</v>
      </c>
      <c r="F631" t="s">
        <v>2488</v>
      </c>
    </row>
    <row r="632" spans="1:6">
      <c r="A632" s="95">
        <v>44794</v>
      </c>
      <c r="B632" t="s">
        <v>2489</v>
      </c>
      <c r="C632" t="s">
        <v>2490</v>
      </c>
      <c r="D632" t="s">
        <v>2491</v>
      </c>
      <c r="E632" t="s">
        <v>2492</v>
      </c>
      <c r="F632" t="s">
        <v>2492</v>
      </c>
    </row>
    <row r="633" spans="1:6">
      <c r="A633" s="95">
        <v>44795</v>
      </c>
      <c r="B633" t="s">
        <v>2493</v>
      </c>
      <c r="C633" t="s">
        <v>2493</v>
      </c>
      <c r="D633" t="s">
        <v>2494</v>
      </c>
      <c r="E633" t="s">
        <v>2495</v>
      </c>
      <c r="F633" t="s">
        <v>2495</v>
      </c>
    </row>
    <row r="634" spans="1:6">
      <c r="A634" s="95">
        <v>44796</v>
      </c>
      <c r="B634" t="s">
        <v>2496</v>
      </c>
      <c r="C634" t="s">
        <v>2497</v>
      </c>
      <c r="D634" t="s">
        <v>2498</v>
      </c>
      <c r="E634" t="s">
        <v>2499</v>
      </c>
      <c r="F634" t="s">
        <v>2499</v>
      </c>
    </row>
    <row r="635" spans="1:6">
      <c r="A635" s="95">
        <v>44797</v>
      </c>
      <c r="B635" t="s">
        <v>2500</v>
      </c>
      <c r="C635" t="s">
        <v>2501</v>
      </c>
      <c r="D635" t="s">
        <v>2502</v>
      </c>
      <c r="E635" t="s">
        <v>2503</v>
      </c>
      <c r="F635" t="s">
        <v>2503</v>
      </c>
    </row>
    <row r="636" spans="1:6">
      <c r="A636" s="95">
        <v>44798</v>
      </c>
      <c r="B636" t="s">
        <v>2504</v>
      </c>
      <c r="C636" t="s">
        <v>2505</v>
      </c>
      <c r="D636" t="s">
        <v>2506</v>
      </c>
      <c r="E636" t="s">
        <v>2507</v>
      </c>
      <c r="F636" t="s">
        <v>2507</v>
      </c>
    </row>
    <row r="637" spans="1:6">
      <c r="A637" s="95">
        <v>44799</v>
      </c>
      <c r="B637" t="s">
        <v>2508</v>
      </c>
      <c r="C637" t="s">
        <v>2509</v>
      </c>
      <c r="D637" t="s">
        <v>2510</v>
      </c>
      <c r="E637" t="s">
        <v>2511</v>
      </c>
      <c r="F637" t="s">
        <v>2511</v>
      </c>
    </row>
    <row r="638" spans="1:6">
      <c r="A638" s="95">
        <v>44800</v>
      </c>
      <c r="B638" t="s">
        <v>2512</v>
      </c>
      <c r="C638" t="s">
        <v>2513</v>
      </c>
      <c r="D638" t="s">
        <v>2514</v>
      </c>
      <c r="E638" t="s">
        <v>2515</v>
      </c>
      <c r="F638" t="s">
        <v>2515</v>
      </c>
    </row>
    <row r="639" spans="1:6">
      <c r="A639" s="95">
        <v>44802</v>
      </c>
      <c r="B639" t="s">
        <v>2516</v>
      </c>
      <c r="C639" t="s">
        <v>2517</v>
      </c>
      <c r="D639" t="s">
        <v>2518</v>
      </c>
      <c r="E639" t="s">
        <v>2519</v>
      </c>
      <c r="F639" t="s">
        <v>2519</v>
      </c>
    </row>
    <row r="640" spans="1:6">
      <c r="A640" s="95">
        <v>44803</v>
      </c>
      <c r="B640" t="s">
        <v>2520</v>
      </c>
      <c r="C640" t="s">
        <v>2521</v>
      </c>
      <c r="D640" t="s">
        <v>2522</v>
      </c>
      <c r="E640" t="s">
        <v>2523</v>
      </c>
      <c r="F640" t="s">
        <v>2523</v>
      </c>
    </row>
    <row r="641" spans="1:6">
      <c r="A641" s="95">
        <v>44804</v>
      </c>
      <c r="B641" t="s">
        <v>2524</v>
      </c>
      <c r="C641" t="s">
        <v>2525</v>
      </c>
      <c r="D641" t="s">
        <v>2524</v>
      </c>
      <c r="E641" t="s">
        <v>2526</v>
      </c>
      <c r="F641" t="s">
        <v>2526</v>
      </c>
    </row>
    <row r="642" spans="1:6">
      <c r="A642" s="95">
        <v>44805</v>
      </c>
      <c r="B642" t="s">
        <v>2527</v>
      </c>
      <c r="C642" t="s">
        <v>2528</v>
      </c>
      <c r="D642" t="s">
        <v>2529</v>
      </c>
      <c r="E642" t="s">
        <v>2530</v>
      </c>
      <c r="F642" t="s">
        <v>2530</v>
      </c>
    </row>
    <row r="643" spans="1:6">
      <c r="A643" s="95">
        <v>44806</v>
      </c>
      <c r="B643" t="s">
        <v>2531</v>
      </c>
      <c r="C643" t="s">
        <v>2532</v>
      </c>
      <c r="D643" t="s">
        <v>2533</v>
      </c>
      <c r="E643" t="s">
        <v>2534</v>
      </c>
      <c r="F643" t="s">
        <v>2534</v>
      </c>
    </row>
    <row r="644" spans="1:6">
      <c r="A644" s="95">
        <v>44807</v>
      </c>
      <c r="B644" t="s">
        <v>2535</v>
      </c>
      <c r="C644" t="s">
        <v>2536</v>
      </c>
      <c r="D644" t="s">
        <v>2537</v>
      </c>
      <c r="E644" t="s">
        <v>2538</v>
      </c>
      <c r="F644" t="s">
        <v>2538</v>
      </c>
    </row>
    <row r="645" spans="1:6">
      <c r="A645" s="95">
        <v>44808</v>
      </c>
      <c r="B645" t="s">
        <v>2539</v>
      </c>
      <c r="C645" t="s">
        <v>2540</v>
      </c>
      <c r="D645" t="s">
        <v>2541</v>
      </c>
      <c r="E645" t="s">
        <v>2542</v>
      </c>
      <c r="F645" t="s">
        <v>2542</v>
      </c>
    </row>
    <row r="646" spans="1:6">
      <c r="A646" s="95">
        <v>44809</v>
      </c>
      <c r="B646" t="s">
        <v>2543</v>
      </c>
      <c r="C646" t="s">
        <v>2544</v>
      </c>
      <c r="D646" t="s">
        <v>2545</v>
      </c>
      <c r="E646" t="s">
        <v>2546</v>
      </c>
      <c r="F646" t="s">
        <v>2546</v>
      </c>
    </row>
    <row r="647" spans="1:6">
      <c r="A647" s="95">
        <v>44810</v>
      </c>
      <c r="B647" t="s">
        <v>2547</v>
      </c>
      <c r="C647" t="s">
        <v>2548</v>
      </c>
      <c r="D647" t="s">
        <v>2549</v>
      </c>
      <c r="E647" t="s">
        <v>2550</v>
      </c>
      <c r="F647" t="s">
        <v>2550</v>
      </c>
    </row>
    <row r="648" spans="1:6">
      <c r="A648" s="95">
        <v>44811</v>
      </c>
      <c r="B648" t="s">
        <v>2551</v>
      </c>
      <c r="C648" t="s">
        <v>2552</v>
      </c>
      <c r="D648" t="s">
        <v>2553</v>
      </c>
      <c r="E648" t="s">
        <v>2554</v>
      </c>
      <c r="F648" t="s">
        <v>2554</v>
      </c>
    </row>
    <row r="649" spans="1:6">
      <c r="A649" s="95">
        <v>44813</v>
      </c>
      <c r="B649" t="s">
        <v>2555</v>
      </c>
      <c r="C649" t="s">
        <v>2556</v>
      </c>
      <c r="D649" t="s">
        <v>2557</v>
      </c>
      <c r="E649" t="s">
        <v>2558</v>
      </c>
      <c r="F649" t="s">
        <v>2558</v>
      </c>
    </row>
    <row r="650" spans="1:6">
      <c r="A650" s="95">
        <v>44814</v>
      </c>
      <c r="B650" t="s">
        <v>2559</v>
      </c>
      <c r="C650" t="s">
        <v>2560</v>
      </c>
      <c r="D650" t="s">
        <v>2561</v>
      </c>
      <c r="E650" t="s">
        <v>2562</v>
      </c>
      <c r="F650" t="s">
        <v>2562</v>
      </c>
    </row>
    <row r="651" spans="1:6">
      <c r="A651" s="95">
        <v>44815</v>
      </c>
      <c r="B651" t="s">
        <v>2563</v>
      </c>
      <c r="C651" t="s">
        <v>2564</v>
      </c>
      <c r="D651" t="s">
        <v>2565</v>
      </c>
      <c r="E651" t="s">
        <v>2566</v>
      </c>
      <c r="F651" t="s">
        <v>2566</v>
      </c>
    </row>
    <row r="652" spans="1:6">
      <c r="A652" s="95">
        <v>44816</v>
      </c>
      <c r="B652" t="s">
        <v>2567</v>
      </c>
      <c r="C652" t="s">
        <v>2568</v>
      </c>
      <c r="D652" t="s">
        <v>2569</v>
      </c>
      <c r="E652" t="s">
        <v>2570</v>
      </c>
      <c r="F652" t="s">
        <v>2570</v>
      </c>
    </row>
    <row r="653" spans="1:6">
      <c r="A653" s="95">
        <v>44818</v>
      </c>
      <c r="B653" t="s">
        <v>2571</v>
      </c>
      <c r="C653" t="s">
        <v>2572</v>
      </c>
      <c r="D653" t="s">
        <v>2573</v>
      </c>
      <c r="E653" t="s">
        <v>2574</v>
      </c>
      <c r="F653" t="s">
        <v>2574</v>
      </c>
    </row>
    <row r="654" spans="1:6">
      <c r="A654" s="95">
        <v>44819</v>
      </c>
      <c r="B654" t="s">
        <v>2575</v>
      </c>
      <c r="C654" t="s">
        <v>2576</v>
      </c>
      <c r="D654" t="s">
        <v>2577</v>
      </c>
      <c r="E654" t="s">
        <v>2578</v>
      </c>
      <c r="F654" t="s">
        <v>2578</v>
      </c>
    </row>
    <row r="655" spans="1:6">
      <c r="A655" s="95">
        <v>44820</v>
      </c>
      <c r="B655" t="s">
        <v>2579</v>
      </c>
      <c r="C655" t="s">
        <v>2580</v>
      </c>
      <c r="D655" t="s">
        <v>2581</v>
      </c>
      <c r="E655" t="s">
        <v>2582</v>
      </c>
      <c r="F655" t="s">
        <v>2582</v>
      </c>
    </row>
    <row r="656" spans="1:6">
      <c r="A656" s="95">
        <v>44821</v>
      </c>
      <c r="B656" t="s">
        <v>2583</v>
      </c>
      <c r="C656" t="s">
        <v>2584</v>
      </c>
      <c r="D656" t="s">
        <v>2583</v>
      </c>
      <c r="E656" t="s">
        <v>2585</v>
      </c>
      <c r="F656" t="s">
        <v>2585</v>
      </c>
    </row>
    <row r="657" spans="1:6">
      <c r="A657" s="95">
        <v>44822</v>
      </c>
      <c r="B657" t="s">
        <v>2586</v>
      </c>
      <c r="C657" t="s">
        <v>2586</v>
      </c>
      <c r="D657" t="s">
        <v>2587</v>
      </c>
      <c r="E657" t="s">
        <v>2588</v>
      </c>
      <c r="F657" t="s">
        <v>2588</v>
      </c>
    </row>
    <row r="658" spans="1:6">
      <c r="A658" s="95">
        <v>44823</v>
      </c>
      <c r="B658" t="s">
        <v>2589</v>
      </c>
      <c r="C658" t="s">
        <v>2590</v>
      </c>
      <c r="D658" t="s">
        <v>2591</v>
      </c>
      <c r="E658" t="s">
        <v>2592</v>
      </c>
      <c r="F658" t="s">
        <v>2592</v>
      </c>
    </row>
    <row r="659" spans="1:6">
      <c r="A659" s="95">
        <v>44824</v>
      </c>
      <c r="B659" t="s">
        <v>2593</v>
      </c>
      <c r="C659" t="s">
        <v>2594</v>
      </c>
      <c r="D659" t="s">
        <v>2595</v>
      </c>
      <c r="E659" t="s">
        <v>2596</v>
      </c>
      <c r="F659" t="s">
        <v>2596</v>
      </c>
    </row>
    <row r="660" spans="1:6">
      <c r="A660" s="95">
        <v>44825</v>
      </c>
      <c r="B660" t="s">
        <v>2597</v>
      </c>
      <c r="C660" t="s">
        <v>2598</v>
      </c>
      <c r="D660" t="s">
        <v>2599</v>
      </c>
      <c r="E660" t="s">
        <v>2600</v>
      </c>
      <c r="F660" t="s">
        <v>2600</v>
      </c>
    </row>
    <row r="661" spans="1:6">
      <c r="A661" s="95">
        <v>44826</v>
      </c>
      <c r="B661" t="s">
        <v>2601</v>
      </c>
      <c r="C661" t="s">
        <v>2602</v>
      </c>
      <c r="D661" t="s">
        <v>2603</v>
      </c>
      <c r="E661" t="s">
        <v>2604</v>
      </c>
      <c r="F661" t="s">
        <v>2604</v>
      </c>
    </row>
    <row r="662" spans="1:6">
      <c r="A662" s="95">
        <v>44827</v>
      </c>
      <c r="B662" t="s">
        <v>2605</v>
      </c>
      <c r="C662" t="s">
        <v>2606</v>
      </c>
      <c r="D662" t="s">
        <v>2607</v>
      </c>
      <c r="E662" t="s">
        <v>2608</v>
      </c>
      <c r="F662" t="s">
        <v>2608</v>
      </c>
    </row>
    <row r="663" spans="1:6">
      <c r="A663" s="95">
        <v>44828</v>
      </c>
      <c r="B663" t="s">
        <v>2609</v>
      </c>
      <c r="C663" t="s">
        <v>2610</v>
      </c>
      <c r="D663" t="s">
        <v>2611</v>
      </c>
      <c r="E663" t="s">
        <v>2612</v>
      </c>
      <c r="F663" t="s">
        <v>2612</v>
      </c>
    </row>
    <row r="664" spans="1:6">
      <c r="A664" s="95">
        <v>44829</v>
      </c>
      <c r="B664" t="s">
        <v>2613</v>
      </c>
      <c r="C664" t="s">
        <v>2614</v>
      </c>
      <c r="D664" t="s">
        <v>2615</v>
      </c>
      <c r="E664" t="s">
        <v>2616</v>
      </c>
      <c r="F664" t="s">
        <v>2616</v>
      </c>
    </row>
    <row r="665" spans="1:6">
      <c r="A665" s="95">
        <v>44830</v>
      </c>
      <c r="B665" t="s">
        <v>2617</v>
      </c>
      <c r="C665" t="s">
        <v>2618</v>
      </c>
      <c r="D665" t="s">
        <v>2619</v>
      </c>
      <c r="E665" t="s">
        <v>2620</v>
      </c>
      <c r="F665" t="s">
        <v>2620</v>
      </c>
    </row>
    <row r="666" spans="1:6">
      <c r="A666" s="95">
        <v>44831</v>
      </c>
      <c r="B666" t="s">
        <v>2621</v>
      </c>
      <c r="C666" t="s">
        <v>2622</v>
      </c>
      <c r="D666" t="s">
        <v>2623</v>
      </c>
      <c r="E666" t="s">
        <v>2624</v>
      </c>
      <c r="F666" t="s">
        <v>2624</v>
      </c>
    </row>
    <row r="667" spans="1:6">
      <c r="A667" s="95">
        <v>44832</v>
      </c>
      <c r="B667" t="s">
        <v>2625</v>
      </c>
      <c r="C667" t="s">
        <v>2626</v>
      </c>
      <c r="D667" t="s">
        <v>270</v>
      </c>
      <c r="E667" t="s">
        <v>2627</v>
      </c>
      <c r="F667" t="s">
        <v>2627</v>
      </c>
    </row>
    <row r="668" spans="1:6">
      <c r="A668" s="95">
        <v>44833</v>
      </c>
      <c r="B668" t="s">
        <v>2628</v>
      </c>
      <c r="C668" t="s">
        <v>2629</v>
      </c>
      <c r="D668" t="s">
        <v>2630</v>
      </c>
      <c r="E668" t="s">
        <v>2631</v>
      </c>
      <c r="F668" t="s">
        <v>2631</v>
      </c>
    </row>
    <row r="669" spans="1:6">
      <c r="A669" s="95">
        <v>44834</v>
      </c>
      <c r="B669" t="s">
        <v>2632</v>
      </c>
      <c r="C669" t="s">
        <v>2633</v>
      </c>
      <c r="D669" t="s">
        <v>2634</v>
      </c>
      <c r="E669" t="s">
        <v>2635</v>
      </c>
      <c r="F669" t="s">
        <v>2635</v>
      </c>
    </row>
    <row r="670" spans="1:6">
      <c r="A670" s="95">
        <v>44835</v>
      </c>
      <c r="B670" t="s">
        <v>2636</v>
      </c>
      <c r="C670" t="s">
        <v>2637</v>
      </c>
      <c r="D670" t="s">
        <v>2638</v>
      </c>
      <c r="E670" t="s">
        <v>2639</v>
      </c>
      <c r="F670" t="s">
        <v>2639</v>
      </c>
    </row>
    <row r="671" spans="1:6">
      <c r="A671" s="95">
        <v>44836</v>
      </c>
      <c r="B671" t="s">
        <v>2640</v>
      </c>
      <c r="C671" t="s">
        <v>2641</v>
      </c>
      <c r="D671" t="s">
        <v>2642</v>
      </c>
      <c r="E671" t="s">
        <v>2643</v>
      </c>
      <c r="F671" t="s">
        <v>2643</v>
      </c>
    </row>
    <row r="672" spans="1:6">
      <c r="A672" s="95">
        <v>44837</v>
      </c>
      <c r="B672" t="s">
        <v>2644</v>
      </c>
      <c r="C672" t="s">
        <v>2645</v>
      </c>
      <c r="D672" t="s">
        <v>2646</v>
      </c>
      <c r="E672" t="s">
        <v>2647</v>
      </c>
      <c r="F672" t="s">
        <v>2647</v>
      </c>
    </row>
    <row r="673" spans="1:6">
      <c r="A673" s="95">
        <v>44838</v>
      </c>
      <c r="B673" t="s">
        <v>2647</v>
      </c>
      <c r="C673" t="s">
        <v>2648</v>
      </c>
      <c r="D673" t="s">
        <v>2649</v>
      </c>
      <c r="E673" t="s">
        <v>2650</v>
      </c>
      <c r="F673" t="s">
        <v>2650</v>
      </c>
    </row>
    <row r="674" spans="1:6">
      <c r="A674" s="95">
        <v>44839</v>
      </c>
      <c r="B674" t="s">
        <v>2651</v>
      </c>
      <c r="C674" t="s">
        <v>2652</v>
      </c>
      <c r="D674" t="s">
        <v>2653</v>
      </c>
      <c r="E674" t="s">
        <v>2654</v>
      </c>
      <c r="F674" t="s">
        <v>2654</v>
      </c>
    </row>
    <row r="675" spans="1:6">
      <c r="A675" s="95">
        <v>44841</v>
      </c>
      <c r="B675" t="s">
        <v>2655</v>
      </c>
      <c r="C675" t="s">
        <v>2656</v>
      </c>
      <c r="D675" t="s">
        <v>2657</v>
      </c>
      <c r="E675" t="s">
        <v>2658</v>
      </c>
      <c r="F675" t="s">
        <v>2658</v>
      </c>
    </row>
    <row r="676" spans="1:6">
      <c r="A676" s="95">
        <v>44842</v>
      </c>
      <c r="B676" t="s">
        <v>2659</v>
      </c>
      <c r="C676" t="s">
        <v>2660</v>
      </c>
      <c r="D676" t="s">
        <v>2661</v>
      </c>
      <c r="E676" t="s">
        <v>2662</v>
      </c>
      <c r="F676" t="s">
        <v>2662</v>
      </c>
    </row>
    <row r="677" spans="1:6">
      <c r="A677" s="95">
        <v>44843</v>
      </c>
      <c r="B677" t="s">
        <v>2663</v>
      </c>
      <c r="C677" t="s">
        <v>2664</v>
      </c>
      <c r="D677" t="s">
        <v>2665</v>
      </c>
      <c r="E677" t="s">
        <v>2666</v>
      </c>
      <c r="F677" t="s">
        <v>2666</v>
      </c>
    </row>
    <row r="678" spans="1:6">
      <c r="A678" s="95">
        <v>44844</v>
      </c>
      <c r="B678" t="s">
        <v>2667</v>
      </c>
      <c r="C678" t="s">
        <v>2668</v>
      </c>
      <c r="D678" t="s">
        <v>2669</v>
      </c>
      <c r="E678" t="s">
        <v>2670</v>
      </c>
      <c r="F678" t="s">
        <v>2670</v>
      </c>
    </row>
    <row r="679" spans="1:6">
      <c r="A679" s="95">
        <v>44845</v>
      </c>
      <c r="B679" t="s">
        <v>2671</v>
      </c>
      <c r="C679" t="s">
        <v>2672</v>
      </c>
      <c r="D679" t="s">
        <v>2673</v>
      </c>
      <c r="E679" t="s">
        <v>2674</v>
      </c>
      <c r="F679" t="s">
        <v>2674</v>
      </c>
    </row>
    <row r="680" spans="1:6">
      <c r="A680" s="95">
        <v>44846</v>
      </c>
      <c r="B680" t="s">
        <v>2675</v>
      </c>
      <c r="C680" t="s">
        <v>2676</v>
      </c>
      <c r="D680" t="s">
        <v>2677</v>
      </c>
      <c r="E680" t="s">
        <v>2678</v>
      </c>
      <c r="F680" t="s">
        <v>2678</v>
      </c>
    </row>
    <row r="681" spans="1:6">
      <c r="A681" s="95">
        <v>44847</v>
      </c>
      <c r="B681" t="s">
        <v>2679</v>
      </c>
      <c r="C681" t="s">
        <v>2680</v>
      </c>
      <c r="D681" t="s">
        <v>2681</v>
      </c>
      <c r="E681" t="s">
        <v>2682</v>
      </c>
      <c r="F681" t="s">
        <v>2682</v>
      </c>
    </row>
    <row r="682" spans="1:6">
      <c r="A682" s="95">
        <v>44848</v>
      </c>
      <c r="B682" t="s">
        <v>2683</v>
      </c>
      <c r="C682" t="s">
        <v>2684</v>
      </c>
      <c r="D682" t="s">
        <v>2685</v>
      </c>
      <c r="E682" t="s">
        <v>2686</v>
      </c>
      <c r="F682" t="s">
        <v>2686</v>
      </c>
    </row>
    <row r="683" spans="1:6">
      <c r="A683" s="95">
        <v>44849</v>
      </c>
      <c r="B683" t="s">
        <v>2687</v>
      </c>
      <c r="C683" t="s">
        <v>2688</v>
      </c>
      <c r="D683" t="s">
        <v>2689</v>
      </c>
      <c r="E683" t="s">
        <v>2690</v>
      </c>
      <c r="F683" t="s">
        <v>2690</v>
      </c>
    </row>
    <row r="684" spans="1:6">
      <c r="A684" s="95">
        <v>44850</v>
      </c>
      <c r="B684" t="s">
        <v>2691</v>
      </c>
      <c r="C684" t="s">
        <v>2692</v>
      </c>
      <c r="D684" t="s">
        <v>2691</v>
      </c>
      <c r="E684" t="s">
        <v>2693</v>
      </c>
      <c r="F684" t="s">
        <v>2693</v>
      </c>
    </row>
    <row r="685" spans="1:6">
      <c r="A685" s="95">
        <v>44851</v>
      </c>
      <c r="B685" t="s">
        <v>2694</v>
      </c>
      <c r="C685" t="s">
        <v>2695</v>
      </c>
      <c r="D685" t="s">
        <v>2696</v>
      </c>
      <c r="E685" t="s">
        <v>2697</v>
      </c>
      <c r="F685" t="s">
        <v>2697</v>
      </c>
    </row>
    <row r="686" spans="1:6">
      <c r="A686" s="95">
        <v>44852</v>
      </c>
      <c r="B686" t="s">
        <v>2698</v>
      </c>
      <c r="C686" t="s">
        <v>2699</v>
      </c>
      <c r="D686" t="s">
        <v>2700</v>
      </c>
      <c r="E686" t="s">
        <v>2701</v>
      </c>
      <c r="F686" t="s">
        <v>2701</v>
      </c>
    </row>
    <row r="687" spans="1:6">
      <c r="A687" s="95">
        <v>44853</v>
      </c>
      <c r="B687" t="s">
        <v>2702</v>
      </c>
      <c r="C687" t="s">
        <v>2703</v>
      </c>
      <c r="D687" t="s">
        <v>2704</v>
      </c>
      <c r="E687" t="s">
        <v>2705</v>
      </c>
      <c r="F687" t="s">
        <v>2705</v>
      </c>
    </row>
    <row r="688" spans="1:6">
      <c r="A688" s="95">
        <v>44854</v>
      </c>
      <c r="B688" t="s">
        <v>2706</v>
      </c>
      <c r="C688" t="s">
        <v>2707</v>
      </c>
      <c r="D688" t="s">
        <v>2708</v>
      </c>
      <c r="E688" t="s">
        <v>2709</v>
      </c>
      <c r="F688" t="s">
        <v>2709</v>
      </c>
    </row>
    <row r="689" spans="1:6">
      <c r="A689" s="95">
        <v>44855</v>
      </c>
      <c r="B689" t="s">
        <v>2710</v>
      </c>
      <c r="C689" t="s">
        <v>2711</v>
      </c>
      <c r="D689" t="s">
        <v>2712</v>
      </c>
      <c r="E689" t="s">
        <v>2713</v>
      </c>
      <c r="F689" t="s">
        <v>2713</v>
      </c>
    </row>
    <row r="690" spans="1:6">
      <c r="A690" s="95">
        <v>44857</v>
      </c>
      <c r="B690" t="s">
        <v>2714</v>
      </c>
      <c r="C690" t="s">
        <v>2715</v>
      </c>
      <c r="D690" t="s">
        <v>2716</v>
      </c>
      <c r="E690" t="s">
        <v>2717</v>
      </c>
      <c r="F690" t="s">
        <v>2717</v>
      </c>
    </row>
    <row r="691" spans="1:6">
      <c r="A691" s="95">
        <v>44858</v>
      </c>
      <c r="B691" t="s">
        <v>2718</v>
      </c>
      <c r="C691" t="s">
        <v>2719</v>
      </c>
      <c r="D691" t="s">
        <v>2720</v>
      </c>
      <c r="E691" t="s">
        <v>2721</v>
      </c>
      <c r="F691" t="s">
        <v>2721</v>
      </c>
    </row>
    <row r="692" spans="1:6">
      <c r="A692" s="95">
        <v>44860</v>
      </c>
      <c r="B692" t="s">
        <v>2722</v>
      </c>
      <c r="C692" t="s">
        <v>2723</v>
      </c>
      <c r="D692" t="s">
        <v>2724</v>
      </c>
      <c r="E692" t="s">
        <v>2725</v>
      </c>
      <c r="F692" t="s">
        <v>2725</v>
      </c>
    </row>
    <row r="693" spans="1:6">
      <c r="A693" s="95">
        <v>44861</v>
      </c>
      <c r="B693" t="s">
        <v>2726</v>
      </c>
      <c r="C693" t="s">
        <v>2727</v>
      </c>
      <c r="D693" t="s">
        <v>2728</v>
      </c>
      <c r="E693" t="s">
        <v>2729</v>
      </c>
      <c r="F693" t="s">
        <v>2729</v>
      </c>
    </row>
    <row r="694" spans="1:6">
      <c r="A694" s="95">
        <v>44862</v>
      </c>
      <c r="B694" t="s">
        <v>2730</v>
      </c>
      <c r="C694" t="s">
        <v>2731</v>
      </c>
      <c r="D694" t="s">
        <v>2732</v>
      </c>
      <c r="E694" t="s">
        <v>2733</v>
      </c>
      <c r="F694" t="s">
        <v>2733</v>
      </c>
    </row>
    <row r="695" spans="1:6">
      <c r="A695" s="95">
        <v>44863</v>
      </c>
      <c r="B695" t="s">
        <v>2734</v>
      </c>
      <c r="C695" t="s">
        <v>2735</v>
      </c>
      <c r="D695" t="s">
        <v>2736</v>
      </c>
      <c r="E695" t="s">
        <v>2737</v>
      </c>
      <c r="F695" t="s">
        <v>2737</v>
      </c>
    </row>
    <row r="696" spans="1:6">
      <c r="A696" s="95">
        <v>44864</v>
      </c>
      <c r="B696" t="s">
        <v>2738</v>
      </c>
      <c r="C696" t="s">
        <v>2739</v>
      </c>
      <c r="D696" t="s">
        <v>2740</v>
      </c>
      <c r="E696" t="s">
        <v>2741</v>
      </c>
      <c r="F696" t="s">
        <v>2741</v>
      </c>
    </row>
    <row r="697" spans="1:6">
      <c r="A697" s="95">
        <v>44865</v>
      </c>
      <c r="B697" t="s">
        <v>2742</v>
      </c>
      <c r="C697" t="s">
        <v>2743</v>
      </c>
      <c r="D697" t="s">
        <v>2744</v>
      </c>
      <c r="E697" t="s">
        <v>2745</v>
      </c>
      <c r="F697" t="s">
        <v>2745</v>
      </c>
    </row>
    <row r="698" spans="1:6">
      <c r="A698" s="95">
        <v>44866</v>
      </c>
      <c r="B698" t="s">
        <v>2746</v>
      </c>
      <c r="C698" t="s">
        <v>2747</v>
      </c>
      <c r="D698" t="s">
        <v>2748</v>
      </c>
      <c r="E698" t="s">
        <v>2749</v>
      </c>
      <c r="F698" t="s">
        <v>2749</v>
      </c>
    </row>
    <row r="699" spans="1:6">
      <c r="A699" s="95">
        <v>44867</v>
      </c>
      <c r="B699" t="s">
        <v>2750</v>
      </c>
      <c r="C699" t="s">
        <v>2751</v>
      </c>
      <c r="D699" t="s">
        <v>2752</v>
      </c>
      <c r="E699" t="s">
        <v>2753</v>
      </c>
      <c r="F699" t="s">
        <v>2753</v>
      </c>
    </row>
    <row r="700" spans="1:6">
      <c r="A700" s="95">
        <v>44868</v>
      </c>
      <c r="B700" t="s">
        <v>2754</v>
      </c>
      <c r="C700" t="s">
        <v>2755</v>
      </c>
      <c r="D700" t="s">
        <v>2756</v>
      </c>
      <c r="E700" t="s">
        <v>2757</v>
      </c>
      <c r="F700" t="s">
        <v>2757</v>
      </c>
    </row>
    <row r="701" spans="1:6">
      <c r="A701" s="95">
        <v>44869</v>
      </c>
      <c r="B701" t="s">
        <v>2758</v>
      </c>
      <c r="C701" t="s">
        <v>2759</v>
      </c>
      <c r="D701" t="s">
        <v>2760</v>
      </c>
      <c r="E701" t="s">
        <v>2761</v>
      </c>
      <c r="F701" t="s">
        <v>2761</v>
      </c>
    </row>
    <row r="702" spans="1:6">
      <c r="A702" s="95">
        <v>44870</v>
      </c>
      <c r="B702" t="s">
        <v>2762</v>
      </c>
      <c r="C702" t="s">
        <v>2763</v>
      </c>
      <c r="D702" t="s">
        <v>2764</v>
      </c>
      <c r="E702" t="s">
        <v>2765</v>
      </c>
      <c r="F702" t="s">
        <v>2765</v>
      </c>
    </row>
    <row r="703" spans="1:6">
      <c r="A703" s="95">
        <v>44871</v>
      </c>
      <c r="B703" t="s">
        <v>2766</v>
      </c>
      <c r="C703" t="s">
        <v>2767</v>
      </c>
      <c r="D703" t="s">
        <v>2768</v>
      </c>
      <c r="E703" t="s">
        <v>2769</v>
      </c>
      <c r="F703" t="s">
        <v>2769</v>
      </c>
    </row>
    <row r="704" spans="1:6">
      <c r="A704" s="95">
        <v>44872</v>
      </c>
      <c r="B704" t="s">
        <v>2770</v>
      </c>
      <c r="C704" t="s">
        <v>2771</v>
      </c>
      <c r="D704" t="s">
        <v>2772</v>
      </c>
      <c r="E704" t="s">
        <v>2773</v>
      </c>
      <c r="F704" t="s">
        <v>2773</v>
      </c>
    </row>
    <row r="705" spans="1:6">
      <c r="A705" s="95">
        <v>44873</v>
      </c>
      <c r="B705" t="s">
        <v>2774</v>
      </c>
      <c r="C705" t="s">
        <v>2775</v>
      </c>
      <c r="D705" t="s">
        <v>2776</v>
      </c>
      <c r="E705" t="s">
        <v>2777</v>
      </c>
      <c r="F705" t="s">
        <v>2777</v>
      </c>
    </row>
    <row r="706" spans="1:6">
      <c r="A706" s="95">
        <v>44874</v>
      </c>
      <c r="B706" t="s">
        <v>2778</v>
      </c>
      <c r="C706" t="s">
        <v>2779</v>
      </c>
      <c r="D706" t="s">
        <v>2780</v>
      </c>
      <c r="E706" t="s">
        <v>2781</v>
      </c>
      <c r="F706" t="s">
        <v>2781</v>
      </c>
    </row>
    <row r="707" spans="1:6">
      <c r="A707" s="95">
        <v>44875</v>
      </c>
      <c r="B707" t="s">
        <v>2782</v>
      </c>
      <c r="C707" t="s">
        <v>2783</v>
      </c>
      <c r="D707" t="s">
        <v>2784</v>
      </c>
      <c r="E707" t="s">
        <v>2785</v>
      </c>
      <c r="F707" t="s">
        <v>2785</v>
      </c>
    </row>
    <row r="708" spans="1:6">
      <c r="A708" s="95">
        <v>44877</v>
      </c>
      <c r="B708" t="s">
        <v>2786</v>
      </c>
      <c r="C708" t="s">
        <v>2787</v>
      </c>
      <c r="D708" t="s">
        <v>2788</v>
      </c>
      <c r="E708" t="s">
        <v>2789</v>
      </c>
      <c r="F708" t="s">
        <v>2789</v>
      </c>
    </row>
    <row r="709" spans="1:6">
      <c r="A709" s="95">
        <v>44878</v>
      </c>
      <c r="B709" t="s">
        <v>2790</v>
      </c>
      <c r="C709" t="s">
        <v>2791</v>
      </c>
      <c r="D709" t="s">
        <v>2792</v>
      </c>
      <c r="E709" t="s">
        <v>2793</v>
      </c>
      <c r="F709" t="s">
        <v>2793</v>
      </c>
    </row>
    <row r="710" spans="1:6">
      <c r="A710" s="95">
        <v>44879</v>
      </c>
      <c r="B710" t="s">
        <v>2794</v>
      </c>
      <c r="C710" t="s">
        <v>2795</v>
      </c>
      <c r="D710" t="s">
        <v>2796</v>
      </c>
      <c r="E710" t="s">
        <v>2797</v>
      </c>
      <c r="F710" t="s">
        <v>2797</v>
      </c>
    </row>
    <row r="711" spans="1:6">
      <c r="A711" s="95">
        <v>44880</v>
      </c>
      <c r="B711" t="s">
        <v>2798</v>
      </c>
      <c r="C711" t="s">
        <v>2799</v>
      </c>
      <c r="D711" t="s">
        <v>2800</v>
      </c>
      <c r="E711" t="s">
        <v>2801</v>
      </c>
      <c r="F711" t="s">
        <v>2801</v>
      </c>
    </row>
    <row r="712" spans="1:6">
      <c r="A712" s="95">
        <v>44881</v>
      </c>
      <c r="B712" t="s">
        <v>2802</v>
      </c>
      <c r="C712" t="s">
        <v>2803</v>
      </c>
      <c r="D712" t="s">
        <v>2804</v>
      </c>
      <c r="E712" t="s">
        <v>2805</v>
      </c>
      <c r="F712" t="s">
        <v>2805</v>
      </c>
    </row>
    <row r="713" spans="1:6">
      <c r="A713" s="95">
        <v>44884</v>
      </c>
      <c r="B713" t="s">
        <v>2806</v>
      </c>
      <c r="C713" t="s">
        <v>2807</v>
      </c>
      <c r="D713" t="s">
        <v>2808</v>
      </c>
      <c r="E713" t="s">
        <v>2809</v>
      </c>
      <c r="F713" t="s">
        <v>2809</v>
      </c>
    </row>
    <row r="714" spans="1:6">
      <c r="A714" s="95">
        <v>44885</v>
      </c>
      <c r="B714" t="s">
        <v>2810</v>
      </c>
      <c r="C714" t="s">
        <v>2811</v>
      </c>
      <c r="D714" t="s">
        <v>2812</v>
      </c>
      <c r="E714" t="s">
        <v>2813</v>
      </c>
      <c r="F714" t="s">
        <v>2813</v>
      </c>
    </row>
    <row r="715" spans="1:6">
      <c r="A715" s="95">
        <v>44886</v>
      </c>
      <c r="B715" t="s">
        <v>2814</v>
      </c>
      <c r="C715" t="s">
        <v>2814</v>
      </c>
      <c r="D715" t="s">
        <v>2815</v>
      </c>
      <c r="E715" t="s">
        <v>2816</v>
      </c>
      <c r="F715" t="s">
        <v>2816</v>
      </c>
    </row>
    <row r="716" spans="1:6">
      <c r="A716" s="95">
        <v>44887</v>
      </c>
      <c r="B716" t="s">
        <v>2817</v>
      </c>
      <c r="C716" t="s">
        <v>2818</v>
      </c>
      <c r="D716" t="s">
        <v>2819</v>
      </c>
      <c r="E716" t="s">
        <v>2820</v>
      </c>
      <c r="F716" t="s">
        <v>2820</v>
      </c>
    </row>
    <row r="717" spans="1:6">
      <c r="A717" s="95">
        <v>44888</v>
      </c>
      <c r="B717" t="s">
        <v>2821</v>
      </c>
      <c r="C717" t="s">
        <v>2822</v>
      </c>
      <c r="D717" t="s">
        <v>2823</v>
      </c>
      <c r="E717" t="s">
        <v>2824</v>
      </c>
      <c r="F717" t="s">
        <v>2824</v>
      </c>
    </row>
    <row r="718" spans="1:6">
      <c r="A718" s="95">
        <v>44889</v>
      </c>
      <c r="B718" t="s">
        <v>2825</v>
      </c>
      <c r="C718" t="s">
        <v>2826</v>
      </c>
      <c r="D718" t="s">
        <v>2827</v>
      </c>
      <c r="E718" t="s">
        <v>2828</v>
      </c>
      <c r="F718" t="s">
        <v>2828</v>
      </c>
    </row>
    <row r="719" spans="1:6">
      <c r="A719" s="95">
        <v>44890</v>
      </c>
      <c r="B719" t="s">
        <v>2829</v>
      </c>
      <c r="C719" t="s">
        <v>2830</v>
      </c>
      <c r="D719" t="s">
        <v>2831</v>
      </c>
      <c r="E719" t="s">
        <v>2832</v>
      </c>
      <c r="F719" t="s">
        <v>2832</v>
      </c>
    </row>
    <row r="720" spans="1:6">
      <c r="A720" s="95">
        <v>44891</v>
      </c>
      <c r="B720" t="s">
        <v>2833</v>
      </c>
      <c r="C720" t="s">
        <v>2834</v>
      </c>
      <c r="D720" t="s">
        <v>2835</v>
      </c>
      <c r="E720" t="s">
        <v>2836</v>
      </c>
      <c r="F720" t="s">
        <v>2836</v>
      </c>
    </row>
    <row r="721" spans="1:6">
      <c r="A721" s="95">
        <v>44892</v>
      </c>
      <c r="B721" t="s">
        <v>2837</v>
      </c>
      <c r="C721" t="s">
        <v>2838</v>
      </c>
      <c r="D721" t="s">
        <v>2839</v>
      </c>
      <c r="E721" t="s">
        <v>2840</v>
      </c>
      <c r="F721" t="s">
        <v>2840</v>
      </c>
    </row>
    <row r="722" spans="1:6">
      <c r="A722" s="95">
        <v>44893</v>
      </c>
      <c r="B722" t="s">
        <v>2841</v>
      </c>
      <c r="C722" t="s">
        <v>2842</v>
      </c>
      <c r="D722" t="s">
        <v>2843</v>
      </c>
      <c r="E722" t="s">
        <v>2844</v>
      </c>
      <c r="F722" t="s">
        <v>2844</v>
      </c>
    </row>
    <row r="723" spans="1:6">
      <c r="A723" s="95">
        <v>44894</v>
      </c>
      <c r="B723" t="s">
        <v>2845</v>
      </c>
      <c r="C723" t="s">
        <v>2846</v>
      </c>
      <c r="D723" t="s">
        <v>2847</v>
      </c>
      <c r="E723" t="s">
        <v>2848</v>
      </c>
      <c r="F723" t="s">
        <v>2848</v>
      </c>
    </row>
    <row r="724" spans="1:6">
      <c r="A724" s="95">
        <v>44895</v>
      </c>
      <c r="B724" t="s">
        <v>2849</v>
      </c>
      <c r="C724" t="s">
        <v>2850</v>
      </c>
      <c r="D724" t="s">
        <v>2849</v>
      </c>
      <c r="E724" t="s">
        <v>2851</v>
      </c>
      <c r="F724" t="s">
        <v>2851</v>
      </c>
    </row>
    <row r="725" spans="1:6">
      <c r="A725" s="95">
        <v>44896</v>
      </c>
      <c r="B725" t="s">
        <v>2852</v>
      </c>
      <c r="C725" t="s">
        <v>2853</v>
      </c>
      <c r="D725" t="s">
        <v>2854</v>
      </c>
      <c r="E725" t="s">
        <v>2855</v>
      </c>
      <c r="F725" t="s">
        <v>2855</v>
      </c>
    </row>
    <row r="726" spans="1:6">
      <c r="A726" s="95">
        <v>44897</v>
      </c>
      <c r="B726" t="s">
        <v>2856</v>
      </c>
      <c r="C726" t="s">
        <v>2857</v>
      </c>
      <c r="D726" t="s">
        <v>2858</v>
      </c>
      <c r="E726" t="s">
        <v>2857</v>
      </c>
      <c r="F726" t="s">
        <v>2857</v>
      </c>
    </row>
    <row r="727" spans="1:6">
      <c r="A727" s="95">
        <v>44898</v>
      </c>
      <c r="B727" t="s">
        <v>2859</v>
      </c>
      <c r="C727" t="s">
        <v>2860</v>
      </c>
      <c r="D727" t="s">
        <v>2861</v>
      </c>
      <c r="E727" t="s">
        <v>2862</v>
      </c>
      <c r="F727" t="s">
        <v>2862</v>
      </c>
    </row>
    <row r="728" spans="1:6">
      <c r="A728" s="95">
        <v>44899</v>
      </c>
      <c r="B728" t="s">
        <v>2863</v>
      </c>
      <c r="C728" t="s">
        <v>2864</v>
      </c>
      <c r="D728" t="s">
        <v>2865</v>
      </c>
      <c r="E728" t="s">
        <v>2866</v>
      </c>
      <c r="F728" t="s">
        <v>2866</v>
      </c>
    </row>
    <row r="729" spans="1:6">
      <c r="A729" s="95">
        <v>44900</v>
      </c>
      <c r="B729" t="s">
        <v>2867</v>
      </c>
      <c r="C729" t="s">
        <v>2868</v>
      </c>
      <c r="D729" t="s">
        <v>2869</v>
      </c>
      <c r="E729" t="s">
        <v>2870</v>
      </c>
      <c r="F729" t="s">
        <v>2870</v>
      </c>
    </row>
    <row r="730" spans="1:6">
      <c r="A730" s="95">
        <v>44901</v>
      </c>
      <c r="B730" t="s">
        <v>2871</v>
      </c>
      <c r="C730" t="s">
        <v>2872</v>
      </c>
      <c r="D730" t="s">
        <v>2873</v>
      </c>
      <c r="E730" t="s">
        <v>2874</v>
      </c>
      <c r="F730" t="s">
        <v>2874</v>
      </c>
    </row>
    <row r="731" spans="1:6">
      <c r="A731" s="95">
        <v>44902</v>
      </c>
      <c r="B731" t="s">
        <v>2875</v>
      </c>
      <c r="C731" t="s">
        <v>2876</v>
      </c>
      <c r="D731" t="s">
        <v>2877</v>
      </c>
      <c r="E731" t="s">
        <v>2878</v>
      </c>
      <c r="F731" t="s">
        <v>2878</v>
      </c>
    </row>
    <row r="732" spans="1:6">
      <c r="A732" s="95">
        <v>44903</v>
      </c>
      <c r="B732" t="s">
        <v>2879</v>
      </c>
      <c r="C732" t="s">
        <v>2880</v>
      </c>
      <c r="D732" t="s">
        <v>2881</v>
      </c>
      <c r="E732" t="s">
        <v>2882</v>
      </c>
      <c r="F732" t="s">
        <v>2882</v>
      </c>
    </row>
    <row r="733" spans="1:6">
      <c r="A733" s="95">
        <v>44904</v>
      </c>
      <c r="B733" t="s">
        <v>2883</v>
      </c>
      <c r="C733" t="s">
        <v>2884</v>
      </c>
      <c r="D733" t="s">
        <v>2885</v>
      </c>
      <c r="E733" t="s">
        <v>2886</v>
      </c>
      <c r="F733" t="s">
        <v>2886</v>
      </c>
    </row>
    <row r="734" spans="1:6">
      <c r="A734" s="95">
        <v>44905</v>
      </c>
      <c r="B734" t="s">
        <v>2887</v>
      </c>
      <c r="C734" t="s">
        <v>2888</v>
      </c>
      <c r="D734" t="s">
        <v>2889</v>
      </c>
      <c r="E734" t="s">
        <v>2890</v>
      </c>
      <c r="F734" t="s">
        <v>2890</v>
      </c>
    </row>
    <row r="735" spans="1:6">
      <c r="A735" s="95">
        <v>44906</v>
      </c>
      <c r="B735" t="s">
        <v>2891</v>
      </c>
      <c r="C735" t="s">
        <v>2892</v>
      </c>
      <c r="D735" t="s">
        <v>2893</v>
      </c>
      <c r="E735" t="s">
        <v>2894</v>
      </c>
      <c r="F735" t="s">
        <v>2894</v>
      </c>
    </row>
    <row r="736" spans="1:6">
      <c r="A736" s="95">
        <v>44907</v>
      </c>
      <c r="B736" t="s">
        <v>2895</v>
      </c>
      <c r="C736" t="s">
        <v>2896</v>
      </c>
      <c r="D736" t="s">
        <v>2897</v>
      </c>
      <c r="E736" t="s">
        <v>2898</v>
      </c>
      <c r="F736" t="s">
        <v>2898</v>
      </c>
    </row>
    <row r="737" spans="1:6">
      <c r="A737" s="95">
        <v>44908</v>
      </c>
      <c r="B737" t="s">
        <v>2898</v>
      </c>
      <c r="C737" t="s">
        <v>2899</v>
      </c>
      <c r="D737" t="s">
        <v>2900</v>
      </c>
      <c r="E737" t="s">
        <v>2901</v>
      </c>
      <c r="F737" t="s">
        <v>2901</v>
      </c>
    </row>
    <row r="738" spans="1:6">
      <c r="A738" s="95">
        <v>44909</v>
      </c>
      <c r="B738" t="s">
        <v>2902</v>
      </c>
      <c r="C738" t="s">
        <v>2903</v>
      </c>
      <c r="D738" t="s">
        <v>2904</v>
      </c>
      <c r="E738" t="s">
        <v>2905</v>
      </c>
      <c r="F738" t="s">
        <v>2905</v>
      </c>
    </row>
    <row r="739" spans="1:6">
      <c r="A739" s="95">
        <v>44910</v>
      </c>
      <c r="B739" t="s">
        <v>2906</v>
      </c>
      <c r="C739" t="s">
        <v>2907</v>
      </c>
      <c r="D739" t="s">
        <v>2908</v>
      </c>
      <c r="E739" t="s">
        <v>2909</v>
      </c>
      <c r="F739" t="s">
        <v>2909</v>
      </c>
    </row>
    <row r="740" spans="1:6">
      <c r="A740" s="95">
        <v>44911</v>
      </c>
      <c r="B740" t="s">
        <v>2910</v>
      </c>
      <c r="C740" t="s">
        <v>2911</v>
      </c>
      <c r="D740" t="s">
        <v>2912</v>
      </c>
      <c r="E740" t="s">
        <v>2913</v>
      </c>
      <c r="F740" t="s">
        <v>2913</v>
      </c>
    </row>
    <row r="741" spans="1:6">
      <c r="A741" s="95">
        <v>44912</v>
      </c>
      <c r="B741" t="s">
        <v>2914</v>
      </c>
      <c r="C741" t="s">
        <v>2915</v>
      </c>
      <c r="D741" t="s">
        <v>2916</v>
      </c>
      <c r="E741" t="s">
        <v>2917</v>
      </c>
      <c r="F741" t="s">
        <v>2917</v>
      </c>
    </row>
    <row r="742" spans="1:6">
      <c r="A742" s="95">
        <v>44913</v>
      </c>
      <c r="B742" t="s">
        <v>2918</v>
      </c>
      <c r="C742" t="s">
        <v>2919</v>
      </c>
      <c r="D742" t="s">
        <v>2920</v>
      </c>
      <c r="E742" t="s">
        <v>2921</v>
      </c>
      <c r="F742" t="s">
        <v>2921</v>
      </c>
    </row>
    <row r="743" spans="1:6">
      <c r="A743" s="95">
        <v>44914</v>
      </c>
      <c r="B743" t="s">
        <v>2922</v>
      </c>
      <c r="C743" t="s">
        <v>2923</v>
      </c>
      <c r="D743" t="s">
        <v>2924</v>
      </c>
      <c r="E743" t="s">
        <v>2925</v>
      </c>
      <c r="F743" t="s">
        <v>2925</v>
      </c>
    </row>
    <row r="744" spans="1:6">
      <c r="A744" s="95">
        <v>44915</v>
      </c>
      <c r="B744" t="s">
        <v>2926</v>
      </c>
      <c r="C744" t="s">
        <v>2927</v>
      </c>
      <c r="D744" t="s">
        <v>2928</v>
      </c>
      <c r="E744" t="s">
        <v>2929</v>
      </c>
      <c r="F744" t="s">
        <v>2929</v>
      </c>
    </row>
    <row r="745" spans="1:6">
      <c r="A745" s="95">
        <v>44916</v>
      </c>
      <c r="B745" t="s">
        <v>2930</v>
      </c>
      <c r="C745" t="s">
        <v>2931</v>
      </c>
      <c r="D745" t="s">
        <v>2932</v>
      </c>
      <c r="E745" t="s">
        <v>2933</v>
      </c>
      <c r="F745" t="s">
        <v>2933</v>
      </c>
    </row>
    <row r="746" spans="1:6">
      <c r="A746" s="95">
        <v>44917</v>
      </c>
      <c r="B746" t="s">
        <v>2934</v>
      </c>
      <c r="C746" t="s">
        <v>2935</v>
      </c>
      <c r="D746" t="s">
        <v>2936</v>
      </c>
      <c r="E746" t="s">
        <v>2937</v>
      </c>
      <c r="F746" t="s">
        <v>2937</v>
      </c>
    </row>
    <row r="747" spans="1:6">
      <c r="A747" s="95">
        <v>44918</v>
      </c>
      <c r="B747" t="s">
        <v>2938</v>
      </c>
      <c r="C747" t="s">
        <v>2939</v>
      </c>
      <c r="D747" t="s">
        <v>2940</v>
      </c>
      <c r="E747" t="s">
        <v>2941</v>
      </c>
      <c r="F747" t="s">
        <v>2941</v>
      </c>
    </row>
    <row r="748" spans="1:6">
      <c r="A748" s="95">
        <v>44919</v>
      </c>
      <c r="B748" t="s">
        <v>2942</v>
      </c>
      <c r="C748" t="s">
        <v>2943</v>
      </c>
      <c r="D748" t="s">
        <v>2944</v>
      </c>
      <c r="E748" t="s">
        <v>2945</v>
      </c>
      <c r="F748" t="s">
        <v>2945</v>
      </c>
    </row>
    <row r="749" spans="1:6">
      <c r="A749" s="95">
        <v>44920</v>
      </c>
      <c r="B749" t="s">
        <v>2946</v>
      </c>
      <c r="C749" t="s">
        <v>2947</v>
      </c>
      <c r="D749" t="s">
        <v>2948</v>
      </c>
      <c r="E749" t="s">
        <v>2949</v>
      </c>
      <c r="F749" t="s">
        <v>2949</v>
      </c>
    </row>
    <row r="750" spans="1:6">
      <c r="A750" s="95">
        <v>44921</v>
      </c>
      <c r="B750" t="s">
        <v>2950</v>
      </c>
      <c r="C750" t="s">
        <v>2951</v>
      </c>
      <c r="D750" t="s">
        <v>2952</v>
      </c>
      <c r="E750" t="s">
        <v>2953</v>
      </c>
      <c r="F750" t="s">
        <v>2953</v>
      </c>
    </row>
    <row r="751" spans="1:6">
      <c r="A751" s="95">
        <v>44922</v>
      </c>
      <c r="B751" t="s">
        <v>2954</v>
      </c>
      <c r="C751" t="s">
        <v>2955</v>
      </c>
      <c r="D751" t="s">
        <v>2956</v>
      </c>
      <c r="E751" t="s">
        <v>2957</v>
      </c>
      <c r="F751" t="s">
        <v>2957</v>
      </c>
    </row>
    <row r="752" spans="1:6">
      <c r="A752" s="95">
        <v>44923</v>
      </c>
      <c r="B752" t="s">
        <v>2958</v>
      </c>
      <c r="C752" t="s">
        <v>2959</v>
      </c>
      <c r="D752" t="s">
        <v>2960</v>
      </c>
      <c r="E752" t="s">
        <v>2961</v>
      </c>
      <c r="F752" t="s">
        <v>2961</v>
      </c>
    </row>
    <row r="753" spans="1:6">
      <c r="A753" s="95">
        <v>44924</v>
      </c>
      <c r="B753" t="s">
        <v>2962</v>
      </c>
      <c r="C753" t="s">
        <v>2963</v>
      </c>
      <c r="D753" t="s">
        <v>2964</v>
      </c>
      <c r="E753" t="s">
        <v>2965</v>
      </c>
      <c r="F753" t="s">
        <v>2965</v>
      </c>
    </row>
    <row r="754" spans="1:6">
      <c r="A754" s="95">
        <v>44925</v>
      </c>
      <c r="B754" t="s">
        <v>2966</v>
      </c>
      <c r="C754" t="s">
        <v>2967</v>
      </c>
      <c r="D754" t="s">
        <v>2968</v>
      </c>
      <c r="E754" t="s">
        <v>2969</v>
      </c>
      <c r="F754" t="s">
        <v>2969</v>
      </c>
    </row>
    <row r="755" spans="1:6">
      <c r="A755" s="95">
        <v>44926</v>
      </c>
      <c r="B755" t="s">
        <v>2970</v>
      </c>
      <c r="C755" t="s">
        <v>2971</v>
      </c>
      <c r="D755" t="s">
        <v>2972</v>
      </c>
      <c r="E755" t="s">
        <v>2973</v>
      </c>
      <c r="F755" t="s">
        <v>2973</v>
      </c>
    </row>
    <row r="756" spans="1:6">
      <c r="A756" s="95">
        <v>44927</v>
      </c>
      <c r="B756" t="s">
        <v>2974</v>
      </c>
      <c r="C756" t="s">
        <v>2975</v>
      </c>
      <c r="D756" t="s">
        <v>2976</v>
      </c>
      <c r="E756" t="s">
        <v>2977</v>
      </c>
      <c r="F756" t="s">
        <v>2977</v>
      </c>
    </row>
    <row r="757" spans="1:6">
      <c r="A757" s="95">
        <v>44928</v>
      </c>
      <c r="B757" t="s">
        <v>2978</v>
      </c>
      <c r="C757" t="s">
        <v>2979</v>
      </c>
      <c r="D757" t="s">
        <v>2980</v>
      </c>
      <c r="E757" t="s">
        <v>2981</v>
      </c>
      <c r="F757" t="s">
        <v>2981</v>
      </c>
    </row>
    <row r="758" spans="1:6">
      <c r="A758" s="95">
        <v>44929</v>
      </c>
      <c r="B758" t="s">
        <v>2982</v>
      </c>
      <c r="C758" t="s">
        <v>2983</v>
      </c>
      <c r="D758" t="s">
        <v>2984</v>
      </c>
      <c r="E758" t="s">
        <v>2985</v>
      </c>
      <c r="F758" t="s">
        <v>2985</v>
      </c>
    </row>
    <row r="759" spans="1:6">
      <c r="A759" s="95">
        <v>44930</v>
      </c>
      <c r="B759" t="s">
        <v>2986</v>
      </c>
      <c r="C759" t="s">
        <v>2987</v>
      </c>
      <c r="D759" t="s">
        <v>2988</v>
      </c>
      <c r="E759" t="s">
        <v>2989</v>
      </c>
      <c r="F759" t="s">
        <v>2989</v>
      </c>
    </row>
    <row r="760" spans="1:6">
      <c r="A760" s="95">
        <v>44931</v>
      </c>
      <c r="B760" t="s">
        <v>2990</v>
      </c>
      <c r="C760" t="s">
        <v>2991</v>
      </c>
      <c r="D760" t="s">
        <v>2992</v>
      </c>
      <c r="E760" t="s">
        <v>2993</v>
      </c>
      <c r="F760" t="s">
        <v>2993</v>
      </c>
    </row>
    <row r="761" spans="1:6">
      <c r="A761" s="95">
        <v>44932</v>
      </c>
      <c r="B761" t="s">
        <v>2994</v>
      </c>
      <c r="C761" t="s">
        <v>2995</v>
      </c>
      <c r="D761" t="s">
        <v>2996</v>
      </c>
      <c r="E761" t="s">
        <v>2997</v>
      </c>
      <c r="F761" t="s">
        <v>2997</v>
      </c>
    </row>
    <row r="762" spans="1:6">
      <c r="A762" s="95">
        <v>44933</v>
      </c>
      <c r="B762" t="s">
        <v>2998</v>
      </c>
      <c r="C762" t="s">
        <v>2999</v>
      </c>
      <c r="D762" t="s">
        <v>3000</v>
      </c>
      <c r="E762" t="s">
        <v>3001</v>
      </c>
      <c r="F762" t="s">
        <v>3001</v>
      </c>
    </row>
    <row r="763" spans="1:6">
      <c r="A763" s="95">
        <v>44934</v>
      </c>
      <c r="B763" t="s">
        <v>3002</v>
      </c>
      <c r="C763" t="s">
        <v>3003</v>
      </c>
      <c r="D763" t="s">
        <v>3004</v>
      </c>
      <c r="E763" t="s">
        <v>3003</v>
      </c>
      <c r="F763" t="s">
        <v>3003</v>
      </c>
    </row>
    <row r="764" spans="1:6">
      <c r="A764" s="95">
        <v>44935</v>
      </c>
      <c r="B764" t="s">
        <v>3005</v>
      </c>
      <c r="C764" t="s">
        <v>3006</v>
      </c>
      <c r="D764" t="s">
        <v>3005</v>
      </c>
      <c r="E764" t="s">
        <v>3007</v>
      </c>
      <c r="F764" t="s">
        <v>3007</v>
      </c>
    </row>
    <row r="765" spans="1:6">
      <c r="A765" s="95">
        <v>44937</v>
      </c>
      <c r="B765" t="s">
        <v>3008</v>
      </c>
      <c r="C765" t="s">
        <v>3009</v>
      </c>
      <c r="D765" t="s">
        <v>3010</v>
      </c>
      <c r="E765" t="s">
        <v>3009</v>
      </c>
      <c r="F765" t="s">
        <v>3009</v>
      </c>
    </row>
    <row r="766" spans="1:6">
      <c r="A766" s="95">
        <v>44938</v>
      </c>
      <c r="B766" t="s">
        <v>3011</v>
      </c>
      <c r="C766" t="s">
        <v>3012</v>
      </c>
      <c r="D766" t="s">
        <v>3013</v>
      </c>
      <c r="E766" t="s">
        <v>3014</v>
      </c>
      <c r="F766" t="s">
        <v>3014</v>
      </c>
    </row>
    <row r="767" spans="1:6">
      <c r="A767" s="95">
        <v>44939</v>
      </c>
      <c r="B767" t="s">
        <v>3015</v>
      </c>
      <c r="C767" t="s">
        <v>3016</v>
      </c>
      <c r="D767" t="s">
        <v>3017</v>
      </c>
      <c r="E767" t="s">
        <v>3018</v>
      </c>
      <c r="F767" t="s">
        <v>3018</v>
      </c>
    </row>
    <row r="768" spans="1:6">
      <c r="A768" s="95">
        <v>44940</v>
      </c>
      <c r="B768" t="s">
        <v>3019</v>
      </c>
      <c r="C768" t="s">
        <v>3020</v>
      </c>
      <c r="D768" t="s">
        <v>3021</v>
      </c>
      <c r="E768" t="s">
        <v>3022</v>
      </c>
      <c r="F768" t="s">
        <v>3022</v>
      </c>
    </row>
    <row r="769" spans="1:6">
      <c r="A769" s="95">
        <v>44941</v>
      </c>
      <c r="B769" t="s">
        <v>3023</v>
      </c>
      <c r="C769" t="s">
        <v>3024</v>
      </c>
      <c r="D769" t="s">
        <v>3025</v>
      </c>
      <c r="E769" t="s">
        <v>3026</v>
      </c>
      <c r="F769" t="s">
        <v>3026</v>
      </c>
    </row>
    <row r="770" spans="1:6">
      <c r="A770" s="95">
        <v>44942</v>
      </c>
      <c r="B770" t="s">
        <v>3027</v>
      </c>
      <c r="C770" t="s">
        <v>3028</v>
      </c>
      <c r="D770" t="s">
        <v>3029</v>
      </c>
      <c r="E770" t="s">
        <v>3030</v>
      </c>
      <c r="F770" t="s">
        <v>3030</v>
      </c>
    </row>
    <row r="771" spans="1:6">
      <c r="A771" s="95">
        <v>44943</v>
      </c>
      <c r="B771" t="s">
        <v>3031</v>
      </c>
      <c r="C771" t="s">
        <v>3032</v>
      </c>
      <c r="D771" t="s">
        <v>3033</v>
      </c>
      <c r="E771" t="s">
        <v>3034</v>
      </c>
      <c r="F771" t="s">
        <v>3034</v>
      </c>
    </row>
    <row r="772" spans="1:6">
      <c r="A772" s="95">
        <v>44944</v>
      </c>
      <c r="B772" t="s">
        <v>3035</v>
      </c>
      <c r="C772" t="s">
        <v>3036</v>
      </c>
      <c r="D772" t="s">
        <v>3037</v>
      </c>
      <c r="E772" t="s">
        <v>3038</v>
      </c>
      <c r="F772" t="s">
        <v>3038</v>
      </c>
    </row>
    <row r="773" spans="1:6">
      <c r="A773" s="95">
        <v>44945</v>
      </c>
      <c r="B773" t="s">
        <v>3039</v>
      </c>
      <c r="C773" t="s">
        <v>3040</v>
      </c>
      <c r="D773" t="s">
        <v>3041</v>
      </c>
      <c r="E773" t="s">
        <v>3042</v>
      </c>
      <c r="F773" t="s">
        <v>3042</v>
      </c>
    </row>
    <row r="774" spans="1:6">
      <c r="A774" s="95">
        <v>44946</v>
      </c>
      <c r="B774" t="s">
        <v>3043</v>
      </c>
      <c r="C774" t="s">
        <v>3044</v>
      </c>
      <c r="D774" t="s">
        <v>3045</v>
      </c>
      <c r="E774" t="s">
        <v>3046</v>
      </c>
      <c r="F774" t="s">
        <v>3046</v>
      </c>
    </row>
    <row r="775" spans="1:6">
      <c r="A775" s="95">
        <v>44947</v>
      </c>
      <c r="B775" t="s">
        <v>3047</v>
      </c>
      <c r="C775" t="s">
        <v>3048</v>
      </c>
      <c r="D775" t="s">
        <v>3049</v>
      </c>
      <c r="E775" t="s">
        <v>3050</v>
      </c>
      <c r="F775" t="s">
        <v>3050</v>
      </c>
    </row>
    <row r="776" spans="1:6">
      <c r="A776" s="95">
        <v>44948</v>
      </c>
      <c r="B776" t="s">
        <v>3051</v>
      </c>
      <c r="C776" t="s">
        <v>3052</v>
      </c>
      <c r="D776" t="s">
        <v>3053</v>
      </c>
      <c r="E776" t="s">
        <v>3054</v>
      </c>
      <c r="F776" t="s">
        <v>3054</v>
      </c>
    </row>
    <row r="777" spans="1:6">
      <c r="A777" s="95">
        <v>44949</v>
      </c>
      <c r="B777" t="s">
        <v>3055</v>
      </c>
      <c r="C777" t="s">
        <v>3056</v>
      </c>
      <c r="D777" t="s">
        <v>3057</v>
      </c>
      <c r="E777" t="s">
        <v>3058</v>
      </c>
      <c r="F777" t="s">
        <v>3058</v>
      </c>
    </row>
    <row r="778" spans="1:6">
      <c r="A778" s="95">
        <v>44950</v>
      </c>
      <c r="B778" t="s">
        <v>3059</v>
      </c>
      <c r="C778" t="s">
        <v>3060</v>
      </c>
      <c r="D778" t="s">
        <v>3061</v>
      </c>
      <c r="E778" t="s">
        <v>3062</v>
      </c>
      <c r="F778" t="s">
        <v>3062</v>
      </c>
    </row>
    <row r="779" spans="1:6">
      <c r="A779" s="95">
        <v>44951</v>
      </c>
      <c r="B779" t="s">
        <v>3063</v>
      </c>
      <c r="C779" t="s">
        <v>3064</v>
      </c>
      <c r="D779" t="s">
        <v>3065</v>
      </c>
      <c r="E779" t="s">
        <v>3066</v>
      </c>
      <c r="F779" t="s">
        <v>3066</v>
      </c>
    </row>
    <row r="780" spans="1:6">
      <c r="A780" s="95">
        <v>44952</v>
      </c>
      <c r="B780" t="s">
        <v>3067</v>
      </c>
      <c r="C780" t="s">
        <v>3068</v>
      </c>
      <c r="D780" t="s">
        <v>3069</v>
      </c>
      <c r="E780" t="s">
        <v>3070</v>
      </c>
      <c r="F780" t="s">
        <v>3070</v>
      </c>
    </row>
    <row r="781" spans="1:6">
      <c r="A781" s="95">
        <v>44953</v>
      </c>
      <c r="B781" t="s">
        <v>3071</v>
      </c>
      <c r="C781" t="s">
        <v>3072</v>
      </c>
      <c r="D781" t="s">
        <v>3073</v>
      </c>
      <c r="E781" t="s">
        <v>3074</v>
      </c>
      <c r="F781" t="s">
        <v>3074</v>
      </c>
    </row>
    <row r="782" spans="1:6">
      <c r="A782" s="95">
        <v>44954</v>
      </c>
      <c r="B782" t="s">
        <v>3075</v>
      </c>
      <c r="C782" t="s">
        <v>3076</v>
      </c>
      <c r="D782" t="s">
        <v>3077</v>
      </c>
      <c r="E782" t="s">
        <v>3078</v>
      </c>
      <c r="F782" t="s">
        <v>3078</v>
      </c>
    </row>
    <row r="783" spans="1:6">
      <c r="A783" s="95">
        <v>44955</v>
      </c>
      <c r="B783" t="s">
        <v>3079</v>
      </c>
      <c r="C783" t="s">
        <v>3080</v>
      </c>
      <c r="D783" t="s">
        <v>3081</v>
      </c>
      <c r="E783" t="s">
        <v>3082</v>
      </c>
      <c r="F783" t="s">
        <v>3082</v>
      </c>
    </row>
    <row r="784" spans="1:6">
      <c r="A784" s="95">
        <v>44956</v>
      </c>
      <c r="B784" t="s">
        <v>3083</v>
      </c>
      <c r="C784" t="s">
        <v>3084</v>
      </c>
      <c r="D784" t="s">
        <v>3085</v>
      </c>
      <c r="E784" t="s">
        <v>3086</v>
      </c>
      <c r="F784" t="s">
        <v>3086</v>
      </c>
    </row>
    <row r="785" spans="1:6">
      <c r="A785" s="95">
        <v>44958</v>
      </c>
      <c r="B785" t="s">
        <v>3087</v>
      </c>
      <c r="C785" t="s">
        <v>3088</v>
      </c>
      <c r="D785" t="s">
        <v>3089</v>
      </c>
      <c r="E785" t="s">
        <v>3090</v>
      </c>
      <c r="F785" t="s">
        <v>3090</v>
      </c>
    </row>
    <row r="786" spans="1:6">
      <c r="A786" s="95">
        <v>44960</v>
      </c>
      <c r="B786" t="s">
        <v>3091</v>
      </c>
      <c r="C786" t="s">
        <v>3092</v>
      </c>
      <c r="D786" t="s">
        <v>3093</v>
      </c>
      <c r="E786" t="s">
        <v>3094</v>
      </c>
      <c r="F786" t="s">
        <v>3094</v>
      </c>
    </row>
    <row r="787" spans="1:6">
      <c r="A787" s="95">
        <v>44961</v>
      </c>
      <c r="B787" t="s">
        <v>3095</v>
      </c>
      <c r="C787" t="s">
        <v>3096</v>
      </c>
      <c r="D787" t="s">
        <v>3097</v>
      </c>
      <c r="E787" t="s">
        <v>3098</v>
      </c>
      <c r="F787" t="s">
        <v>3098</v>
      </c>
    </row>
    <row r="788" spans="1:6">
      <c r="A788" s="95">
        <v>44962</v>
      </c>
      <c r="B788" t="s">
        <v>3099</v>
      </c>
      <c r="C788" t="s">
        <v>3100</v>
      </c>
      <c r="D788" t="s">
        <v>3101</v>
      </c>
      <c r="E788" t="s">
        <v>3102</v>
      </c>
      <c r="F788" t="s">
        <v>3102</v>
      </c>
    </row>
    <row r="789" spans="1:6">
      <c r="A789" s="95">
        <v>44963</v>
      </c>
      <c r="B789" t="s">
        <v>3103</v>
      </c>
      <c r="C789" t="s">
        <v>3104</v>
      </c>
      <c r="D789" t="s">
        <v>3105</v>
      </c>
      <c r="E789" t="s">
        <v>3106</v>
      </c>
      <c r="F789" t="s">
        <v>3106</v>
      </c>
    </row>
    <row r="790" spans="1:6">
      <c r="A790" s="95">
        <v>44964</v>
      </c>
      <c r="B790" t="s">
        <v>3107</v>
      </c>
      <c r="C790" t="s">
        <v>3108</v>
      </c>
      <c r="D790" t="s">
        <v>3109</v>
      </c>
      <c r="E790" t="s">
        <v>3110</v>
      </c>
      <c r="F790" t="s">
        <v>3110</v>
      </c>
    </row>
    <row r="791" spans="1:6">
      <c r="A791" s="95">
        <v>44965</v>
      </c>
      <c r="B791" t="s">
        <v>3111</v>
      </c>
      <c r="C791" t="s">
        <v>3112</v>
      </c>
      <c r="D791" t="s">
        <v>3113</v>
      </c>
      <c r="E791" t="s">
        <v>3114</v>
      </c>
      <c r="F791" t="s">
        <v>3114</v>
      </c>
    </row>
    <row r="792" spans="1:6">
      <c r="A792" s="95">
        <v>44966</v>
      </c>
      <c r="B792" t="s">
        <v>3115</v>
      </c>
      <c r="C792" t="s">
        <v>3116</v>
      </c>
      <c r="D792" t="s">
        <v>3117</v>
      </c>
      <c r="E792" t="s">
        <v>3118</v>
      </c>
      <c r="F792" t="s">
        <v>3118</v>
      </c>
    </row>
    <row r="793" spans="1:6">
      <c r="A793" s="95">
        <v>44967</v>
      </c>
      <c r="B793" t="s">
        <v>3119</v>
      </c>
      <c r="C793" t="s">
        <v>3120</v>
      </c>
      <c r="D793" t="s">
        <v>3121</v>
      </c>
      <c r="E793" t="s">
        <v>3122</v>
      </c>
      <c r="F793" t="s">
        <v>3122</v>
      </c>
    </row>
    <row r="794" spans="1:6">
      <c r="A794" s="95">
        <v>44968</v>
      </c>
      <c r="B794" t="s">
        <v>3123</v>
      </c>
      <c r="C794" t="s">
        <v>3124</v>
      </c>
      <c r="D794" t="s">
        <v>3125</v>
      </c>
      <c r="E794" t="s">
        <v>3126</v>
      </c>
      <c r="F794" t="s">
        <v>3126</v>
      </c>
    </row>
    <row r="795" spans="1:6">
      <c r="A795" s="95">
        <v>44969</v>
      </c>
      <c r="B795" t="s">
        <v>3127</v>
      </c>
      <c r="C795" t="s">
        <v>3128</v>
      </c>
      <c r="D795" t="s">
        <v>3129</v>
      </c>
      <c r="E795" t="s">
        <v>3130</v>
      </c>
      <c r="F795" t="s">
        <v>3130</v>
      </c>
    </row>
    <row r="796" spans="1:6">
      <c r="A796" s="95">
        <v>44970</v>
      </c>
      <c r="B796" t="s">
        <v>3131</v>
      </c>
      <c r="C796" t="s">
        <v>3132</v>
      </c>
      <c r="D796" t="s">
        <v>3133</v>
      </c>
      <c r="E796" t="s">
        <v>3134</v>
      </c>
      <c r="F796" t="s">
        <v>3134</v>
      </c>
    </row>
    <row r="797" spans="1:6">
      <c r="A797" s="95">
        <v>44971</v>
      </c>
      <c r="B797" t="s">
        <v>3135</v>
      </c>
      <c r="C797" t="s">
        <v>3136</v>
      </c>
      <c r="D797" t="s">
        <v>3137</v>
      </c>
      <c r="E797" t="s">
        <v>3138</v>
      </c>
      <c r="F797" t="s">
        <v>3138</v>
      </c>
    </row>
    <row r="798" spans="1:6">
      <c r="A798" s="95">
        <v>44972</v>
      </c>
      <c r="B798" t="s">
        <v>3139</v>
      </c>
      <c r="C798" t="s">
        <v>3140</v>
      </c>
      <c r="D798" t="s">
        <v>3141</v>
      </c>
      <c r="E798" t="s">
        <v>3140</v>
      </c>
      <c r="F798" t="s">
        <v>3140</v>
      </c>
    </row>
    <row r="799" spans="1:6">
      <c r="A799" s="95">
        <v>44973</v>
      </c>
      <c r="B799" t="s">
        <v>3142</v>
      </c>
      <c r="C799" t="s">
        <v>3143</v>
      </c>
      <c r="D799" t="s">
        <v>3144</v>
      </c>
      <c r="E799" t="s">
        <v>3145</v>
      </c>
      <c r="F799" t="s">
        <v>3145</v>
      </c>
    </row>
    <row r="800" spans="1:6">
      <c r="A800" s="95">
        <v>44974</v>
      </c>
      <c r="B800" t="s">
        <v>3146</v>
      </c>
      <c r="C800" t="s">
        <v>3147</v>
      </c>
      <c r="D800" t="s">
        <v>3148</v>
      </c>
      <c r="E800" t="s">
        <v>3149</v>
      </c>
      <c r="F800" t="s">
        <v>3149</v>
      </c>
    </row>
    <row r="801" spans="1:6">
      <c r="A801" s="95">
        <v>44975</v>
      </c>
      <c r="B801" t="s">
        <v>3150</v>
      </c>
      <c r="C801" t="s">
        <v>3151</v>
      </c>
      <c r="D801" t="s">
        <v>3152</v>
      </c>
      <c r="E801" t="s">
        <v>3153</v>
      </c>
      <c r="F801" t="s">
        <v>3153</v>
      </c>
    </row>
    <row r="802" spans="1:6">
      <c r="A802" s="95">
        <v>44976</v>
      </c>
      <c r="B802" t="s">
        <v>3154</v>
      </c>
      <c r="C802" t="s">
        <v>3155</v>
      </c>
      <c r="D802" t="s">
        <v>3156</v>
      </c>
      <c r="E802" t="s">
        <v>3156</v>
      </c>
      <c r="F802" t="s">
        <v>3156</v>
      </c>
    </row>
    <row r="803" spans="1:6">
      <c r="A803" s="95">
        <v>44977</v>
      </c>
      <c r="B803" t="s">
        <v>3157</v>
      </c>
      <c r="C803" t="s">
        <v>3158</v>
      </c>
      <c r="D803" t="s">
        <v>3159</v>
      </c>
      <c r="E803" t="s">
        <v>3160</v>
      </c>
      <c r="F803" t="s">
        <v>3160</v>
      </c>
    </row>
    <row r="804" spans="1:6">
      <c r="A804" s="95">
        <v>44979</v>
      </c>
      <c r="B804" t="s">
        <v>3161</v>
      </c>
      <c r="C804" t="s">
        <v>3162</v>
      </c>
      <c r="D804" t="s">
        <v>3163</v>
      </c>
      <c r="E804" t="s">
        <v>3164</v>
      </c>
      <c r="F804" t="s">
        <v>3164</v>
      </c>
    </row>
    <row r="805" spans="1:6">
      <c r="A805" s="95">
        <v>44980</v>
      </c>
      <c r="B805" t="s">
        <v>3165</v>
      </c>
      <c r="C805" t="s">
        <v>3166</v>
      </c>
      <c r="D805" t="s">
        <v>3167</v>
      </c>
      <c r="E805" t="s">
        <v>3168</v>
      </c>
      <c r="F805" t="s">
        <v>3168</v>
      </c>
    </row>
    <row r="806" spans="1:6">
      <c r="A806" s="95">
        <v>44981</v>
      </c>
      <c r="B806" t="s">
        <v>3169</v>
      </c>
      <c r="C806" t="s">
        <v>3170</v>
      </c>
      <c r="D806" t="s">
        <v>3171</v>
      </c>
      <c r="E806" t="s">
        <v>3172</v>
      </c>
      <c r="F806" t="s">
        <v>3172</v>
      </c>
    </row>
    <row r="807" spans="1:6">
      <c r="A807" s="95">
        <v>44982</v>
      </c>
      <c r="B807" t="s">
        <v>3173</v>
      </c>
      <c r="C807" t="s">
        <v>3174</v>
      </c>
      <c r="D807" t="s">
        <v>3175</v>
      </c>
      <c r="E807" t="s">
        <v>3176</v>
      </c>
      <c r="F807" t="s">
        <v>3176</v>
      </c>
    </row>
    <row r="808" spans="1:6">
      <c r="A808" s="95">
        <v>44984</v>
      </c>
      <c r="B808" t="s">
        <v>3177</v>
      </c>
      <c r="C808" t="s">
        <v>3178</v>
      </c>
      <c r="D808" t="s">
        <v>3179</v>
      </c>
      <c r="E808" t="s">
        <v>3180</v>
      </c>
      <c r="F808" t="s">
        <v>3180</v>
      </c>
    </row>
    <row r="809" spans="1:6">
      <c r="A809" s="95">
        <v>44985</v>
      </c>
      <c r="B809" t="s">
        <v>3181</v>
      </c>
      <c r="C809" t="s">
        <v>3182</v>
      </c>
      <c r="D809" t="s">
        <v>3183</v>
      </c>
      <c r="E809" t="s">
        <v>3184</v>
      </c>
      <c r="F809" t="s">
        <v>3184</v>
      </c>
    </row>
    <row r="810" spans="1:6">
      <c r="A810" s="95">
        <v>44986</v>
      </c>
      <c r="B810" t="s">
        <v>3185</v>
      </c>
      <c r="C810" t="s">
        <v>3186</v>
      </c>
      <c r="D810" t="s">
        <v>3187</v>
      </c>
      <c r="E810" t="s">
        <v>3188</v>
      </c>
      <c r="F810" t="s">
        <v>3188</v>
      </c>
    </row>
    <row r="811" spans="1:6">
      <c r="A811" s="95">
        <v>44987</v>
      </c>
      <c r="B811" t="s">
        <v>3189</v>
      </c>
      <c r="C811" t="s">
        <v>3190</v>
      </c>
      <c r="D811" t="s">
        <v>3191</v>
      </c>
      <c r="E811" t="s">
        <v>3192</v>
      </c>
      <c r="F811" t="s">
        <v>3192</v>
      </c>
    </row>
    <row r="812" spans="1:6">
      <c r="A812" s="95">
        <v>44988</v>
      </c>
      <c r="B812" t="s">
        <v>3193</v>
      </c>
      <c r="C812" t="s">
        <v>3194</v>
      </c>
      <c r="D812" t="s">
        <v>3195</v>
      </c>
      <c r="E812" t="s">
        <v>3196</v>
      </c>
      <c r="F812" t="s">
        <v>3196</v>
      </c>
    </row>
    <row r="813" spans="1:6">
      <c r="A813" s="95">
        <v>44989</v>
      </c>
      <c r="B813" t="s">
        <v>3197</v>
      </c>
      <c r="C813" t="s">
        <v>3198</v>
      </c>
      <c r="D813" t="s">
        <v>3199</v>
      </c>
      <c r="E813" t="s">
        <v>3200</v>
      </c>
      <c r="F813" t="s">
        <v>3200</v>
      </c>
    </row>
    <row r="814" spans="1:6">
      <c r="A814" s="95">
        <v>44990</v>
      </c>
      <c r="B814" t="s">
        <v>3201</v>
      </c>
      <c r="C814" t="s">
        <v>3202</v>
      </c>
      <c r="D814" t="s">
        <v>3203</v>
      </c>
      <c r="E814" t="s">
        <v>3204</v>
      </c>
      <c r="F814" t="s">
        <v>3204</v>
      </c>
    </row>
    <row r="815" spans="1:6">
      <c r="A815" s="95">
        <v>44991</v>
      </c>
      <c r="B815" t="s">
        <v>3205</v>
      </c>
      <c r="C815" t="s">
        <v>3206</v>
      </c>
      <c r="D815" t="s">
        <v>3207</v>
      </c>
      <c r="E815" t="s">
        <v>3208</v>
      </c>
      <c r="F815" t="s">
        <v>3208</v>
      </c>
    </row>
    <row r="816" spans="1:6">
      <c r="A816" s="95">
        <v>44992</v>
      </c>
      <c r="B816" t="s">
        <v>3209</v>
      </c>
      <c r="C816" t="s">
        <v>3210</v>
      </c>
      <c r="D816" t="s">
        <v>3211</v>
      </c>
      <c r="E816" t="s">
        <v>3212</v>
      </c>
      <c r="F816" t="s">
        <v>3212</v>
      </c>
    </row>
    <row r="817" spans="1:6">
      <c r="A817" s="95">
        <v>44993</v>
      </c>
      <c r="B817" t="s">
        <v>3213</v>
      </c>
      <c r="C817" t="s">
        <v>3214</v>
      </c>
      <c r="D817" t="s">
        <v>3215</v>
      </c>
      <c r="E817" t="s">
        <v>3216</v>
      </c>
      <c r="F817" t="s">
        <v>3216</v>
      </c>
    </row>
    <row r="818" spans="1:6">
      <c r="A818" s="95">
        <v>44994</v>
      </c>
      <c r="B818" t="s">
        <v>3217</v>
      </c>
      <c r="C818" t="s">
        <v>3218</v>
      </c>
      <c r="D818" t="s">
        <v>3219</v>
      </c>
      <c r="E818" t="s">
        <v>3220</v>
      </c>
      <c r="F818" t="s">
        <v>3220</v>
      </c>
    </row>
    <row r="819" spans="1:6">
      <c r="A819" s="95">
        <v>44995</v>
      </c>
      <c r="B819" t="s">
        <v>3221</v>
      </c>
      <c r="C819" t="s">
        <v>3222</v>
      </c>
      <c r="D819" t="s">
        <v>3223</v>
      </c>
      <c r="E819" t="s">
        <v>3224</v>
      </c>
      <c r="F819" t="s">
        <v>3224</v>
      </c>
    </row>
    <row r="820" spans="1:6">
      <c r="A820" s="95">
        <v>44996</v>
      </c>
      <c r="B820" t="s">
        <v>3225</v>
      </c>
      <c r="C820" t="s">
        <v>3226</v>
      </c>
      <c r="D820" t="s">
        <v>3227</v>
      </c>
      <c r="E820" t="s">
        <v>3228</v>
      </c>
      <c r="F820" t="s">
        <v>3228</v>
      </c>
    </row>
    <row r="821" spans="1:6">
      <c r="A821" s="95">
        <v>44997</v>
      </c>
      <c r="B821" t="s">
        <v>3229</v>
      </c>
      <c r="C821" t="s">
        <v>3230</v>
      </c>
      <c r="D821" t="s">
        <v>3231</v>
      </c>
      <c r="E821" t="s">
        <v>3232</v>
      </c>
      <c r="F821" t="s">
        <v>3232</v>
      </c>
    </row>
    <row r="822" spans="1:6">
      <c r="A822" s="95">
        <v>44998</v>
      </c>
      <c r="B822" t="s">
        <v>3233</v>
      </c>
      <c r="C822" t="s">
        <v>3234</v>
      </c>
      <c r="D822" t="s">
        <v>3235</v>
      </c>
      <c r="E822" t="s">
        <v>3236</v>
      </c>
      <c r="F822" t="s">
        <v>3236</v>
      </c>
    </row>
    <row r="823" spans="1:6">
      <c r="A823" s="95">
        <v>44999</v>
      </c>
      <c r="B823" t="s">
        <v>3237</v>
      </c>
      <c r="C823" t="s">
        <v>3238</v>
      </c>
      <c r="D823" t="s">
        <v>3239</v>
      </c>
      <c r="E823" t="s">
        <v>3240</v>
      </c>
      <c r="F823" t="s">
        <v>3240</v>
      </c>
    </row>
    <row r="824" spans="1:6">
      <c r="A824" s="95">
        <v>45000</v>
      </c>
      <c r="B824" t="s">
        <v>3241</v>
      </c>
      <c r="C824" t="s">
        <v>3242</v>
      </c>
      <c r="D824" t="s">
        <v>3243</v>
      </c>
      <c r="E824" t="s">
        <v>3244</v>
      </c>
      <c r="F824" t="s">
        <v>3244</v>
      </c>
    </row>
    <row r="825" spans="1:6">
      <c r="A825" s="95">
        <v>45001</v>
      </c>
      <c r="B825" t="s">
        <v>3245</v>
      </c>
      <c r="C825" t="s">
        <v>3246</v>
      </c>
      <c r="D825" t="s">
        <v>3247</v>
      </c>
      <c r="E825" t="s">
        <v>3248</v>
      </c>
      <c r="F825" t="s">
        <v>3248</v>
      </c>
    </row>
    <row r="826" spans="1:6">
      <c r="A826" s="95">
        <v>45002</v>
      </c>
      <c r="B826" t="s">
        <v>3249</v>
      </c>
      <c r="C826" t="s">
        <v>3250</v>
      </c>
      <c r="D826" t="s">
        <v>3251</v>
      </c>
      <c r="E826" t="s">
        <v>3252</v>
      </c>
      <c r="F826" t="s">
        <v>3252</v>
      </c>
    </row>
    <row r="827" spans="1:6">
      <c r="A827" s="95">
        <v>45003</v>
      </c>
      <c r="B827" t="s">
        <v>3253</v>
      </c>
      <c r="C827" t="s">
        <v>3254</v>
      </c>
      <c r="D827" t="s">
        <v>3255</v>
      </c>
      <c r="E827" t="s">
        <v>3256</v>
      </c>
      <c r="F827" t="s">
        <v>3256</v>
      </c>
    </row>
    <row r="828" spans="1:6">
      <c r="A828" s="95">
        <v>45004</v>
      </c>
      <c r="B828" t="s">
        <v>3257</v>
      </c>
      <c r="C828" t="s">
        <v>3258</v>
      </c>
      <c r="D828" t="s">
        <v>3259</v>
      </c>
      <c r="E828" t="s">
        <v>3260</v>
      </c>
      <c r="F828" t="s">
        <v>3260</v>
      </c>
    </row>
    <row r="829" spans="1:6">
      <c r="A829" s="95">
        <v>45005</v>
      </c>
      <c r="B829" t="s">
        <v>3261</v>
      </c>
      <c r="C829" t="s">
        <v>3262</v>
      </c>
      <c r="D829" t="s">
        <v>3263</v>
      </c>
      <c r="E829" t="s">
        <v>3264</v>
      </c>
      <c r="F829" t="s">
        <v>3264</v>
      </c>
    </row>
    <row r="830" spans="1:6">
      <c r="A830" s="95">
        <v>45006</v>
      </c>
      <c r="B830" t="s">
        <v>3265</v>
      </c>
      <c r="C830" t="s">
        <v>3266</v>
      </c>
      <c r="D830" t="s">
        <v>3267</v>
      </c>
      <c r="E830" t="s">
        <v>3268</v>
      </c>
      <c r="F830" t="s">
        <v>3268</v>
      </c>
    </row>
    <row r="831" spans="1:6">
      <c r="A831" s="95">
        <v>45007</v>
      </c>
      <c r="B831" t="s">
        <v>3269</v>
      </c>
      <c r="C831" t="s">
        <v>3270</v>
      </c>
      <c r="D831" t="s">
        <v>3271</v>
      </c>
      <c r="E831" t="s">
        <v>3272</v>
      </c>
      <c r="F831" t="s">
        <v>3272</v>
      </c>
    </row>
    <row r="832" spans="1:6">
      <c r="A832" s="95">
        <v>45008</v>
      </c>
      <c r="B832" t="s">
        <v>3273</v>
      </c>
      <c r="C832" t="s">
        <v>3274</v>
      </c>
      <c r="D832" t="s">
        <v>3275</v>
      </c>
      <c r="E832" t="s">
        <v>3276</v>
      </c>
      <c r="F832" t="s">
        <v>3276</v>
      </c>
    </row>
    <row r="833" spans="1:6">
      <c r="A833" s="95">
        <v>45009</v>
      </c>
      <c r="B833" t="s">
        <v>3277</v>
      </c>
      <c r="C833" t="s">
        <v>3278</v>
      </c>
      <c r="D833" t="s">
        <v>3279</v>
      </c>
      <c r="E833" t="s">
        <v>3280</v>
      </c>
      <c r="F833" t="s">
        <v>3280</v>
      </c>
    </row>
    <row r="834" spans="1:6">
      <c r="A834" s="95">
        <v>45010</v>
      </c>
      <c r="B834" t="s">
        <v>3281</v>
      </c>
      <c r="C834" t="s">
        <v>3282</v>
      </c>
      <c r="D834" t="s">
        <v>3283</v>
      </c>
      <c r="E834" t="s">
        <v>3284</v>
      </c>
      <c r="F834" t="s">
        <v>3284</v>
      </c>
    </row>
    <row r="835" spans="1:6">
      <c r="A835" s="95">
        <v>45011</v>
      </c>
      <c r="B835" t="s">
        <v>3285</v>
      </c>
      <c r="C835" t="s">
        <v>3286</v>
      </c>
      <c r="D835" t="s">
        <v>3287</v>
      </c>
      <c r="E835" t="s">
        <v>3288</v>
      </c>
      <c r="F835" t="s">
        <v>3288</v>
      </c>
    </row>
    <row r="836" spans="1:6">
      <c r="A836" s="95">
        <v>45012</v>
      </c>
      <c r="B836" t="s">
        <v>3289</v>
      </c>
      <c r="C836" t="s">
        <v>3290</v>
      </c>
      <c r="D836" t="s">
        <v>3291</v>
      </c>
      <c r="E836" t="s">
        <v>3292</v>
      </c>
      <c r="F836" t="s">
        <v>3292</v>
      </c>
    </row>
    <row r="837" spans="1:6">
      <c r="A837" s="95">
        <v>45013</v>
      </c>
      <c r="B837" t="s">
        <v>3293</v>
      </c>
      <c r="C837" t="s">
        <v>3294</v>
      </c>
      <c r="D837" t="s">
        <v>3295</v>
      </c>
      <c r="E837" t="s">
        <v>3296</v>
      </c>
      <c r="F837" t="s">
        <v>3296</v>
      </c>
    </row>
    <row r="838" spans="1:6">
      <c r="A838" s="95">
        <v>45014</v>
      </c>
      <c r="B838" t="s">
        <v>3297</v>
      </c>
      <c r="C838" t="s">
        <v>3298</v>
      </c>
      <c r="D838" t="s">
        <v>3299</v>
      </c>
      <c r="E838" t="s">
        <v>3300</v>
      </c>
      <c r="F838" t="s">
        <v>3300</v>
      </c>
    </row>
    <row r="839" spans="1:6">
      <c r="A839" s="95">
        <v>45015</v>
      </c>
      <c r="B839" t="s">
        <v>3301</v>
      </c>
      <c r="C839" t="s">
        <v>3302</v>
      </c>
      <c r="D839" t="s">
        <v>3303</v>
      </c>
      <c r="E839" t="s">
        <v>3304</v>
      </c>
      <c r="F839" t="s">
        <v>3304</v>
      </c>
    </row>
    <row r="840" spans="1:6">
      <c r="A840" s="95">
        <v>45016</v>
      </c>
      <c r="B840" t="s">
        <v>3305</v>
      </c>
      <c r="C840" t="s">
        <v>3306</v>
      </c>
      <c r="D840" t="s">
        <v>3307</v>
      </c>
      <c r="E840" t="s">
        <v>3308</v>
      </c>
      <c r="F840" t="s">
        <v>3308</v>
      </c>
    </row>
    <row r="841" spans="1:6">
      <c r="A841" s="95">
        <v>45017</v>
      </c>
      <c r="B841" t="s">
        <v>3309</v>
      </c>
      <c r="C841" t="s">
        <v>3310</v>
      </c>
      <c r="D841" t="s">
        <v>3311</v>
      </c>
      <c r="E841" t="s">
        <v>3312</v>
      </c>
      <c r="F841" t="s">
        <v>3312</v>
      </c>
    </row>
    <row r="842" spans="1:6">
      <c r="A842" s="95">
        <v>45018</v>
      </c>
      <c r="B842" t="s">
        <v>3313</v>
      </c>
      <c r="C842" t="s">
        <v>3314</v>
      </c>
      <c r="D842" t="s">
        <v>3315</v>
      </c>
      <c r="E842" t="s">
        <v>3316</v>
      </c>
      <c r="F842" t="s">
        <v>3316</v>
      </c>
    </row>
    <row r="843" spans="1:6">
      <c r="A843" s="95">
        <v>45019</v>
      </c>
      <c r="B843" t="s">
        <v>3317</v>
      </c>
      <c r="C843" t="s">
        <v>3318</v>
      </c>
      <c r="D843" t="s">
        <v>3319</v>
      </c>
      <c r="E843" t="s">
        <v>3320</v>
      </c>
      <c r="F843" t="s">
        <v>3320</v>
      </c>
    </row>
    <row r="844" spans="1:6">
      <c r="A844" s="95">
        <v>45020</v>
      </c>
      <c r="B844" t="s">
        <v>3321</v>
      </c>
      <c r="C844" t="s">
        <v>3322</v>
      </c>
      <c r="D844" t="s">
        <v>3323</v>
      </c>
      <c r="E844" t="s">
        <v>3324</v>
      </c>
      <c r="F844" t="s">
        <v>3324</v>
      </c>
    </row>
    <row r="845" spans="1:6">
      <c r="A845" s="95">
        <v>45021</v>
      </c>
      <c r="B845" t="s">
        <v>3325</v>
      </c>
      <c r="C845" t="s">
        <v>3326</v>
      </c>
      <c r="D845" t="s">
        <v>3327</v>
      </c>
      <c r="E845" t="s">
        <v>3328</v>
      </c>
      <c r="F845" t="s">
        <v>3328</v>
      </c>
    </row>
    <row r="846" spans="1:6">
      <c r="A846" s="95">
        <v>45022</v>
      </c>
      <c r="B846" t="s">
        <v>3329</v>
      </c>
      <c r="C846" t="s">
        <v>3330</v>
      </c>
      <c r="D846" t="s">
        <v>3331</v>
      </c>
      <c r="E846" t="s">
        <v>3332</v>
      </c>
      <c r="F846" t="s">
        <v>3332</v>
      </c>
    </row>
    <row r="847" spans="1:6">
      <c r="A847" s="95">
        <v>45023</v>
      </c>
      <c r="B847" t="s">
        <v>3333</v>
      </c>
      <c r="C847" t="s">
        <v>3334</v>
      </c>
      <c r="D847" t="s">
        <v>3335</v>
      </c>
      <c r="E847" t="s">
        <v>3336</v>
      </c>
      <c r="F847" t="s">
        <v>3336</v>
      </c>
    </row>
    <row r="848" spans="1:6">
      <c r="A848" s="95">
        <v>45024</v>
      </c>
      <c r="B848" t="s">
        <v>3337</v>
      </c>
      <c r="C848" t="s">
        <v>3338</v>
      </c>
      <c r="D848" t="s">
        <v>3339</v>
      </c>
      <c r="E848" t="s">
        <v>3340</v>
      </c>
      <c r="F848" t="s">
        <v>3340</v>
      </c>
    </row>
    <row r="849" spans="1:6">
      <c r="A849" s="95">
        <v>45025</v>
      </c>
      <c r="B849" t="s">
        <v>3341</v>
      </c>
      <c r="C849" t="s">
        <v>3342</v>
      </c>
      <c r="D849" t="s">
        <v>3343</v>
      </c>
      <c r="E849" t="s">
        <v>3344</v>
      </c>
      <c r="F849" t="s">
        <v>3344</v>
      </c>
    </row>
    <row r="850" spans="1:6">
      <c r="A850" s="95">
        <v>45026</v>
      </c>
      <c r="B850" t="s">
        <v>3345</v>
      </c>
      <c r="C850" t="s">
        <v>3346</v>
      </c>
      <c r="D850" t="s">
        <v>3347</v>
      </c>
      <c r="E850" t="s">
        <v>3348</v>
      </c>
      <c r="F850" t="s">
        <v>3348</v>
      </c>
    </row>
    <row r="851" spans="1:6">
      <c r="A851" s="95">
        <v>45027</v>
      </c>
      <c r="B851" t="s">
        <v>3349</v>
      </c>
      <c r="C851" t="s">
        <v>3350</v>
      </c>
      <c r="D851" t="s">
        <v>3351</v>
      </c>
      <c r="E851" t="s">
        <v>3352</v>
      </c>
      <c r="F851" t="s">
        <v>3352</v>
      </c>
    </row>
    <row r="852" spans="1:6">
      <c r="A852" s="95">
        <v>45028</v>
      </c>
      <c r="B852" t="s">
        <v>3353</v>
      </c>
      <c r="C852" t="s">
        <v>3354</v>
      </c>
      <c r="D852" t="s">
        <v>3355</v>
      </c>
      <c r="E852" t="s">
        <v>3356</v>
      </c>
      <c r="F852" t="s">
        <v>3356</v>
      </c>
    </row>
    <row r="853" spans="1:6">
      <c r="A853" s="95">
        <v>45029</v>
      </c>
      <c r="B853" t="s">
        <v>3357</v>
      </c>
      <c r="C853" t="s">
        <v>3358</v>
      </c>
      <c r="D853" t="s">
        <v>3359</v>
      </c>
      <c r="E853" t="s">
        <v>3360</v>
      </c>
      <c r="F853" t="s">
        <v>3360</v>
      </c>
    </row>
    <row r="854" spans="1:6">
      <c r="A854" s="95">
        <v>45030</v>
      </c>
      <c r="B854" t="s">
        <v>3361</v>
      </c>
      <c r="C854" t="s">
        <v>3362</v>
      </c>
      <c r="D854" t="s">
        <v>3363</v>
      </c>
      <c r="E854" t="s">
        <v>3364</v>
      </c>
      <c r="F854" t="s">
        <v>3364</v>
      </c>
    </row>
    <row r="855" spans="1:6">
      <c r="A855" s="95">
        <v>45031</v>
      </c>
      <c r="B855" t="s">
        <v>3365</v>
      </c>
      <c r="C855" t="s">
        <v>3366</v>
      </c>
      <c r="D855" t="s">
        <v>3367</v>
      </c>
      <c r="E855" t="s">
        <v>3368</v>
      </c>
      <c r="F855" t="s">
        <v>3368</v>
      </c>
    </row>
    <row r="856" spans="1:6">
      <c r="A856" s="95">
        <v>45032</v>
      </c>
      <c r="B856" t="s">
        <v>3369</v>
      </c>
      <c r="C856" t="s">
        <v>3370</v>
      </c>
      <c r="D856" t="s">
        <v>3371</v>
      </c>
      <c r="E856" t="s">
        <v>3372</v>
      </c>
      <c r="F856" t="s">
        <v>3372</v>
      </c>
    </row>
    <row r="857" spans="1:6">
      <c r="A857" s="95">
        <v>45033</v>
      </c>
      <c r="B857" t="s">
        <v>3373</v>
      </c>
      <c r="C857" t="s">
        <v>3374</v>
      </c>
      <c r="D857" t="s">
        <v>3375</v>
      </c>
      <c r="E857" t="s">
        <v>3376</v>
      </c>
      <c r="F857" t="s">
        <v>3376</v>
      </c>
    </row>
    <row r="858" spans="1:6">
      <c r="A858" s="95">
        <v>45034</v>
      </c>
      <c r="B858" t="s">
        <v>3377</v>
      </c>
      <c r="C858" t="s">
        <v>3378</v>
      </c>
      <c r="D858" t="s">
        <v>3379</v>
      </c>
      <c r="E858" t="s">
        <v>3380</v>
      </c>
      <c r="F858" t="s">
        <v>3380</v>
      </c>
    </row>
    <row r="859" spans="1:6">
      <c r="A859" s="95">
        <v>45035</v>
      </c>
      <c r="B859" t="s">
        <v>3381</v>
      </c>
      <c r="C859" t="s">
        <v>3382</v>
      </c>
      <c r="D859" t="s">
        <v>3383</v>
      </c>
      <c r="E859" t="s">
        <v>3384</v>
      </c>
      <c r="F859" t="s">
        <v>3384</v>
      </c>
    </row>
    <row r="860" spans="1:6">
      <c r="A860" s="95">
        <v>45036</v>
      </c>
      <c r="B860" t="s">
        <v>3385</v>
      </c>
      <c r="C860" t="s">
        <v>3386</v>
      </c>
      <c r="D860" t="s">
        <v>3387</v>
      </c>
      <c r="E860" t="s">
        <v>3388</v>
      </c>
      <c r="F860" t="s">
        <v>3388</v>
      </c>
    </row>
    <row r="861" spans="1:6">
      <c r="A861" s="95">
        <v>45037</v>
      </c>
      <c r="B861" t="s">
        <v>3389</v>
      </c>
      <c r="C861" t="s">
        <v>3390</v>
      </c>
      <c r="D861" t="s">
        <v>3391</v>
      </c>
      <c r="E861" t="s">
        <v>3392</v>
      </c>
      <c r="F861" t="s">
        <v>3392</v>
      </c>
    </row>
    <row r="862" spans="1:6">
      <c r="A862" s="95">
        <v>45039</v>
      </c>
      <c r="B862" t="s">
        <v>3393</v>
      </c>
      <c r="C862" t="s">
        <v>3394</v>
      </c>
      <c r="D862" t="s">
        <v>3395</v>
      </c>
      <c r="E862" t="s">
        <v>3396</v>
      </c>
      <c r="F862" t="s">
        <v>3396</v>
      </c>
    </row>
    <row r="863" spans="1:6">
      <c r="A863" s="95">
        <v>45040</v>
      </c>
      <c r="B863" t="s">
        <v>3397</v>
      </c>
      <c r="C863" t="s">
        <v>3398</v>
      </c>
      <c r="D863" t="s">
        <v>3399</v>
      </c>
      <c r="E863" t="s">
        <v>3400</v>
      </c>
      <c r="F863" t="s">
        <v>3400</v>
      </c>
    </row>
    <row r="864" spans="1:6">
      <c r="A864" s="95">
        <v>45041</v>
      </c>
      <c r="B864" t="s">
        <v>3401</v>
      </c>
      <c r="C864" t="s">
        <v>3402</v>
      </c>
      <c r="D864" t="s">
        <v>3403</v>
      </c>
      <c r="E864" t="s">
        <v>3404</v>
      </c>
      <c r="F864" t="s">
        <v>3404</v>
      </c>
    </row>
    <row r="865" spans="1:6">
      <c r="A865" s="95">
        <v>45042</v>
      </c>
      <c r="B865" t="s">
        <v>3405</v>
      </c>
      <c r="C865" t="s">
        <v>3406</v>
      </c>
      <c r="D865" t="s">
        <v>3407</v>
      </c>
      <c r="E865" t="s">
        <v>3408</v>
      </c>
      <c r="F865" t="s">
        <v>3408</v>
      </c>
    </row>
    <row r="866" spans="1:6">
      <c r="A866" s="95">
        <v>45043</v>
      </c>
      <c r="B866" t="s">
        <v>3409</v>
      </c>
      <c r="C866" t="s">
        <v>3410</v>
      </c>
      <c r="D866" t="s">
        <v>3411</v>
      </c>
      <c r="E866" t="s">
        <v>3412</v>
      </c>
      <c r="F866" t="s">
        <v>3412</v>
      </c>
    </row>
    <row r="867" spans="1:6">
      <c r="A867" s="95">
        <v>45044</v>
      </c>
      <c r="B867" t="s">
        <v>3413</v>
      </c>
      <c r="C867" t="s">
        <v>3414</v>
      </c>
      <c r="D867" t="s">
        <v>3415</v>
      </c>
      <c r="E867" t="s">
        <v>3416</v>
      </c>
      <c r="F867" t="s">
        <v>3416</v>
      </c>
    </row>
    <row r="868" spans="1:6">
      <c r="A868" s="95">
        <v>45045</v>
      </c>
      <c r="B868" t="s">
        <v>3417</v>
      </c>
      <c r="C868" t="s">
        <v>3418</v>
      </c>
      <c r="D868" t="s">
        <v>3419</v>
      </c>
      <c r="E868" t="s">
        <v>3420</v>
      </c>
      <c r="F868" t="s">
        <v>3420</v>
      </c>
    </row>
    <row r="869" spans="1:6">
      <c r="A869" s="95">
        <v>45046</v>
      </c>
      <c r="B869" t="s">
        <v>3421</v>
      </c>
      <c r="C869" t="s">
        <v>3422</v>
      </c>
      <c r="D869" t="s">
        <v>3423</v>
      </c>
      <c r="E869" t="s">
        <v>3424</v>
      </c>
      <c r="F869" t="s">
        <v>3424</v>
      </c>
    </row>
    <row r="870" spans="1:6">
      <c r="A870" s="95">
        <v>45048</v>
      </c>
      <c r="B870" t="s">
        <v>3425</v>
      </c>
      <c r="C870" t="s">
        <v>3426</v>
      </c>
      <c r="D870" t="s">
        <v>3427</v>
      </c>
      <c r="E870" t="s">
        <v>3428</v>
      </c>
      <c r="F870" t="s">
        <v>3428</v>
      </c>
    </row>
    <row r="871" spans="1:6">
      <c r="A871" s="95">
        <v>45049</v>
      </c>
      <c r="B871" t="s">
        <v>3429</v>
      </c>
      <c r="C871" t="s">
        <v>3430</v>
      </c>
      <c r="D871" t="s">
        <v>3431</v>
      </c>
      <c r="E871" t="s">
        <v>3432</v>
      </c>
      <c r="F871" t="s">
        <v>3432</v>
      </c>
    </row>
    <row r="872" spans="1:6">
      <c r="A872" s="95">
        <v>45050</v>
      </c>
      <c r="B872" t="s">
        <v>3433</v>
      </c>
      <c r="C872" t="s">
        <v>3434</v>
      </c>
      <c r="D872" t="s">
        <v>3435</v>
      </c>
      <c r="E872" t="s">
        <v>3436</v>
      </c>
      <c r="F872" t="s">
        <v>3436</v>
      </c>
    </row>
    <row r="873" spans="1:6">
      <c r="A873" s="95">
        <v>45051</v>
      </c>
      <c r="B873" t="s">
        <v>3437</v>
      </c>
      <c r="C873" t="s">
        <v>3438</v>
      </c>
      <c r="D873" t="s">
        <v>3439</v>
      </c>
      <c r="E873" t="s">
        <v>3440</v>
      </c>
      <c r="F873" t="s">
        <v>3440</v>
      </c>
    </row>
    <row r="874" spans="1:6">
      <c r="A874" s="95">
        <v>45052</v>
      </c>
      <c r="B874" t="s">
        <v>3441</v>
      </c>
      <c r="C874" t="s">
        <v>3442</v>
      </c>
      <c r="D874" t="s">
        <v>3443</v>
      </c>
      <c r="E874" t="s">
        <v>3444</v>
      </c>
      <c r="F874" t="s">
        <v>3444</v>
      </c>
    </row>
    <row r="875" spans="1:6">
      <c r="A875" s="95">
        <v>45054</v>
      </c>
      <c r="B875" t="s">
        <v>3445</v>
      </c>
      <c r="C875" t="s">
        <v>3446</v>
      </c>
      <c r="D875" t="s">
        <v>3447</v>
      </c>
      <c r="E875" t="s">
        <v>3448</v>
      </c>
      <c r="F875" t="s">
        <v>3448</v>
      </c>
    </row>
    <row r="876" spans="1:6">
      <c r="A876" s="95">
        <v>45055</v>
      </c>
      <c r="B876" t="s">
        <v>3449</v>
      </c>
      <c r="C876" t="s">
        <v>3450</v>
      </c>
      <c r="D876" t="s">
        <v>3451</v>
      </c>
      <c r="E876" t="s">
        <v>3452</v>
      </c>
      <c r="F876" t="s">
        <v>3452</v>
      </c>
    </row>
    <row r="877" spans="1:6">
      <c r="A877" s="95">
        <v>45056</v>
      </c>
      <c r="B877" t="s">
        <v>3453</v>
      </c>
      <c r="C877" t="s">
        <v>3454</v>
      </c>
      <c r="D877" t="s">
        <v>3455</v>
      </c>
      <c r="E877" t="s">
        <v>3456</v>
      </c>
      <c r="F877" t="s">
        <v>3456</v>
      </c>
    </row>
    <row r="878" spans="1:6">
      <c r="A878" s="95">
        <v>45057</v>
      </c>
      <c r="B878" t="s">
        <v>3457</v>
      </c>
      <c r="C878" t="s">
        <v>3458</v>
      </c>
      <c r="D878" t="s">
        <v>3459</v>
      </c>
      <c r="E878" t="s">
        <v>3460</v>
      </c>
      <c r="F878" t="s">
        <v>3460</v>
      </c>
    </row>
    <row r="879" spans="1:6">
      <c r="A879" s="95">
        <v>45058</v>
      </c>
      <c r="B879" t="s">
        <v>3461</v>
      </c>
      <c r="C879" t="s">
        <v>3462</v>
      </c>
      <c r="D879" t="s">
        <v>3463</v>
      </c>
      <c r="E879" t="s">
        <v>3464</v>
      </c>
      <c r="F879" t="s">
        <v>3464</v>
      </c>
    </row>
    <row r="880" spans="1:6">
      <c r="A880" s="95">
        <v>45060</v>
      </c>
      <c r="B880" t="s">
        <v>3465</v>
      </c>
      <c r="C880" t="s">
        <v>3466</v>
      </c>
      <c r="D880" t="s">
        <v>3467</v>
      </c>
      <c r="E880" t="s">
        <v>3468</v>
      </c>
      <c r="F880" t="s">
        <v>3468</v>
      </c>
    </row>
    <row r="881" spans="1:6">
      <c r="A881" s="95">
        <v>45061</v>
      </c>
      <c r="B881" t="s">
        <v>3469</v>
      </c>
      <c r="C881" t="s">
        <v>3470</v>
      </c>
      <c r="D881" t="s">
        <v>3471</v>
      </c>
      <c r="E881" t="s">
        <v>3472</v>
      </c>
      <c r="F881" t="s">
        <v>3472</v>
      </c>
    </row>
    <row r="882" spans="1:6">
      <c r="A882" s="95">
        <v>45062</v>
      </c>
      <c r="B882" t="s">
        <v>3473</v>
      </c>
      <c r="C882" t="s">
        <v>3474</v>
      </c>
      <c r="D882" t="s">
        <v>3475</v>
      </c>
      <c r="E882" t="s">
        <v>3476</v>
      </c>
      <c r="F882" t="s">
        <v>3476</v>
      </c>
    </row>
    <row r="883" spans="1:6">
      <c r="A883" s="95">
        <v>45063</v>
      </c>
      <c r="B883" t="s">
        <v>3477</v>
      </c>
      <c r="C883" t="s">
        <v>3478</v>
      </c>
      <c r="D883" t="s">
        <v>3479</v>
      </c>
      <c r="E883" t="s">
        <v>3480</v>
      </c>
      <c r="F883" t="s">
        <v>3480</v>
      </c>
    </row>
    <row r="884" spans="1:6">
      <c r="A884" s="95">
        <v>45064</v>
      </c>
      <c r="B884" t="s">
        <v>3481</v>
      </c>
      <c r="C884" t="s">
        <v>3482</v>
      </c>
      <c r="D884" t="s">
        <v>3483</v>
      </c>
      <c r="E884" t="s">
        <v>3484</v>
      </c>
      <c r="F884" t="s">
        <v>3484</v>
      </c>
    </row>
    <row r="885" spans="1:6">
      <c r="A885" s="95">
        <v>45065</v>
      </c>
      <c r="B885" t="s">
        <v>3485</v>
      </c>
      <c r="C885" t="s">
        <v>3486</v>
      </c>
      <c r="D885" t="s">
        <v>3487</v>
      </c>
      <c r="E885" t="s">
        <v>3488</v>
      </c>
      <c r="F885" t="s">
        <v>3488</v>
      </c>
    </row>
    <row r="886" spans="1:6">
      <c r="A886" s="95">
        <v>45066</v>
      </c>
      <c r="B886" t="s">
        <v>3489</v>
      </c>
      <c r="C886" t="s">
        <v>3490</v>
      </c>
      <c r="D886" t="s">
        <v>3491</v>
      </c>
      <c r="E886" t="s">
        <v>3492</v>
      </c>
      <c r="F886" t="s">
        <v>3492</v>
      </c>
    </row>
    <row r="887" spans="1:6">
      <c r="A887" s="95">
        <v>45067</v>
      </c>
      <c r="B887" t="s">
        <v>3493</v>
      </c>
      <c r="C887" t="s">
        <v>3494</v>
      </c>
      <c r="D887" t="s">
        <v>3495</v>
      </c>
      <c r="E887" t="s">
        <v>3496</v>
      </c>
      <c r="F887" t="s">
        <v>3496</v>
      </c>
    </row>
    <row r="888" spans="1:6">
      <c r="A888" s="95">
        <v>45068</v>
      </c>
      <c r="B888" t="s">
        <v>3497</v>
      </c>
      <c r="C888" t="s">
        <v>3498</v>
      </c>
      <c r="D888" t="s">
        <v>3499</v>
      </c>
      <c r="E888" t="s">
        <v>3500</v>
      </c>
      <c r="F888" t="s">
        <v>3500</v>
      </c>
    </row>
    <row r="889" spans="1:6">
      <c r="A889" s="95">
        <v>45069</v>
      </c>
      <c r="B889" t="s">
        <v>3501</v>
      </c>
      <c r="C889" t="s">
        <v>3502</v>
      </c>
      <c r="D889" t="s">
        <v>3503</v>
      </c>
      <c r="E889" t="s">
        <v>3504</v>
      </c>
      <c r="F889" t="s">
        <v>3504</v>
      </c>
    </row>
    <row r="890" spans="1:6">
      <c r="A890" s="95">
        <v>45070</v>
      </c>
      <c r="B890" t="s">
        <v>3505</v>
      </c>
      <c r="C890" t="s">
        <v>3505</v>
      </c>
      <c r="D890" t="s">
        <v>3506</v>
      </c>
      <c r="E890" t="s">
        <v>3507</v>
      </c>
      <c r="F890" t="s">
        <v>3507</v>
      </c>
    </row>
    <row r="891" spans="1:6">
      <c r="A891" s="95">
        <v>45071</v>
      </c>
      <c r="B891" t="s">
        <v>3508</v>
      </c>
      <c r="C891" t="s">
        <v>3509</v>
      </c>
      <c r="D891" t="s">
        <v>3510</v>
      </c>
      <c r="E891" t="s">
        <v>3511</v>
      </c>
      <c r="F891" t="s">
        <v>3511</v>
      </c>
    </row>
    <row r="892" spans="1:6">
      <c r="A892" s="95">
        <v>45072</v>
      </c>
      <c r="B892" t="s">
        <v>3512</v>
      </c>
      <c r="C892" t="s">
        <v>3513</v>
      </c>
      <c r="D892" t="s">
        <v>3514</v>
      </c>
      <c r="E892" t="s">
        <v>3515</v>
      </c>
      <c r="F892" t="s">
        <v>3515</v>
      </c>
    </row>
    <row r="893" spans="1:6">
      <c r="A893" s="95">
        <v>45073</v>
      </c>
      <c r="B893" t="s">
        <v>3516</v>
      </c>
      <c r="C893" t="s">
        <v>3517</v>
      </c>
      <c r="D893" t="s">
        <v>3518</v>
      </c>
      <c r="E893" t="s">
        <v>3519</v>
      </c>
      <c r="F893" t="s">
        <v>3519</v>
      </c>
    </row>
    <row r="894" spans="1:6">
      <c r="A894" s="95">
        <v>45074</v>
      </c>
      <c r="B894" t="s">
        <v>3520</v>
      </c>
      <c r="C894" t="s">
        <v>3521</v>
      </c>
      <c r="D894" t="s">
        <v>3522</v>
      </c>
      <c r="E894" t="s">
        <v>3523</v>
      </c>
      <c r="F894" t="s">
        <v>3523</v>
      </c>
    </row>
    <row r="895" spans="1:6">
      <c r="A895" s="95">
        <v>45075</v>
      </c>
      <c r="B895" t="s">
        <v>3524</v>
      </c>
      <c r="C895" t="s">
        <v>3525</v>
      </c>
      <c r="D895" t="s">
        <v>3526</v>
      </c>
      <c r="E895" t="s">
        <v>3527</v>
      </c>
      <c r="F895" t="s">
        <v>3527</v>
      </c>
    </row>
    <row r="896" spans="1:6">
      <c r="A896" s="95">
        <v>45076</v>
      </c>
      <c r="B896" t="s">
        <v>3528</v>
      </c>
      <c r="C896" t="s">
        <v>3529</v>
      </c>
      <c r="D896" t="s">
        <v>3530</v>
      </c>
      <c r="E896" t="s">
        <v>3531</v>
      </c>
      <c r="F896" t="s">
        <v>3531</v>
      </c>
    </row>
    <row r="897" spans="1:6">
      <c r="A897" s="95">
        <v>45077</v>
      </c>
      <c r="B897" t="s">
        <v>3532</v>
      </c>
      <c r="C897" t="s">
        <v>3533</v>
      </c>
      <c r="D897" t="s">
        <v>3534</v>
      </c>
      <c r="E897" t="s">
        <v>3535</v>
      </c>
      <c r="F897" t="s">
        <v>3535</v>
      </c>
    </row>
    <row r="898" spans="1:6">
      <c r="A898" s="95">
        <v>45078</v>
      </c>
      <c r="B898" t="s">
        <v>3536</v>
      </c>
      <c r="C898" t="s">
        <v>3537</v>
      </c>
      <c r="D898" t="s">
        <v>3538</v>
      </c>
      <c r="E898" t="s">
        <v>3539</v>
      </c>
      <c r="F898" t="s">
        <v>3539</v>
      </c>
    </row>
    <row r="899" spans="1:6">
      <c r="A899" s="95">
        <v>45079</v>
      </c>
      <c r="B899" t="s">
        <v>3540</v>
      </c>
      <c r="C899" t="s">
        <v>3541</v>
      </c>
      <c r="D899" t="s">
        <v>3542</v>
      </c>
      <c r="E899" t="s">
        <v>3543</v>
      </c>
      <c r="F899" t="s">
        <v>3543</v>
      </c>
    </row>
    <row r="900" spans="1:6">
      <c r="A900" s="95">
        <v>45081</v>
      </c>
      <c r="B900" t="s">
        <v>3544</v>
      </c>
      <c r="C900" t="s">
        <v>3545</v>
      </c>
      <c r="D900" t="s">
        <v>3546</v>
      </c>
      <c r="E900" t="s">
        <v>3547</v>
      </c>
      <c r="F900" t="s">
        <v>3547</v>
      </c>
    </row>
    <row r="901" spans="1:6">
      <c r="A901" s="95">
        <v>45082</v>
      </c>
      <c r="B901" t="s">
        <v>3548</v>
      </c>
      <c r="C901" t="s">
        <v>3549</v>
      </c>
      <c r="D901" t="s">
        <v>3550</v>
      </c>
      <c r="E901" t="s">
        <v>3551</v>
      </c>
      <c r="F901" t="s">
        <v>3551</v>
      </c>
    </row>
    <row r="902" spans="1:6">
      <c r="A902" s="95">
        <v>45083</v>
      </c>
      <c r="B902" t="s">
        <v>3552</v>
      </c>
      <c r="C902" t="s">
        <v>3553</v>
      </c>
      <c r="D902" t="s">
        <v>3554</v>
      </c>
      <c r="E902" t="s">
        <v>3555</v>
      </c>
      <c r="F902" t="s">
        <v>3555</v>
      </c>
    </row>
    <row r="903" spans="1:6">
      <c r="A903" s="95">
        <v>45084</v>
      </c>
      <c r="B903" t="s">
        <v>3556</v>
      </c>
      <c r="C903" t="s">
        <v>3557</v>
      </c>
      <c r="D903" t="s">
        <v>3558</v>
      </c>
      <c r="E903" t="s">
        <v>3559</v>
      </c>
      <c r="F903" t="s">
        <v>3559</v>
      </c>
    </row>
    <row r="904" spans="1:6">
      <c r="A904" s="95">
        <v>45085</v>
      </c>
      <c r="B904" t="s">
        <v>3560</v>
      </c>
      <c r="C904" t="s">
        <v>3561</v>
      </c>
      <c r="D904" t="s">
        <v>3562</v>
      </c>
      <c r="E904" t="s">
        <v>3563</v>
      </c>
      <c r="F904" t="s">
        <v>3563</v>
      </c>
    </row>
    <row r="905" spans="1:6">
      <c r="A905" s="95">
        <v>45086</v>
      </c>
      <c r="B905" t="s">
        <v>3564</v>
      </c>
      <c r="C905" t="s">
        <v>3565</v>
      </c>
      <c r="D905" t="s">
        <v>3566</v>
      </c>
      <c r="E905" t="s">
        <v>3567</v>
      </c>
      <c r="F905" t="s">
        <v>3567</v>
      </c>
    </row>
    <row r="906" spans="1:6">
      <c r="A906" s="95">
        <v>45087</v>
      </c>
      <c r="B906" t="s">
        <v>3568</v>
      </c>
      <c r="C906" t="s">
        <v>3569</v>
      </c>
      <c r="D906" t="s">
        <v>3570</v>
      </c>
      <c r="E906" t="s">
        <v>3571</v>
      </c>
      <c r="F906" t="s">
        <v>3571</v>
      </c>
    </row>
    <row r="907" spans="1:6">
      <c r="A907" s="95">
        <v>45089</v>
      </c>
      <c r="B907" t="s">
        <v>3572</v>
      </c>
      <c r="C907" t="s">
        <v>3573</v>
      </c>
      <c r="D907" t="s">
        <v>3574</v>
      </c>
      <c r="E907" t="s">
        <v>3575</v>
      </c>
      <c r="F907" t="s">
        <v>3575</v>
      </c>
    </row>
    <row r="908" spans="1:6">
      <c r="A908" s="95">
        <v>45090</v>
      </c>
      <c r="B908" t="s">
        <v>3576</v>
      </c>
      <c r="C908" t="s">
        <v>3577</v>
      </c>
      <c r="D908" t="s">
        <v>3578</v>
      </c>
      <c r="E908" t="s">
        <v>3579</v>
      </c>
      <c r="F908" t="s">
        <v>3579</v>
      </c>
    </row>
    <row r="909" spans="1:6">
      <c r="A909" s="95">
        <v>45091</v>
      </c>
      <c r="B909" t="s">
        <v>3580</v>
      </c>
      <c r="C909" t="s">
        <v>3581</v>
      </c>
      <c r="D909" t="s">
        <v>3582</v>
      </c>
      <c r="E909" t="s">
        <v>3583</v>
      </c>
      <c r="F909" t="s">
        <v>3583</v>
      </c>
    </row>
    <row r="910" spans="1:6">
      <c r="A910" s="95">
        <v>45092</v>
      </c>
      <c r="B910" t="s">
        <v>3584</v>
      </c>
      <c r="C910" t="s">
        <v>3585</v>
      </c>
      <c r="D910" t="s">
        <v>3586</v>
      </c>
      <c r="E910" t="s">
        <v>3587</v>
      </c>
      <c r="F910" t="s">
        <v>3587</v>
      </c>
    </row>
    <row r="911" spans="1:6">
      <c r="A911" s="95">
        <v>45093</v>
      </c>
      <c r="B911" t="s">
        <v>3588</v>
      </c>
      <c r="C911" t="s">
        <v>3589</v>
      </c>
      <c r="D911" t="s">
        <v>3590</v>
      </c>
      <c r="E911" t="s">
        <v>3591</v>
      </c>
      <c r="F911" t="s">
        <v>3591</v>
      </c>
    </row>
    <row r="912" spans="1:6">
      <c r="A912" s="95">
        <v>45094</v>
      </c>
      <c r="B912" t="s">
        <v>3592</v>
      </c>
      <c r="C912" t="s">
        <v>3593</v>
      </c>
      <c r="D912" t="s">
        <v>3594</v>
      </c>
      <c r="E912" t="s">
        <v>3595</v>
      </c>
      <c r="F912" t="s">
        <v>3595</v>
      </c>
    </row>
    <row r="913" spans="1:6">
      <c r="A913" s="95">
        <v>45095</v>
      </c>
      <c r="B913" t="s">
        <v>3596</v>
      </c>
      <c r="C913" t="s">
        <v>3597</v>
      </c>
      <c r="D913" t="s">
        <v>3598</v>
      </c>
      <c r="E913" t="s">
        <v>3599</v>
      </c>
      <c r="F913" t="s">
        <v>3599</v>
      </c>
    </row>
    <row r="914" spans="1:6">
      <c r="A914" s="95">
        <v>45096</v>
      </c>
      <c r="B914" t="s">
        <v>3600</v>
      </c>
      <c r="C914" t="s">
        <v>3601</v>
      </c>
      <c r="D914" t="s">
        <v>3602</v>
      </c>
      <c r="E914" t="s">
        <v>3603</v>
      </c>
      <c r="F914" t="s">
        <v>3603</v>
      </c>
    </row>
    <row r="915" spans="1:6">
      <c r="A915" s="95">
        <v>45097</v>
      </c>
      <c r="B915" t="s">
        <v>3604</v>
      </c>
      <c r="C915" t="s">
        <v>3605</v>
      </c>
      <c r="D915" t="s">
        <v>3606</v>
      </c>
      <c r="E915" t="s">
        <v>3607</v>
      </c>
      <c r="F915" t="s">
        <v>3607</v>
      </c>
    </row>
    <row r="916" spans="1:6">
      <c r="A916" s="95">
        <v>45098</v>
      </c>
      <c r="B916" t="s">
        <v>3608</v>
      </c>
      <c r="C916" t="s">
        <v>3609</v>
      </c>
      <c r="D916" t="s">
        <v>3610</v>
      </c>
      <c r="E916" t="s">
        <v>3611</v>
      </c>
      <c r="F916" t="s">
        <v>3611</v>
      </c>
    </row>
    <row r="917" spans="1:6">
      <c r="A917" s="95">
        <v>45099</v>
      </c>
      <c r="B917" t="s">
        <v>3612</v>
      </c>
      <c r="C917" t="s">
        <v>3613</v>
      </c>
      <c r="D917" t="s">
        <v>3614</v>
      </c>
      <c r="E917" t="s">
        <v>3615</v>
      </c>
      <c r="F917" t="s">
        <v>3615</v>
      </c>
    </row>
    <row r="918" spans="1:6">
      <c r="A918" s="95">
        <v>45101</v>
      </c>
      <c r="B918" t="s">
        <v>3616</v>
      </c>
      <c r="C918" t="s">
        <v>3617</v>
      </c>
      <c r="D918" t="s">
        <v>3618</v>
      </c>
      <c r="E918" t="s">
        <v>3619</v>
      </c>
      <c r="F918" t="s">
        <v>3619</v>
      </c>
    </row>
    <row r="919" spans="1:6">
      <c r="A919" s="95">
        <v>45102</v>
      </c>
      <c r="B919" t="s">
        <v>3620</v>
      </c>
      <c r="C919" t="s">
        <v>3621</v>
      </c>
      <c r="D919" t="s">
        <v>3622</v>
      </c>
      <c r="E919" t="s">
        <v>3623</v>
      </c>
      <c r="F919" t="s">
        <v>3623</v>
      </c>
    </row>
    <row r="920" spans="1:6">
      <c r="A920" s="95">
        <v>45103</v>
      </c>
      <c r="B920" t="s">
        <v>3624</v>
      </c>
      <c r="C920" t="s">
        <v>3625</v>
      </c>
      <c r="D920" t="s">
        <v>3626</v>
      </c>
      <c r="E920" t="s">
        <v>3627</v>
      </c>
      <c r="F920" t="s">
        <v>3627</v>
      </c>
    </row>
    <row r="921" spans="1:6">
      <c r="A921" s="95">
        <v>45104</v>
      </c>
      <c r="B921" t="s">
        <v>3628</v>
      </c>
      <c r="C921" t="s">
        <v>3629</v>
      </c>
      <c r="D921" t="s">
        <v>3630</v>
      </c>
      <c r="E921" t="s">
        <v>3631</v>
      </c>
      <c r="F921" t="s">
        <v>3631</v>
      </c>
    </row>
    <row r="922" spans="1:6">
      <c r="A922" s="95">
        <v>45105</v>
      </c>
      <c r="B922" t="s">
        <v>3632</v>
      </c>
      <c r="C922" t="s">
        <v>3633</v>
      </c>
      <c r="D922" t="s">
        <v>3634</v>
      </c>
      <c r="E922" t="s">
        <v>3635</v>
      </c>
      <c r="F922" t="s">
        <v>3635</v>
      </c>
    </row>
    <row r="923" spans="1:6">
      <c r="A923" s="95">
        <v>45106</v>
      </c>
      <c r="B923" t="s">
        <v>3636</v>
      </c>
      <c r="C923" t="s">
        <v>3637</v>
      </c>
      <c r="D923" t="s">
        <v>3638</v>
      </c>
      <c r="E923" t="s">
        <v>3639</v>
      </c>
      <c r="F923" t="s">
        <v>3639</v>
      </c>
    </row>
    <row r="924" spans="1:6">
      <c r="A924" s="95">
        <v>45107</v>
      </c>
      <c r="B924" t="s">
        <v>3640</v>
      </c>
      <c r="C924" t="s">
        <v>3641</v>
      </c>
      <c r="D924" t="s">
        <v>3642</v>
      </c>
      <c r="E924" t="s">
        <v>3643</v>
      </c>
      <c r="F924" t="s">
        <v>3643</v>
      </c>
    </row>
    <row r="925" spans="1:6">
      <c r="A925" s="95">
        <v>45108</v>
      </c>
      <c r="B925" t="s">
        <v>3644</v>
      </c>
      <c r="C925" t="s">
        <v>3645</v>
      </c>
      <c r="D925" t="s">
        <v>3646</v>
      </c>
      <c r="E925" t="s">
        <v>3647</v>
      </c>
      <c r="F925" t="s">
        <v>3647</v>
      </c>
    </row>
    <row r="926" spans="1:6">
      <c r="A926" s="95">
        <v>45110</v>
      </c>
      <c r="B926" t="s">
        <v>3648</v>
      </c>
      <c r="C926" t="s">
        <v>3649</v>
      </c>
      <c r="D926" t="s">
        <v>3650</v>
      </c>
      <c r="E926" t="s">
        <v>3651</v>
      </c>
      <c r="F926" t="s">
        <v>3651</v>
      </c>
    </row>
    <row r="927" spans="1:6">
      <c r="A927" s="95">
        <v>45111</v>
      </c>
      <c r="B927" t="s">
        <v>3652</v>
      </c>
      <c r="C927" t="s">
        <v>3653</v>
      </c>
      <c r="D927" t="s">
        <v>3654</v>
      </c>
      <c r="E927" t="s">
        <v>3655</v>
      </c>
      <c r="F927" t="s">
        <v>3655</v>
      </c>
    </row>
    <row r="928" spans="1:6">
      <c r="A928" s="95">
        <v>45112</v>
      </c>
      <c r="B928" t="s">
        <v>3656</v>
      </c>
      <c r="C928" t="s">
        <v>3657</v>
      </c>
      <c r="D928" t="s">
        <v>3658</v>
      </c>
      <c r="E928" t="s">
        <v>3659</v>
      </c>
      <c r="F928" t="s">
        <v>3659</v>
      </c>
    </row>
    <row r="929" spans="1:6">
      <c r="A929" s="95">
        <v>45113</v>
      </c>
      <c r="B929" t="s">
        <v>3660</v>
      </c>
      <c r="C929" t="s">
        <v>3661</v>
      </c>
      <c r="D929" t="s">
        <v>3662</v>
      </c>
      <c r="E929" t="s">
        <v>3663</v>
      </c>
      <c r="F929" t="s">
        <v>3663</v>
      </c>
    </row>
    <row r="930" spans="1:6">
      <c r="A930" s="95">
        <v>45114</v>
      </c>
      <c r="B930" t="s">
        <v>3664</v>
      </c>
      <c r="C930" t="s">
        <v>3665</v>
      </c>
      <c r="D930" t="s">
        <v>3666</v>
      </c>
      <c r="E930" t="s">
        <v>3667</v>
      </c>
      <c r="F930" t="s">
        <v>3667</v>
      </c>
    </row>
    <row r="931" spans="1:6">
      <c r="A931" s="95">
        <v>45115</v>
      </c>
      <c r="B931" t="s">
        <v>3668</v>
      </c>
      <c r="C931" t="s">
        <v>3669</v>
      </c>
      <c r="D931" t="s">
        <v>3670</v>
      </c>
      <c r="E931" t="s">
        <v>3671</v>
      </c>
      <c r="F931" t="s">
        <v>3671</v>
      </c>
    </row>
    <row r="932" spans="1:6">
      <c r="A932" s="95">
        <v>45116</v>
      </c>
      <c r="B932" t="s">
        <v>3672</v>
      </c>
      <c r="C932" t="s">
        <v>3673</v>
      </c>
      <c r="D932" t="s">
        <v>3674</v>
      </c>
      <c r="E932" t="s">
        <v>3675</v>
      </c>
      <c r="F932" t="s">
        <v>3675</v>
      </c>
    </row>
    <row r="933" spans="1:6">
      <c r="A933" s="95">
        <v>45117</v>
      </c>
      <c r="B933" t="s">
        <v>3676</v>
      </c>
      <c r="C933" t="s">
        <v>3677</v>
      </c>
      <c r="D933" t="s">
        <v>3678</v>
      </c>
      <c r="E933" t="s">
        <v>3679</v>
      </c>
      <c r="F933" t="s">
        <v>3679</v>
      </c>
    </row>
    <row r="934" spans="1:6">
      <c r="A934" s="95">
        <v>45118</v>
      </c>
      <c r="B934" t="s">
        <v>3680</v>
      </c>
      <c r="C934" t="s">
        <v>3681</v>
      </c>
      <c r="D934" t="s">
        <v>3682</v>
      </c>
      <c r="E934" t="s">
        <v>3683</v>
      </c>
      <c r="F934" t="s">
        <v>3683</v>
      </c>
    </row>
    <row r="935" spans="1:6">
      <c r="A935" s="95">
        <v>45119</v>
      </c>
      <c r="B935" t="s">
        <v>3684</v>
      </c>
      <c r="C935" t="s">
        <v>3685</v>
      </c>
      <c r="D935" t="s">
        <v>3686</v>
      </c>
      <c r="E935" t="s">
        <v>3687</v>
      </c>
      <c r="F935" t="s">
        <v>3687</v>
      </c>
    </row>
    <row r="936" spans="1:6">
      <c r="A936" s="95">
        <v>45120</v>
      </c>
      <c r="B936" t="s">
        <v>3688</v>
      </c>
      <c r="C936" t="s">
        <v>3689</v>
      </c>
      <c r="D936" t="s">
        <v>3690</v>
      </c>
      <c r="E936" t="s">
        <v>3691</v>
      </c>
      <c r="F936" t="s">
        <v>3691</v>
      </c>
    </row>
    <row r="937" spans="1:6">
      <c r="A937" s="95">
        <v>45121</v>
      </c>
      <c r="B937" t="s">
        <v>3692</v>
      </c>
      <c r="C937" t="s">
        <v>3693</v>
      </c>
      <c r="D937" t="s">
        <v>3694</v>
      </c>
      <c r="E937" t="s">
        <v>3695</v>
      </c>
      <c r="F937" t="s">
        <v>3695</v>
      </c>
    </row>
    <row r="938" spans="1:6">
      <c r="A938" s="95">
        <v>45123</v>
      </c>
      <c r="B938" t="s">
        <v>3696</v>
      </c>
      <c r="C938" t="s">
        <v>3697</v>
      </c>
      <c r="D938" t="s">
        <v>3698</v>
      </c>
      <c r="E938" t="s">
        <v>3699</v>
      </c>
      <c r="F938" t="s">
        <v>3699</v>
      </c>
    </row>
    <row r="939" spans="1:6">
      <c r="A939" s="95">
        <v>45124</v>
      </c>
      <c r="B939" t="s">
        <v>3700</v>
      </c>
      <c r="C939" t="s">
        <v>3701</v>
      </c>
      <c r="D939" t="s">
        <v>3702</v>
      </c>
      <c r="E939" t="s">
        <v>3703</v>
      </c>
      <c r="F939" t="s">
        <v>3703</v>
      </c>
    </row>
    <row r="940" spans="1:6">
      <c r="A940" s="95">
        <v>45125</v>
      </c>
      <c r="B940" t="s">
        <v>3704</v>
      </c>
      <c r="C940" t="s">
        <v>3705</v>
      </c>
      <c r="D940" t="s">
        <v>3706</v>
      </c>
      <c r="E940" t="s">
        <v>3707</v>
      </c>
      <c r="F940" t="s">
        <v>3707</v>
      </c>
    </row>
    <row r="941" spans="1:6">
      <c r="A941" s="95">
        <v>45126</v>
      </c>
      <c r="B941" t="s">
        <v>3708</v>
      </c>
      <c r="C941" t="s">
        <v>3709</v>
      </c>
      <c r="D941" t="s">
        <v>3710</v>
      </c>
      <c r="E941" t="s">
        <v>3711</v>
      </c>
      <c r="F941" t="s">
        <v>3711</v>
      </c>
    </row>
    <row r="942" spans="1:6">
      <c r="A942" s="95">
        <v>45127</v>
      </c>
      <c r="B942" t="s">
        <v>3712</v>
      </c>
      <c r="C942" t="s">
        <v>3713</v>
      </c>
      <c r="D942" t="s">
        <v>3714</v>
      </c>
      <c r="E942" t="s">
        <v>3715</v>
      </c>
      <c r="F942" t="s">
        <v>3715</v>
      </c>
    </row>
    <row r="943" spans="1:6">
      <c r="A943" s="95">
        <v>45128</v>
      </c>
      <c r="B943" t="s">
        <v>3716</v>
      </c>
      <c r="C943" t="s">
        <v>3717</v>
      </c>
      <c r="D943" t="s">
        <v>3718</v>
      </c>
      <c r="E943" t="s">
        <v>3719</v>
      </c>
      <c r="F943" t="s">
        <v>3719</v>
      </c>
    </row>
    <row r="944" spans="1:6">
      <c r="A944" s="95">
        <v>45129</v>
      </c>
      <c r="B944" t="s">
        <v>3720</v>
      </c>
      <c r="C944" t="s">
        <v>3721</v>
      </c>
      <c r="D944" t="s">
        <v>3722</v>
      </c>
      <c r="E944" t="s">
        <v>3723</v>
      </c>
      <c r="F944" t="s">
        <v>3723</v>
      </c>
    </row>
    <row r="945" spans="1:6">
      <c r="A945" s="95">
        <v>45130</v>
      </c>
      <c r="B945" t="s">
        <v>3724</v>
      </c>
      <c r="C945" t="s">
        <v>3725</v>
      </c>
      <c r="D945" t="s">
        <v>3726</v>
      </c>
      <c r="E945" t="s">
        <v>3727</v>
      </c>
      <c r="F945" t="s">
        <v>3727</v>
      </c>
    </row>
    <row r="946" spans="1:6">
      <c r="A946" s="95">
        <v>45131</v>
      </c>
      <c r="B946" t="s">
        <v>3728</v>
      </c>
      <c r="C946" t="s">
        <v>3729</v>
      </c>
      <c r="D946" t="s">
        <v>3730</v>
      </c>
      <c r="E946" t="s">
        <v>3731</v>
      </c>
      <c r="F946" t="s">
        <v>3731</v>
      </c>
    </row>
    <row r="947" spans="1:6">
      <c r="A947" s="95">
        <v>45132</v>
      </c>
      <c r="B947" t="s">
        <v>3732</v>
      </c>
      <c r="C947" t="s">
        <v>3733</v>
      </c>
      <c r="D947" t="s">
        <v>3734</v>
      </c>
      <c r="E947" t="s">
        <v>3735</v>
      </c>
      <c r="F947" t="s">
        <v>3735</v>
      </c>
    </row>
    <row r="948" spans="1:6">
      <c r="A948" s="95">
        <v>45133</v>
      </c>
      <c r="B948" t="s">
        <v>3736</v>
      </c>
      <c r="C948" t="s">
        <v>3737</v>
      </c>
      <c r="D948" t="s">
        <v>3738</v>
      </c>
      <c r="E948" t="s">
        <v>3739</v>
      </c>
      <c r="F948" t="s">
        <v>3739</v>
      </c>
    </row>
    <row r="949" spans="1:6">
      <c r="A949" s="95">
        <v>45134</v>
      </c>
      <c r="B949" t="s">
        <v>3740</v>
      </c>
      <c r="C949" t="s">
        <v>3741</v>
      </c>
      <c r="D949" t="s">
        <v>3742</v>
      </c>
      <c r="E949" t="s">
        <v>3743</v>
      </c>
      <c r="F949" t="s">
        <v>3743</v>
      </c>
    </row>
    <row r="950" spans="1:6">
      <c r="A950" s="95">
        <v>45135</v>
      </c>
      <c r="B950" t="s">
        <v>3744</v>
      </c>
      <c r="C950" t="s">
        <v>3745</v>
      </c>
      <c r="D950" t="s">
        <v>3746</v>
      </c>
      <c r="E950" t="s">
        <v>3747</v>
      </c>
      <c r="F950" t="s">
        <v>3747</v>
      </c>
    </row>
    <row r="951" spans="1:6">
      <c r="A951" s="95">
        <v>45136</v>
      </c>
      <c r="B951" t="s">
        <v>3748</v>
      </c>
      <c r="C951" t="s">
        <v>3749</v>
      </c>
      <c r="D951" t="s">
        <v>3750</v>
      </c>
      <c r="E951" t="s">
        <v>3751</v>
      </c>
      <c r="F951" t="s">
        <v>3751</v>
      </c>
    </row>
    <row r="952" spans="1:6">
      <c r="A952" s="95">
        <v>45137</v>
      </c>
      <c r="B952" t="s">
        <v>3752</v>
      </c>
      <c r="C952" t="s">
        <v>3753</v>
      </c>
      <c r="D952" t="s">
        <v>3754</v>
      </c>
      <c r="E952" t="s">
        <v>3755</v>
      </c>
      <c r="F952" t="s">
        <v>3755</v>
      </c>
    </row>
    <row r="953" spans="1:6">
      <c r="A953" s="95">
        <v>45138</v>
      </c>
      <c r="B953" t="s">
        <v>3756</v>
      </c>
      <c r="C953" t="s">
        <v>3757</v>
      </c>
      <c r="D953" t="s">
        <v>3758</v>
      </c>
      <c r="E953" t="s">
        <v>3759</v>
      </c>
      <c r="F953" t="s">
        <v>3759</v>
      </c>
    </row>
    <row r="954" spans="1:6">
      <c r="A954" s="95">
        <v>45139</v>
      </c>
      <c r="B954" t="s">
        <v>3760</v>
      </c>
      <c r="C954" t="s">
        <v>3761</v>
      </c>
      <c r="D954" t="s">
        <v>3762</v>
      </c>
      <c r="E954" t="s">
        <v>3761</v>
      </c>
      <c r="F954" t="s">
        <v>3761</v>
      </c>
    </row>
    <row r="955" spans="1:6">
      <c r="A955" s="95">
        <v>45140</v>
      </c>
      <c r="B955" t="s">
        <v>3763</v>
      </c>
      <c r="C955" t="s">
        <v>3764</v>
      </c>
      <c r="D955" t="s">
        <v>3765</v>
      </c>
      <c r="E955" t="s">
        <v>3766</v>
      </c>
      <c r="F955" t="s">
        <v>3766</v>
      </c>
    </row>
    <row r="956" spans="1:6">
      <c r="A956" s="95">
        <v>45142</v>
      </c>
      <c r="B956" t="s">
        <v>3767</v>
      </c>
      <c r="C956" t="s">
        <v>3768</v>
      </c>
      <c r="D956" t="s">
        <v>3769</v>
      </c>
      <c r="E956" t="s">
        <v>3770</v>
      </c>
      <c r="F956" t="s">
        <v>3770</v>
      </c>
    </row>
    <row r="957" spans="1:6">
      <c r="A957" s="95">
        <v>45143</v>
      </c>
      <c r="B957" t="s">
        <v>3771</v>
      </c>
      <c r="C957" t="s">
        <v>3772</v>
      </c>
      <c r="D957" t="s">
        <v>3773</v>
      </c>
      <c r="E957" t="s">
        <v>3774</v>
      </c>
      <c r="F957" t="s">
        <v>3774</v>
      </c>
    </row>
    <row r="958" spans="1:6">
      <c r="A958" s="95">
        <v>45144</v>
      </c>
      <c r="B958" t="s">
        <v>3775</v>
      </c>
      <c r="C958" t="s">
        <v>3776</v>
      </c>
      <c r="D958" t="s">
        <v>3777</v>
      </c>
      <c r="E958" t="s">
        <v>3778</v>
      </c>
      <c r="F958" t="s">
        <v>3778</v>
      </c>
    </row>
    <row r="959" spans="1:6">
      <c r="A959" s="95">
        <v>45145</v>
      </c>
      <c r="B959" t="s">
        <v>3779</v>
      </c>
      <c r="C959" t="s">
        <v>3780</v>
      </c>
      <c r="D959" t="s">
        <v>3781</v>
      </c>
      <c r="E959" t="s">
        <v>3782</v>
      </c>
      <c r="F959" t="s">
        <v>3782</v>
      </c>
    </row>
    <row r="960" spans="1:6">
      <c r="A960" s="95">
        <v>45146</v>
      </c>
      <c r="B960" t="s">
        <v>3783</v>
      </c>
      <c r="C960" t="s">
        <v>3784</v>
      </c>
      <c r="D960" t="s">
        <v>3785</v>
      </c>
      <c r="E960" t="s">
        <v>3786</v>
      </c>
      <c r="F960" t="s">
        <v>3786</v>
      </c>
    </row>
    <row r="961" spans="1:6">
      <c r="A961" s="95">
        <v>45147</v>
      </c>
      <c r="B961" t="s">
        <v>3787</v>
      </c>
      <c r="C961" t="s">
        <v>3788</v>
      </c>
      <c r="D961" t="s">
        <v>3789</v>
      </c>
      <c r="E961" t="s">
        <v>3790</v>
      </c>
      <c r="F961" t="s">
        <v>3790</v>
      </c>
    </row>
    <row r="962" spans="1:6">
      <c r="A962" s="95">
        <v>45148</v>
      </c>
      <c r="B962" t="s">
        <v>3791</v>
      </c>
      <c r="C962" t="s">
        <v>3792</v>
      </c>
      <c r="D962" t="s">
        <v>3793</v>
      </c>
      <c r="E962" t="s">
        <v>3794</v>
      </c>
      <c r="F962" t="s">
        <v>3794</v>
      </c>
    </row>
    <row r="963" spans="1:6">
      <c r="A963" s="95">
        <v>45149</v>
      </c>
      <c r="B963" t="s">
        <v>3795</v>
      </c>
      <c r="C963" t="s">
        <v>3796</v>
      </c>
      <c r="D963" t="s">
        <v>3797</v>
      </c>
      <c r="E963" t="s">
        <v>3798</v>
      </c>
      <c r="F963" t="s">
        <v>3798</v>
      </c>
    </row>
    <row r="964" spans="1:6">
      <c r="A964" s="95">
        <v>45150</v>
      </c>
      <c r="B964" t="s">
        <v>3799</v>
      </c>
      <c r="C964" t="s">
        <v>3800</v>
      </c>
      <c r="D964" t="s">
        <v>3801</v>
      </c>
      <c r="E964" t="s">
        <v>3802</v>
      </c>
      <c r="F964" t="s">
        <v>3802</v>
      </c>
    </row>
    <row r="965" spans="1:6">
      <c r="A965" s="95">
        <v>45151</v>
      </c>
      <c r="B965" t="s">
        <v>3803</v>
      </c>
      <c r="C965" t="s">
        <v>3804</v>
      </c>
      <c r="D965" t="s">
        <v>3805</v>
      </c>
      <c r="E965" t="s">
        <v>3806</v>
      </c>
      <c r="F965" t="s">
        <v>3806</v>
      </c>
    </row>
    <row r="966" spans="1:6">
      <c r="A966" s="95">
        <v>45152</v>
      </c>
      <c r="B966" t="s">
        <v>3807</v>
      </c>
      <c r="C966" t="s">
        <v>3808</v>
      </c>
      <c r="D966" t="s">
        <v>3809</v>
      </c>
      <c r="E966" t="s">
        <v>3810</v>
      </c>
      <c r="F966" t="s">
        <v>3810</v>
      </c>
    </row>
    <row r="967" spans="1:6">
      <c r="A967" s="95">
        <v>45153</v>
      </c>
      <c r="B967" t="s">
        <v>3811</v>
      </c>
      <c r="C967" t="s">
        <v>3812</v>
      </c>
      <c r="D967" t="s">
        <v>3813</v>
      </c>
      <c r="E967" t="s">
        <v>3814</v>
      </c>
      <c r="F967" t="s">
        <v>3814</v>
      </c>
    </row>
    <row r="968" spans="1:6">
      <c r="A968" s="95">
        <v>45154</v>
      </c>
      <c r="B968" t="s">
        <v>3815</v>
      </c>
      <c r="C968" t="s">
        <v>3816</v>
      </c>
      <c r="D968" t="s">
        <v>3817</v>
      </c>
      <c r="E968" t="s">
        <v>3817</v>
      </c>
      <c r="F968" t="s">
        <v>3817</v>
      </c>
    </row>
    <row r="969" spans="1:6">
      <c r="A969" s="95">
        <v>45155</v>
      </c>
      <c r="B969" t="s">
        <v>3818</v>
      </c>
      <c r="C969" t="s">
        <v>3819</v>
      </c>
      <c r="D969" t="s">
        <v>3820</v>
      </c>
      <c r="E969" t="s">
        <v>3821</v>
      </c>
      <c r="F969" t="s">
        <v>3821</v>
      </c>
    </row>
    <row r="970" spans="1:6">
      <c r="A970" s="95">
        <v>45156</v>
      </c>
      <c r="B970" t="s">
        <v>3822</v>
      </c>
      <c r="C970" t="s">
        <v>3823</v>
      </c>
      <c r="D970" t="s">
        <v>3824</v>
      </c>
      <c r="E970" t="s">
        <v>3825</v>
      </c>
      <c r="F970" t="s">
        <v>3825</v>
      </c>
    </row>
    <row r="971" spans="1:6">
      <c r="A971" s="95">
        <v>45157</v>
      </c>
      <c r="B971" t="s">
        <v>3826</v>
      </c>
      <c r="C971" t="s">
        <v>3827</v>
      </c>
      <c r="D971" t="s">
        <v>3828</v>
      </c>
      <c r="E971" t="s">
        <v>3829</v>
      </c>
      <c r="F971" t="s">
        <v>3829</v>
      </c>
    </row>
    <row r="972" spans="1:6">
      <c r="A972" s="95">
        <v>45158</v>
      </c>
      <c r="B972" t="s">
        <v>3830</v>
      </c>
      <c r="C972" t="s">
        <v>3831</v>
      </c>
      <c r="D972" t="s">
        <v>3832</v>
      </c>
      <c r="E972" t="s">
        <v>3833</v>
      </c>
      <c r="F972" t="s">
        <v>3833</v>
      </c>
    </row>
    <row r="973" spans="1:6">
      <c r="A973" s="95">
        <v>45160</v>
      </c>
      <c r="B973" t="s">
        <v>3834</v>
      </c>
      <c r="C973" t="s">
        <v>3835</v>
      </c>
      <c r="D973" t="s">
        <v>3836</v>
      </c>
      <c r="E973" t="s">
        <v>3837</v>
      </c>
      <c r="F973" t="s">
        <v>3837</v>
      </c>
    </row>
    <row r="974" spans="1:6">
      <c r="A974" s="95">
        <v>45161</v>
      </c>
      <c r="B974" t="s">
        <v>3838</v>
      </c>
      <c r="C974" t="s">
        <v>3839</v>
      </c>
      <c r="D974" t="s">
        <v>3840</v>
      </c>
      <c r="E974" t="s">
        <v>3841</v>
      </c>
      <c r="F974" t="s">
        <v>3841</v>
      </c>
    </row>
    <row r="975" spans="1:6">
      <c r="A975" s="95">
        <v>45162</v>
      </c>
      <c r="B975" t="s">
        <v>3842</v>
      </c>
      <c r="C975" t="s">
        <v>3843</v>
      </c>
      <c r="D975" t="s">
        <v>3844</v>
      </c>
      <c r="E975" t="s">
        <v>3845</v>
      </c>
      <c r="F975" t="s">
        <v>3845</v>
      </c>
    </row>
    <row r="976" spans="1:6">
      <c r="A976" s="95">
        <v>45163</v>
      </c>
      <c r="B976" t="s">
        <v>3846</v>
      </c>
      <c r="C976" t="s">
        <v>3847</v>
      </c>
      <c r="D976" t="s">
        <v>3848</v>
      </c>
      <c r="E976" t="s">
        <v>3849</v>
      </c>
      <c r="F976" t="s">
        <v>3849</v>
      </c>
    </row>
    <row r="977" spans="1:6">
      <c r="A977" s="95">
        <v>45164</v>
      </c>
      <c r="B977" t="s">
        <v>3850</v>
      </c>
      <c r="C977" t="s">
        <v>3851</v>
      </c>
      <c r="D977" t="s">
        <v>3852</v>
      </c>
      <c r="E977" t="s">
        <v>3853</v>
      </c>
      <c r="F977" t="s">
        <v>3853</v>
      </c>
    </row>
    <row r="978" spans="1:6">
      <c r="A978" s="95">
        <v>45167</v>
      </c>
      <c r="B978" t="s">
        <v>3854</v>
      </c>
      <c r="C978" t="s">
        <v>3855</v>
      </c>
      <c r="D978" t="s">
        <v>3856</v>
      </c>
      <c r="E978" t="s">
        <v>3857</v>
      </c>
      <c r="F978" t="s">
        <v>3857</v>
      </c>
    </row>
    <row r="979" spans="1:6">
      <c r="A979" s="95">
        <v>45168</v>
      </c>
      <c r="B979" t="s">
        <v>3858</v>
      </c>
      <c r="C979" t="s">
        <v>3859</v>
      </c>
      <c r="D979" t="s">
        <v>3860</v>
      </c>
      <c r="E979" t="s">
        <v>3861</v>
      </c>
      <c r="F979" t="s">
        <v>3861</v>
      </c>
    </row>
    <row r="980" spans="1:6">
      <c r="A980" s="95">
        <v>45169</v>
      </c>
      <c r="B980" t="s">
        <v>3862</v>
      </c>
      <c r="C980" t="s">
        <v>3863</v>
      </c>
      <c r="D980" t="s">
        <v>3864</v>
      </c>
      <c r="E980" t="s">
        <v>3865</v>
      </c>
      <c r="F980" t="s">
        <v>3865</v>
      </c>
    </row>
    <row r="981" spans="1:6">
      <c r="A981" s="95">
        <v>45170</v>
      </c>
      <c r="B981" t="s">
        <v>3866</v>
      </c>
      <c r="C981" t="s">
        <v>3867</v>
      </c>
      <c r="D981" t="s">
        <v>3868</v>
      </c>
      <c r="E981" t="s">
        <v>3869</v>
      </c>
      <c r="F981" t="s">
        <v>3869</v>
      </c>
    </row>
    <row r="982" spans="1:6">
      <c r="A982" s="95">
        <v>45171</v>
      </c>
      <c r="B982" t="s">
        <v>3870</v>
      </c>
      <c r="C982" t="s">
        <v>3871</v>
      </c>
      <c r="D982" t="s">
        <v>3872</v>
      </c>
      <c r="E982" t="s">
        <v>3873</v>
      </c>
      <c r="F982" t="s">
        <v>3873</v>
      </c>
    </row>
    <row r="983" spans="1:6">
      <c r="A983" s="95">
        <v>45172</v>
      </c>
      <c r="B983" t="s">
        <v>3874</v>
      </c>
      <c r="C983" t="s">
        <v>3875</v>
      </c>
      <c r="D983" t="s">
        <v>3876</v>
      </c>
      <c r="E983" t="s">
        <v>3877</v>
      </c>
      <c r="F983" t="s">
        <v>3877</v>
      </c>
    </row>
    <row r="984" spans="1:6">
      <c r="A984" s="95">
        <v>45173</v>
      </c>
      <c r="B984" t="s">
        <v>3878</v>
      </c>
      <c r="C984" t="s">
        <v>3879</v>
      </c>
      <c r="D984" t="s">
        <v>3880</v>
      </c>
      <c r="E984" t="s">
        <v>3881</v>
      </c>
      <c r="F984" t="s">
        <v>3881</v>
      </c>
    </row>
    <row r="985" spans="1:6">
      <c r="A985" s="95">
        <v>45174</v>
      </c>
      <c r="B985" t="s">
        <v>3882</v>
      </c>
      <c r="C985" t="s">
        <v>3883</v>
      </c>
      <c r="D985" t="s">
        <v>3884</v>
      </c>
      <c r="E985" t="s">
        <v>3885</v>
      </c>
      <c r="F985" t="s">
        <v>3885</v>
      </c>
    </row>
    <row r="986" spans="1:6">
      <c r="A986" s="95">
        <v>45176</v>
      </c>
      <c r="B986" t="s">
        <v>3886</v>
      </c>
      <c r="C986" t="s">
        <v>3887</v>
      </c>
      <c r="D986" t="s">
        <v>3888</v>
      </c>
      <c r="E986" t="s">
        <v>3889</v>
      </c>
      <c r="F986" t="s">
        <v>3889</v>
      </c>
    </row>
    <row r="987" spans="1:6">
      <c r="A987" s="95">
        <v>45177</v>
      </c>
      <c r="B987" t="s">
        <v>3890</v>
      </c>
      <c r="C987" t="s">
        <v>3891</v>
      </c>
      <c r="D987" t="s">
        <v>3892</v>
      </c>
      <c r="E987" t="s">
        <v>3893</v>
      </c>
      <c r="F987" t="s">
        <v>3893</v>
      </c>
    </row>
    <row r="988" spans="1:6">
      <c r="A988" s="95">
        <v>45178</v>
      </c>
      <c r="B988" t="s">
        <v>3894</v>
      </c>
      <c r="C988" t="s">
        <v>3895</v>
      </c>
      <c r="D988" t="s">
        <v>3896</v>
      </c>
      <c r="E988" t="s">
        <v>3897</v>
      </c>
      <c r="F988" t="s">
        <v>3897</v>
      </c>
    </row>
    <row r="989" spans="1:6">
      <c r="A989" s="95">
        <v>45179</v>
      </c>
      <c r="B989" t="s">
        <v>3898</v>
      </c>
      <c r="C989" t="s">
        <v>3899</v>
      </c>
      <c r="D989" t="s">
        <v>3900</v>
      </c>
      <c r="E989" t="s">
        <v>3901</v>
      </c>
      <c r="F989" t="s">
        <v>3901</v>
      </c>
    </row>
    <row r="990" spans="1:6">
      <c r="A990" s="95">
        <v>45180</v>
      </c>
      <c r="B990" t="s">
        <v>3902</v>
      </c>
      <c r="C990" t="s">
        <v>3903</v>
      </c>
      <c r="D990" t="s">
        <v>3904</v>
      </c>
      <c r="E990" t="s">
        <v>3905</v>
      </c>
      <c r="F990" t="s">
        <v>3905</v>
      </c>
    </row>
    <row r="991" spans="1:6">
      <c r="A991" s="95">
        <v>45181</v>
      </c>
      <c r="B991" t="s">
        <v>3906</v>
      </c>
      <c r="C991" t="s">
        <v>3907</v>
      </c>
      <c r="D991" t="s">
        <v>3908</v>
      </c>
      <c r="E991" t="s">
        <v>3909</v>
      </c>
      <c r="F991" t="s">
        <v>3909</v>
      </c>
    </row>
    <row r="992" spans="1:6">
      <c r="A992" s="95">
        <v>45182</v>
      </c>
      <c r="B992" t="s">
        <v>3910</v>
      </c>
      <c r="C992" t="s">
        <v>3911</v>
      </c>
      <c r="D992" t="s">
        <v>3912</v>
      </c>
      <c r="E992" t="s">
        <v>3913</v>
      </c>
      <c r="F992" t="s">
        <v>3913</v>
      </c>
    </row>
    <row r="993" spans="1:6">
      <c r="A993" s="95">
        <v>45183</v>
      </c>
      <c r="B993" t="s">
        <v>3914</v>
      </c>
      <c r="C993" t="s">
        <v>3915</v>
      </c>
      <c r="D993" t="s">
        <v>3916</v>
      </c>
      <c r="E993" t="s">
        <v>3917</v>
      </c>
      <c r="F993" t="s">
        <v>3917</v>
      </c>
    </row>
    <row r="994" spans="1:6">
      <c r="A994" s="95">
        <v>45184</v>
      </c>
      <c r="B994" t="s">
        <v>3918</v>
      </c>
      <c r="C994" t="s">
        <v>3919</v>
      </c>
      <c r="D994" t="s">
        <v>3920</v>
      </c>
      <c r="E994" t="s">
        <v>3921</v>
      </c>
      <c r="F994" t="s">
        <v>3921</v>
      </c>
    </row>
    <row r="995" spans="1:6">
      <c r="A995" s="95">
        <v>45186</v>
      </c>
      <c r="B995" t="s">
        <v>3922</v>
      </c>
      <c r="C995" t="s">
        <v>3923</v>
      </c>
      <c r="D995" t="s">
        <v>3924</v>
      </c>
      <c r="E995" t="s">
        <v>3925</v>
      </c>
      <c r="F995" t="s">
        <v>3925</v>
      </c>
    </row>
    <row r="996" spans="1:6">
      <c r="A996" s="95">
        <v>45187</v>
      </c>
      <c r="B996" t="s">
        <v>3926</v>
      </c>
      <c r="C996" t="s">
        <v>3927</v>
      </c>
      <c r="D996" t="s">
        <v>3928</v>
      </c>
      <c r="E996" t="s">
        <v>3929</v>
      </c>
      <c r="F996" t="s">
        <v>3929</v>
      </c>
    </row>
    <row r="997" spans="1:6">
      <c r="A997" s="95">
        <v>45188</v>
      </c>
      <c r="B997" t="s">
        <v>3930</v>
      </c>
      <c r="C997" t="s">
        <v>3931</v>
      </c>
      <c r="D997" t="s">
        <v>3932</v>
      </c>
      <c r="E997" t="s">
        <v>3933</v>
      </c>
      <c r="F997" t="s">
        <v>3933</v>
      </c>
    </row>
    <row r="998" spans="1:6">
      <c r="A998" s="95">
        <v>45189</v>
      </c>
      <c r="B998" t="s">
        <v>3934</v>
      </c>
      <c r="C998" t="s">
        <v>3935</v>
      </c>
      <c r="D998" t="s">
        <v>3936</v>
      </c>
      <c r="E998" t="s">
        <v>3937</v>
      </c>
      <c r="F998" t="s">
        <v>3937</v>
      </c>
    </row>
    <row r="999" spans="1:6">
      <c r="A999" s="95">
        <v>45190</v>
      </c>
      <c r="B999" t="s">
        <v>3938</v>
      </c>
      <c r="C999" t="s">
        <v>3939</v>
      </c>
      <c r="D999" t="s">
        <v>3940</v>
      </c>
      <c r="E999" t="s">
        <v>3941</v>
      </c>
      <c r="F999" t="s">
        <v>3941</v>
      </c>
    </row>
    <row r="1000" spans="1:6">
      <c r="A1000" s="95">
        <v>45191</v>
      </c>
      <c r="B1000" t="s">
        <v>3942</v>
      </c>
      <c r="C1000" t="s">
        <v>3943</v>
      </c>
      <c r="D1000" t="s">
        <v>3944</v>
      </c>
      <c r="E1000" t="s">
        <v>3945</v>
      </c>
      <c r="F1000" t="s">
        <v>3945</v>
      </c>
    </row>
    <row r="1001" spans="1:6">
      <c r="A1001" s="95">
        <v>45192</v>
      </c>
      <c r="B1001" t="s">
        <v>3946</v>
      </c>
      <c r="C1001" t="s">
        <v>3947</v>
      </c>
      <c r="D1001" t="s">
        <v>3948</v>
      </c>
      <c r="E1001" t="s">
        <v>3949</v>
      </c>
      <c r="F1001" t="s">
        <v>3949</v>
      </c>
    </row>
    <row r="1002" spans="1:6">
      <c r="A1002" s="95">
        <v>45193</v>
      </c>
      <c r="B1002" t="s">
        <v>3950</v>
      </c>
      <c r="C1002" t="s">
        <v>3951</v>
      </c>
      <c r="D1002" t="s">
        <v>3952</v>
      </c>
      <c r="E1002" t="s">
        <v>3953</v>
      </c>
      <c r="F1002" t="s">
        <v>3953</v>
      </c>
    </row>
    <row r="1003" spans="1:6">
      <c r="A1003" s="95">
        <v>45194</v>
      </c>
      <c r="B1003" t="s">
        <v>3954</v>
      </c>
      <c r="C1003" t="s">
        <v>3955</v>
      </c>
      <c r="D1003" t="s">
        <v>3956</v>
      </c>
      <c r="E1003" t="s">
        <v>3957</v>
      </c>
      <c r="F1003" t="s">
        <v>3957</v>
      </c>
    </row>
    <row r="1004" spans="1:6">
      <c r="A1004" s="95">
        <v>45195</v>
      </c>
      <c r="B1004" t="s">
        <v>3958</v>
      </c>
      <c r="C1004" t="s">
        <v>3959</v>
      </c>
      <c r="D1004" t="s">
        <v>3960</v>
      </c>
      <c r="E1004" t="s">
        <v>3961</v>
      </c>
      <c r="F1004" t="s">
        <v>3961</v>
      </c>
    </row>
    <row r="1005" spans="1:6">
      <c r="A1005" s="95">
        <v>45196</v>
      </c>
      <c r="B1005" t="s">
        <v>3962</v>
      </c>
      <c r="C1005" t="s">
        <v>3963</v>
      </c>
      <c r="D1005" t="s">
        <v>3964</v>
      </c>
      <c r="E1005" t="s">
        <v>3965</v>
      </c>
      <c r="F1005" t="s">
        <v>3965</v>
      </c>
    </row>
    <row r="1006" spans="1:6">
      <c r="A1006" s="95">
        <v>45197</v>
      </c>
      <c r="B1006" t="s">
        <v>3966</v>
      </c>
      <c r="C1006" t="s">
        <v>3967</v>
      </c>
      <c r="D1006" t="s">
        <v>3968</v>
      </c>
      <c r="E1006" t="s">
        <v>3969</v>
      </c>
      <c r="F1006" t="s">
        <v>3969</v>
      </c>
    </row>
    <row r="1007" spans="1:6">
      <c r="A1007" s="95">
        <v>45198</v>
      </c>
      <c r="B1007" t="s">
        <v>3970</v>
      </c>
      <c r="C1007" t="s">
        <v>3971</v>
      </c>
      <c r="D1007" t="s">
        <v>3972</v>
      </c>
      <c r="E1007" t="s">
        <v>3973</v>
      </c>
      <c r="F1007" t="s">
        <v>3973</v>
      </c>
    </row>
    <row r="1008" spans="1:6">
      <c r="A1008" s="95">
        <v>45199</v>
      </c>
      <c r="B1008" t="s">
        <v>3974</v>
      </c>
      <c r="C1008" t="s">
        <v>3975</v>
      </c>
      <c r="D1008" t="s">
        <v>3976</v>
      </c>
      <c r="E1008" t="s">
        <v>3977</v>
      </c>
      <c r="F1008" t="s">
        <v>3977</v>
      </c>
    </row>
    <row r="1009" spans="1:6">
      <c r="A1009" s="95">
        <v>45200</v>
      </c>
      <c r="B1009" t="s">
        <v>3978</v>
      </c>
      <c r="C1009" t="s">
        <v>3979</v>
      </c>
      <c r="D1009" t="s">
        <v>3980</v>
      </c>
      <c r="E1009" t="s">
        <v>3981</v>
      </c>
      <c r="F1009" t="s">
        <v>3981</v>
      </c>
    </row>
    <row r="1010" spans="1:6">
      <c r="A1010" s="95">
        <v>45201</v>
      </c>
      <c r="B1010" t="s">
        <v>3982</v>
      </c>
      <c r="C1010" t="s">
        <v>3983</v>
      </c>
      <c r="D1010" t="s">
        <v>3984</v>
      </c>
      <c r="E1010" t="s">
        <v>3985</v>
      </c>
      <c r="F1010" t="s">
        <v>3985</v>
      </c>
    </row>
    <row r="1011" spans="1:6">
      <c r="A1011" s="95">
        <v>45202</v>
      </c>
      <c r="B1011" t="s">
        <v>3986</v>
      </c>
      <c r="C1011" t="s">
        <v>3987</v>
      </c>
      <c r="D1011" t="s">
        <v>3988</v>
      </c>
      <c r="E1011" t="s">
        <v>3989</v>
      </c>
      <c r="F1011" t="s">
        <v>3989</v>
      </c>
    </row>
    <row r="1012" spans="1:6">
      <c r="A1012" s="95">
        <v>45203</v>
      </c>
      <c r="B1012" t="s">
        <v>3990</v>
      </c>
      <c r="C1012" t="s">
        <v>3991</v>
      </c>
      <c r="D1012" t="s">
        <v>3992</v>
      </c>
      <c r="E1012" t="s">
        <v>3993</v>
      </c>
      <c r="F1012" t="s">
        <v>3993</v>
      </c>
    </row>
    <row r="1013" spans="1:6">
      <c r="A1013" s="95">
        <v>45204</v>
      </c>
      <c r="B1013" t="s">
        <v>3994</v>
      </c>
      <c r="C1013" t="s">
        <v>3995</v>
      </c>
      <c r="D1013" t="s">
        <v>3451</v>
      </c>
      <c r="E1013" t="s">
        <v>3996</v>
      </c>
      <c r="F1013" t="s">
        <v>3996</v>
      </c>
    </row>
    <row r="1014" spans="1:6">
      <c r="A1014" s="95">
        <v>45205</v>
      </c>
      <c r="B1014" t="s">
        <v>3997</v>
      </c>
      <c r="C1014" t="s">
        <v>3998</v>
      </c>
      <c r="D1014" t="s">
        <v>3999</v>
      </c>
      <c r="E1014" t="s">
        <v>4000</v>
      </c>
      <c r="F1014" t="s">
        <v>4000</v>
      </c>
    </row>
    <row r="1015" spans="1:6">
      <c r="A1015" s="95">
        <v>45206</v>
      </c>
      <c r="B1015" t="s">
        <v>4001</v>
      </c>
      <c r="C1015" t="s">
        <v>4002</v>
      </c>
      <c r="D1015" t="s">
        <v>4003</v>
      </c>
      <c r="E1015" t="s">
        <v>4004</v>
      </c>
      <c r="F1015" t="s">
        <v>4004</v>
      </c>
    </row>
    <row r="1016" spans="1:6">
      <c r="A1016" s="95">
        <v>45207</v>
      </c>
      <c r="B1016" t="s">
        <v>4005</v>
      </c>
      <c r="C1016" t="s">
        <v>4006</v>
      </c>
      <c r="D1016" t="s">
        <v>4007</v>
      </c>
      <c r="E1016" t="s">
        <v>4008</v>
      </c>
      <c r="F1016" t="s">
        <v>4008</v>
      </c>
    </row>
    <row r="1017" spans="1:6">
      <c r="A1017" s="95">
        <v>45208</v>
      </c>
      <c r="B1017" t="s">
        <v>4009</v>
      </c>
      <c r="C1017" t="s">
        <v>4010</v>
      </c>
      <c r="D1017" t="s">
        <v>4011</v>
      </c>
      <c r="E1017" t="s">
        <v>4012</v>
      </c>
      <c r="F1017" t="s">
        <v>4012</v>
      </c>
    </row>
    <row r="1018" spans="1:6">
      <c r="A1018" s="95">
        <v>45209</v>
      </c>
      <c r="B1018" t="s">
        <v>4013</v>
      </c>
      <c r="C1018" t="s">
        <v>4014</v>
      </c>
      <c r="D1018" t="s">
        <v>4015</v>
      </c>
      <c r="E1018" t="s">
        <v>4016</v>
      </c>
      <c r="F1018" t="s">
        <v>4016</v>
      </c>
    </row>
    <row r="1019" spans="1:6">
      <c r="A1019" s="95">
        <v>45210</v>
      </c>
      <c r="B1019" t="s">
        <v>4017</v>
      </c>
      <c r="C1019" t="s">
        <v>4018</v>
      </c>
      <c r="D1019" t="s">
        <v>4019</v>
      </c>
      <c r="E1019" t="s">
        <v>4020</v>
      </c>
      <c r="F1019" t="s">
        <v>4020</v>
      </c>
    </row>
    <row r="1020" spans="1:6">
      <c r="A1020" s="95">
        <v>45211</v>
      </c>
      <c r="B1020" t="s">
        <v>4021</v>
      </c>
      <c r="C1020" t="s">
        <v>4022</v>
      </c>
      <c r="D1020" t="s">
        <v>4023</v>
      </c>
      <c r="E1020" t="s">
        <v>4024</v>
      </c>
      <c r="F1020" t="s">
        <v>4024</v>
      </c>
    </row>
    <row r="1021" spans="1:6">
      <c r="A1021" s="95">
        <v>45212</v>
      </c>
      <c r="B1021" t="s">
        <v>4025</v>
      </c>
      <c r="C1021" t="s">
        <v>4026</v>
      </c>
      <c r="D1021" t="s">
        <v>4027</v>
      </c>
      <c r="E1021" t="s">
        <v>4028</v>
      </c>
      <c r="F1021" t="s">
        <v>4028</v>
      </c>
    </row>
    <row r="1022" spans="1:6">
      <c r="A1022" s="95">
        <v>45213</v>
      </c>
      <c r="B1022" t="s">
        <v>4029</v>
      </c>
      <c r="C1022" t="s">
        <v>4030</v>
      </c>
      <c r="D1022" t="s">
        <v>4031</v>
      </c>
      <c r="E1022" t="s">
        <v>4032</v>
      </c>
      <c r="F1022" t="s">
        <v>4032</v>
      </c>
    </row>
    <row r="1023" spans="1:6">
      <c r="A1023" s="95">
        <v>45214</v>
      </c>
      <c r="B1023" t="s">
        <v>4033</v>
      </c>
      <c r="C1023" t="s">
        <v>4034</v>
      </c>
      <c r="D1023" t="s">
        <v>4035</v>
      </c>
      <c r="E1023" t="s">
        <v>4036</v>
      </c>
      <c r="F1023" t="s">
        <v>4036</v>
      </c>
    </row>
    <row r="1024" spans="1:6">
      <c r="A1024" s="95">
        <v>45215</v>
      </c>
      <c r="B1024" t="s">
        <v>4037</v>
      </c>
      <c r="C1024" t="s">
        <v>4038</v>
      </c>
      <c r="D1024" t="s">
        <v>4039</v>
      </c>
      <c r="E1024" t="s">
        <v>4040</v>
      </c>
      <c r="F1024" t="s">
        <v>4040</v>
      </c>
    </row>
    <row r="1025" spans="1:6">
      <c r="A1025" s="95">
        <v>45216</v>
      </c>
      <c r="B1025" t="s">
        <v>4041</v>
      </c>
      <c r="C1025" t="s">
        <v>4042</v>
      </c>
      <c r="D1025" t="s">
        <v>4043</v>
      </c>
      <c r="E1025" t="s">
        <v>4044</v>
      </c>
      <c r="F1025" t="s">
        <v>4044</v>
      </c>
    </row>
    <row r="1026" spans="1:6">
      <c r="A1026" s="95">
        <v>45217</v>
      </c>
      <c r="B1026" t="s">
        <v>4045</v>
      </c>
      <c r="C1026" t="s">
        <v>4046</v>
      </c>
      <c r="D1026" t="s">
        <v>4047</v>
      </c>
      <c r="E1026" t="s">
        <v>4048</v>
      </c>
      <c r="F1026" t="s">
        <v>4048</v>
      </c>
    </row>
    <row r="1027" spans="1:6">
      <c r="A1027" s="95">
        <v>45218</v>
      </c>
      <c r="B1027" t="s">
        <v>4049</v>
      </c>
      <c r="C1027" t="s">
        <v>4050</v>
      </c>
      <c r="D1027" t="s">
        <v>4051</v>
      </c>
      <c r="E1027" t="s">
        <v>4052</v>
      </c>
      <c r="F1027" t="s">
        <v>4052</v>
      </c>
    </row>
    <row r="1028" spans="1:6">
      <c r="A1028" s="95">
        <v>45219</v>
      </c>
      <c r="B1028" t="s">
        <v>4053</v>
      </c>
      <c r="C1028" t="s">
        <v>4054</v>
      </c>
      <c r="D1028" t="s">
        <v>4055</v>
      </c>
      <c r="E1028" t="s">
        <v>4056</v>
      </c>
      <c r="F1028" t="s">
        <v>4056</v>
      </c>
    </row>
    <row r="1029" spans="1:6">
      <c r="A1029" s="95">
        <v>45220</v>
      </c>
      <c r="B1029" t="s">
        <v>4057</v>
      </c>
      <c r="C1029" t="s">
        <v>4058</v>
      </c>
      <c r="D1029" t="s">
        <v>4059</v>
      </c>
      <c r="E1029" t="s">
        <v>4060</v>
      </c>
      <c r="F1029" t="s">
        <v>4060</v>
      </c>
    </row>
    <row r="1030" spans="1:6">
      <c r="A1030" s="95">
        <v>45221</v>
      </c>
      <c r="B1030" t="s">
        <v>4061</v>
      </c>
      <c r="C1030" t="s">
        <v>4062</v>
      </c>
      <c r="D1030" t="s">
        <v>4063</v>
      </c>
      <c r="E1030" t="s">
        <v>4064</v>
      </c>
      <c r="F1030" t="s">
        <v>4064</v>
      </c>
    </row>
    <row r="1031" spans="1:6">
      <c r="A1031" s="95">
        <v>45222</v>
      </c>
      <c r="B1031" t="s">
        <v>4065</v>
      </c>
      <c r="C1031" t="s">
        <v>4066</v>
      </c>
      <c r="D1031" t="s">
        <v>4067</v>
      </c>
      <c r="E1031" t="s">
        <v>4068</v>
      </c>
      <c r="F1031" t="s">
        <v>4068</v>
      </c>
    </row>
    <row r="1032" spans="1:6">
      <c r="A1032" s="95">
        <v>45223</v>
      </c>
      <c r="B1032" t="s">
        <v>4069</v>
      </c>
      <c r="C1032" t="s">
        <v>4070</v>
      </c>
      <c r="D1032" t="s">
        <v>4071</v>
      </c>
      <c r="E1032" t="s">
        <v>4072</v>
      </c>
      <c r="F1032" t="s">
        <v>4072</v>
      </c>
    </row>
    <row r="1033" spans="1:6">
      <c r="A1033" s="95">
        <v>45224</v>
      </c>
      <c r="B1033" t="s">
        <v>4073</v>
      </c>
      <c r="C1033" t="s">
        <v>4074</v>
      </c>
      <c r="D1033" t="s">
        <v>4075</v>
      </c>
      <c r="E1033" t="s">
        <v>4076</v>
      </c>
      <c r="F1033" t="s">
        <v>4076</v>
      </c>
    </row>
    <row r="1034" spans="1:6">
      <c r="A1034" s="95">
        <v>45226</v>
      </c>
      <c r="B1034" t="s">
        <v>4077</v>
      </c>
      <c r="C1034" t="s">
        <v>4078</v>
      </c>
      <c r="D1034" t="s">
        <v>4079</v>
      </c>
      <c r="E1034" t="s">
        <v>4080</v>
      </c>
      <c r="F1034" t="s">
        <v>4080</v>
      </c>
    </row>
    <row r="1035" spans="1:6">
      <c r="A1035" s="95">
        <v>45227</v>
      </c>
      <c r="B1035" t="s">
        <v>4081</v>
      </c>
      <c r="C1035" t="s">
        <v>4082</v>
      </c>
      <c r="D1035" t="s">
        <v>4083</v>
      </c>
      <c r="E1035" t="s">
        <v>4084</v>
      </c>
      <c r="F1035" t="s">
        <v>4084</v>
      </c>
    </row>
    <row r="1036" spans="1:6">
      <c r="A1036" s="95">
        <v>45228</v>
      </c>
      <c r="B1036" t="s">
        <v>4085</v>
      </c>
      <c r="C1036" t="s">
        <v>4086</v>
      </c>
      <c r="D1036" t="s">
        <v>4087</v>
      </c>
      <c r="E1036" t="s">
        <v>4088</v>
      </c>
      <c r="F1036" t="s">
        <v>4088</v>
      </c>
    </row>
    <row r="1037" spans="1:6">
      <c r="A1037" s="95">
        <v>45229</v>
      </c>
      <c r="B1037" t="s">
        <v>4089</v>
      </c>
      <c r="C1037" t="s">
        <v>4090</v>
      </c>
      <c r="D1037" t="s">
        <v>4091</v>
      </c>
      <c r="E1037" t="s">
        <v>4092</v>
      </c>
      <c r="F1037" t="s">
        <v>4092</v>
      </c>
    </row>
    <row r="1038" spans="1:6">
      <c r="A1038" s="95">
        <v>45230</v>
      </c>
      <c r="B1038" t="s">
        <v>4093</v>
      </c>
      <c r="C1038" t="s">
        <v>4094</v>
      </c>
      <c r="D1038" t="s">
        <v>4095</v>
      </c>
      <c r="E1038" t="s">
        <v>4096</v>
      </c>
      <c r="F1038" t="s">
        <v>4096</v>
      </c>
    </row>
    <row r="1039" spans="1:6">
      <c r="A1039" s="95">
        <v>45231</v>
      </c>
      <c r="B1039" t="s">
        <v>4097</v>
      </c>
      <c r="C1039" t="s">
        <v>4098</v>
      </c>
      <c r="D1039" t="s">
        <v>4099</v>
      </c>
      <c r="E1039" t="s">
        <v>4100</v>
      </c>
      <c r="F1039" t="s">
        <v>4100</v>
      </c>
    </row>
    <row r="1040" spans="1:6">
      <c r="A1040" s="95">
        <v>45232</v>
      </c>
      <c r="B1040" t="s">
        <v>4101</v>
      </c>
      <c r="C1040" t="s">
        <v>4102</v>
      </c>
      <c r="D1040" t="s">
        <v>4103</v>
      </c>
      <c r="E1040" t="s">
        <v>4104</v>
      </c>
      <c r="F1040" t="s">
        <v>4104</v>
      </c>
    </row>
    <row r="1041" spans="1:6">
      <c r="A1041" s="95">
        <v>45233</v>
      </c>
      <c r="B1041" t="s">
        <v>4105</v>
      </c>
      <c r="C1041" t="s">
        <v>4105</v>
      </c>
      <c r="D1041" t="s">
        <v>4106</v>
      </c>
      <c r="E1041" t="s">
        <v>4107</v>
      </c>
      <c r="F1041" t="s">
        <v>4107</v>
      </c>
    </row>
    <row r="1042" spans="1:6">
      <c r="A1042" s="95">
        <v>45234</v>
      </c>
      <c r="B1042" t="s">
        <v>4108</v>
      </c>
      <c r="C1042" t="s">
        <v>4109</v>
      </c>
      <c r="D1042" t="s">
        <v>4110</v>
      </c>
      <c r="E1042" t="s">
        <v>4111</v>
      </c>
      <c r="F1042" t="s">
        <v>4111</v>
      </c>
    </row>
    <row r="1043" spans="1:6">
      <c r="A1043" s="95">
        <v>45235</v>
      </c>
      <c r="B1043" t="s">
        <v>4112</v>
      </c>
      <c r="C1043" t="s">
        <v>4113</v>
      </c>
      <c r="D1043" t="s">
        <v>4114</v>
      </c>
      <c r="E1043" t="s">
        <v>4115</v>
      </c>
      <c r="F1043" t="s">
        <v>4115</v>
      </c>
    </row>
    <row r="1044" spans="1:6">
      <c r="A1044" s="95">
        <v>45236</v>
      </c>
      <c r="B1044" t="s">
        <v>4116</v>
      </c>
      <c r="C1044" t="s">
        <v>4117</v>
      </c>
      <c r="D1044" t="s">
        <v>4118</v>
      </c>
      <c r="E1044" t="s">
        <v>4119</v>
      </c>
      <c r="F1044" t="s">
        <v>4119</v>
      </c>
    </row>
    <row r="1045" spans="1:6">
      <c r="A1045" s="95">
        <v>45237</v>
      </c>
      <c r="B1045" t="s">
        <v>4120</v>
      </c>
      <c r="C1045" t="s">
        <v>4121</v>
      </c>
      <c r="D1045" t="s">
        <v>4122</v>
      </c>
      <c r="E1045" t="s">
        <v>4123</v>
      </c>
      <c r="F1045" t="s">
        <v>4123</v>
      </c>
    </row>
    <row r="1046" spans="1:6">
      <c r="A1046" s="95">
        <v>45238</v>
      </c>
      <c r="B1046" t="s">
        <v>4124</v>
      </c>
      <c r="C1046" t="s">
        <v>4125</v>
      </c>
      <c r="D1046" t="s">
        <v>4126</v>
      </c>
      <c r="E1046" t="s">
        <v>4127</v>
      </c>
      <c r="F1046" t="s">
        <v>4127</v>
      </c>
    </row>
    <row r="1047" spans="1:6">
      <c r="A1047" s="95">
        <v>45239</v>
      </c>
      <c r="B1047" t="s">
        <v>4128</v>
      </c>
      <c r="C1047" t="s">
        <v>4129</v>
      </c>
      <c r="D1047" t="s">
        <v>4130</v>
      </c>
      <c r="E1047" t="s">
        <v>4131</v>
      </c>
      <c r="F1047" t="s">
        <v>4131</v>
      </c>
    </row>
    <row r="1048" spans="1:6">
      <c r="A1048" s="95">
        <v>45240</v>
      </c>
      <c r="B1048" t="s">
        <v>4132</v>
      </c>
      <c r="C1048" t="s">
        <v>4133</v>
      </c>
      <c r="D1048" t="s">
        <v>4134</v>
      </c>
      <c r="E1048" t="s">
        <v>4135</v>
      </c>
      <c r="F1048" t="s">
        <v>4135</v>
      </c>
    </row>
    <row r="1049" spans="1:6">
      <c r="A1049" s="95">
        <v>45241</v>
      </c>
      <c r="B1049" t="s">
        <v>4136</v>
      </c>
      <c r="C1049" t="s">
        <v>4137</v>
      </c>
      <c r="D1049" t="s">
        <v>4138</v>
      </c>
      <c r="E1049" t="s">
        <v>4139</v>
      </c>
      <c r="F1049" t="s">
        <v>4139</v>
      </c>
    </row>
    <row r="1050" spans="1:6">
      <c r="A1050" s="95">
        <v>45242</v>
      </c>
      <c r="B1050" t="s">
        <v>4140</v>
      </c>
      <c r="C1050" t="s">
        <v>4141</v>
      </c>
      <c r="D1050" t="s">
        <v>4142</v>
      </c>
      <c r="E1050" t="s">
        <v>4143</v>
      </c>
      <c r="F1050" t="s">
        <v>4143</v>
      </c>
    </row>
    <row r="1051" spans="1:6">
      <c r="A1051" s="95">
        <v>45243</v>
      </c>
      <c r="B1051" t="s">
        <v>4144</v>
      </c>
      <c r="C1051" t="s">
        <v>4145</v>
      </c>
      <c r="D1051" t="s">
        <v>4146</v>
      </c>
      <c r="E1051" t="s">
        <v>4147</v>
      </c>
      <c r="F1051" t="s">
        <v>4147</v>
      </c>
    </row>
    <row r="1052" spans="1:6">
      <c r="A1052" s="95">
        <v>45244</v>
      </c>
      <c r="B1052" t="s">
        <v>4148</v>
      </c>
      <c r="C1052" t="s">
        <v>4149</v>
      </c>
      <c r="D1052" t="s">
        <v>4150</v>
      </c>
      <c r="E1052" t="s">
        <v>4151</v>
      </c>
      <c r="F1052" t="s">
        <v>4151</v>
      </c>
    </row>
    <row r="1053" spans="1:6">
      <c r="A1053" s="95">
        <v>45245</v>
      </c>
      <c r="B1053" t="s">
        <v>4152</v>
      </c>
      <c r="C1053" t="s">
        <v>4153</v>
      </c>
      <c r="D1053" t="s">
        <v>4154</v>
      </c>
      <c r="E1053" t="s">
        <v>4155</v>
      </c>
      <c r="F1053" t="s">
        <v>4155</v>
      </c>
    </row>
    <row r="1054" spans="1:6">
      <c r="A1054" s="95">
        <v>45246</v>
      </c>
      <c r="B1054" t="s">
        <v>4156</v>
      </c>
      <c r="C1054" t="s">
        <v>4157</v>
      </c>
      <c r="D1054" t="s">
        <v>4158</v>
      </c>
      <c r="E1054" t="s">
        <v>4159</v>
      </c>
      <c r="F1054" t="s">
        <v>4159</v>
      </c>
    </row>
    <row r="1055" spans="1:6">
      <c r="A1055" s="95">
        <v>45247</v>
      </c>
      <c r="B1055" t="s">
        <v>4160</v>
      </c>
      <c r="C1055" t="s">
        <v>4161</v>
      </c>
      <c r="D1055" t="s">
        <v>4162</v>
      </c>
      <c r="E1055" t="s">
        <v>4163</v>
      </c>
      <c r="F1055" t="s">
        <v>4163</v>
      </c>
    </row>
    <row r="1056" spans="1:6">
      <c r="A1056" s="95">
        <v>45248</v>
      </c>
      <c r="B1056" t="s">
        <v>4164</v>
      </c>
      <c r="C1056" t="s">
        <v>4165</v>
      </c>
      <c r="D1056" t="s">
        <v>4166</v>
      </c>
      <c r="E1056" t="s">
        <v>4167</v>
      </c>
      <c r="F1056" t="s">
        <v>4167</v>
      </c>
    </row>
    <row r="1057" spans="1:6">
      <c r="A1057" s="95">
        <v>45249</v>
      </c>
      <c r="B1057" t="s">
        <v>4168</v>
      </c>
      <c r="C1057" t="s">
        <v>4169</v>
      </c>
      <c r="D1057" t="s">
        <v>4170</v>
      </c>
      <c r="E1057" t="s">
        <v>4171</v>
      </c>
      <c r="F1057" t="s">
        <v>4171</v>
      </c>
    </row>
    <row r="1058" spans="1:6">
      <c r="A1058" s="95">
        <v>45250</v>
      </c>
      <c r="B1058" t="s">
        <v>4172</v>
      </c>
      <c r="C1058" t="s">
        <v>4173</v>
      </c>
      <c r="D1058" t="s">
        <v>4174</v>
      </c>
      <c r="E1058" t="s">
        <v>4175</v>
      </c>
      <c r="F1058" t="s">
        <v>4175</v>
      </c>
    </row>
    <row r="1059" spans="1:6">
      <c r="A1059" s="95">
        <v>45251</v>
      </c>
      <c r="B1059" t="s">
        <v>4176</v>
      </c>
      <c r="C1059" t="s">
        <v>4177</v>
      </c>
      <c r="D1059" t="s">
        <v>4178</v>
      </c>
      <c r="E1059" t="s">
        <v>4178</v>
      </c>
      <c r="F1059" t="s">
        <v>4178</v>
      </c>
    </row>
    <row r="1060" spans="1:6">
      <c r="A1060" s="95">
        <v>45252</v>
      </c>
      <c r="B1060" t="s">
        <v>4179</v>
      </c>
      <c r="C1060" t="s">
        <v>4180</v>
      </c>
      <c r="D1060" t="s">
        <v>4181</v>
      </c>
      <c r="E1060" t="s">
        <v>4182</v>
      </c>
      <c r="F1060" t="s">
        <v>4182</v>
      </c>
    </row>
    <row r="1061" spans="1:6">
      <c r="A1061" s="95">
        <v>45253</v>
      </c>
      <c r="B1061" t="s">
        <v>4183</v>
      </c>
      <c r="C1061" t="s">
        <v>4184</v>
      </c>
      <c r="D1061" t="s">
        <v>4185</v>
      </c>
      <c r="E1061" t="s">
        <v>4186</v>
      </c>
      <c r="F1061" t="s">
        <v>4186</v>
      </c>
    </row>
    <row r="1062" spans="1:6">
      <c r="A1062" s="95">
        <v>45254</v>
      </c>
      <c r="B1062" t="s">
        <v>4187</v>
      </c>
      <c r="C1062" t="s">
        <v>4188</v>
      </c>
      <c r="D1062" t="s">
        <v>4189</v>
      </c>
      <c r="E1062" t="s">
        <v>4190</v>
      </c>
      <c r="F1062" t="s">
        <v>4190</v>
      </c>
    </row>
    <row r="1063" spans="1:6">
      <c r="A1063" s="95">
        <v>45255</v>
      </c>
      <c r="B1063" t="s">
        <v>4191</v>
      </c>
      <c r="C1063" t="s">
        <v>4192</v>
      </c>
      <c r="D1063" t="s">
        <v>4193</v>
      </c>
      <c r="E1063" t="s">
        <v>4194</v>
      </c>
      <c r="F1063" t="s">
        <v>4194</v>
      </c>
    </row>
    <row r="1064" spans="1:6">
      <c r="A1064" s="95">
        <v>45256</v>
      </c>
      <c r="B1064" t="s">
        <v>4195</v>
      </c>
      <c r="C1064" t="s">
        <v>4196</v>
      </c>
      <c r="D1064" t="s">
        <v>4197</v>
      </c>
      <c r="E1064" t="s">
        <v>4198</v>
      </c>
      <c r="F1064" t="s">
        <v>4198</v>
      </c>
    </row>
    <row r="1065" spans="1:6">
      <c r="A1065" s="95">
        <v>45257</v>
      </c>
      <c r="B1065" t="s">
        <v>4199</v>
      </c>
      <c r="C1065" t="s">
        <v>4200</v>
      </c>
      <c r="D1065" t="s">
        <v>4201</v>
      </c>
      <c r="E1065" t="s">
        <v>4202</v>
      </c>
      <c r="F1065" t="s">
        <v>4202</v>
      </c>
    </row>
    <row r="1066" spans="1:6">
      <c r="A1066" s="95">
        <v>45258</v>
      </c>
      <c r="B1066" t="s">
        <v>4203</v>
      </c>
      <c r="C1066" t="s">
        <v>4204</v>
      </c>
      <c r="D1066" t="s">
        <v>4205</v>
      </c>
      <c r="E1066" t="s">
        <v>4206</v>
      </c>
      <c r="F1066" t="s">
        <v>4206</v>
      </c>
    </row>
    <row r="1067" spans="1:6">
      <c r="A1067" s="95">
        <v>45259</v>
      </c>
      <c r="B1067" t="s">
        <v>4207</v>
      </c>
      <c r="C1067" t="s">
        <v>4208</v>
      </c>
      <c r="D1067" t="s">
        <v>4209</v>
      </c>
      <c r="E1067" t="s">
        <v>4210</v>
      </c>
      <c r="F1067" t="s">
        <v>4210</v>
      </c>
    </row>
    <row r="1068" spans="1:6">
      <c r="A1068" s="95">
        <v>45260</v>
      </c>
      <c r="B1068" t="s">
        <v>4211</v>
      </c>
      <c r="C1068" t="s">
        <v>4212</v>
      </c>
      <c r="D1068" t="s">
        <v>4213</v>
      </c>
      <c r="E1068" t="s">
        <v>4214</v>
      </c>
      <c r="F1068" t="s">
        <v>4214</v>
      </c>
    </row>
    <row r="1069" spans="1:6">
      <c r="A1069" s="95">
        <v>45261</v>
      </c>
      <c r="B1069" t="s">
        <v>4215</v>
      </c>
      <c r="C1069" t="s">
        <v>4216</v>
      </c>
      <c r="D1069" t="s">
        <v>4217</v>
      </c>
      <c r="E1069" t="s">
        <v>4218</v>
      </c>
      <c r="F1069" t="s">
        <v>4218</v>
      </c>
    </row>
    <row r="1070" spans="1:6">
      <c r="A1070" s="95">
        <v>45262</v>
      </c>
      <c r="B1070" t="s">
        <v>4219</v>
      </c>
      <c r="C1070" t="s">
        <v>4220</v>
      </c>
      <c r="D1070" t="s">
        <v>4221</v>
      </c>
      <c r="E1070" t="s">
        <v>4222</v>
      </c>
      <c r="F1070" t="s">
        <v>4222</v>
      </c>
    </row>
    <row r="1071" spans="1:6">
      <c r="A1071" s="95">
        <v>45263</v>
      </c>
      <c r="B1071" t="s">
        <v>4223</v>
      </c>
      <c r="C1071" t="s">
        <v>4224</v>
      </c>
      <c r="D1071" t="s">
        <v>4225</v>
      </c>
      <c r="E1071" t="s">
        <v>4226</v>
      </c>
      <c r="F1071" t="s">
        <v>4226</v>
      </c>
    </row>
    <row r="1072" spans="1:6">
      <c r="A1072" s="95">
        <v>45264</v>
      </c>
      <c r="B1072" t="s">
        <v>4227</v>
      </c>
      <c r="C1072" t="s">
        <v>4228</v>
      </c>
      <c r="D1072" t="s">
        <v>4227</v>
      </c>
      <c r="E1072" t="s">
        <v>4229</v>
      </c>
      <c r="F1072" t="s">
        <v>4229</v>
      </c>
    </row>
    <row r="1073" spans="1:6">
      <c r="A1073" s="95">
        <v>45265</v>
      </c>
      <c r="B1073" t="s">
        <v>4230</v>
      </c>
      <c r="C1073" t="s">
        <v>4231</v>
      </c>
      <c r="D1073" t="s">
        <v>4232</v>
      </c>
      <c r="E1073" t="s">
        <v>4233</v>
      </c>
      <c r="F1073" t="s">
        <v>4233</v>
      </c>
    </row>
    <row r="1074" spans="1:6">
      <c r="A1074" s="95">
        <v>45266</v>
      </c>
      <c r="B1074" t="s">
        <v>4234</v>
      </c>
      <c r="C1074" t="s">
        <v>4235</v>
      </c>
      <c r="D1074" t="s">
        <v>4236</v>
      </c>
      <c r="E1074" t="s">
        <v>4237</v>
      </c>
      <c r="F1074" t="s">
        <v>4237</v>
      </c>
    </row>
    <row r="1075" spans="1:6">
      <c r="A1075" s="95">
        <v>45267</v>
      </c>
      <c r="B1075" t="s">
        <v>4238</v>
      </c>
      <c r="C1075" t="s">
        <v>4239</v>
      </c>
      <c r="D1075" t="s">
        <v>4240</v>
      </c>
      <c r="E1075" t="s">
        <v>4241</v>
      </c>
      <c r="F1075" t="s">
        <v>4241</v>
      </c>
    </row>
    <row r="1076" spans="1:6">
      <c r="A1076" s="95">
        <v>45268</v>
      </c>
      <c r="B1076" t="s">
        <v>4242</v>
      </c>
      <c r="C1076" t="s">
        <v>4243</v>
      </c>
      <c r="D1076" t="s">
        <v>4244</v>
      </c>
      <c r="E1076" t="s">
        <v>4245</v>
      </c>
      <c r="F1076" t="s">
        <v>4245</v>
      </c>
    </row>
    <row r="1077" spans="1:6">
      <c r="A1077" s="95">
        <v>45269</v>
      </c>
      <c r="B1077" t="s">
        <v>4246</v>
      </c>
      <c r="C1077" t="s">
        <v>4247</v>
      </c>
      <c r="D1077" t="s">
        <v>4248</v>
      </c>
      <c r="E1077" t="s">
        <v>4249</v>
      </c>
      <c r="F1077" t="s">
        <v>4249</v>
      </c>
    </row>
    <row r="1078" spans="1:6">
      <c r="A1078" s="95">
        <v>45270</v>
      </c>
      <c r="B1078" t="s">
        <v>4250</v>
      </c>
      <c r="C1078" t="s">
        <v>4251</v>
      </c>
      <c r="D1078" t="s">
        <v>4252</v>
      </c>
      <c r="E1078" t="s">
        <v>4253</v>
      </c>
      <c r="F1078" t="s">
        <v>4253</v>
      </c>
    </row>
    <row r="1079" spans="1:6">
      <c r="A1079" s="95">
        <v>45271</v>
      </c>
      <c r="B1079" t="s">
        <v>4254</v>
      </c>
      <c r="C1079" t="s">
        <v>4255</v>
      </c>
      <c r="D1079" t="s">
        <v>4256</v>
      </c>
      <c r="E1079" t="s">
        <v>4257</v>
      </c>
      <c r="F1079" t="s">
        <v>4257</v>
      </c>
    </row>
    <row r="1080" spans="1:6">
      <c r="A1080" s="95">
        <v>45272</v>
      </c>
      <c r="B1080" t="s">
        <v>4258</v>
      </c>
      <c r="C1080" t="s">
        <v>4259</v>
      </c>
      <c r="D1080" t="s">
        <v>4260</v>
      </c>
      <c r="E1080" t="s">
        <v>4261</v>
      </c>
      <c r="F1080" t="s">
        <v>4261</v>
      </c>
    </row>
    <row r="1081" spans="1:6">
      <c r="A1081" s="95">
        <v>45273</v>
      </c>
      <c r="B1081" t="s">
        <v>4262</v>
      </c>
      <c r="C1081" t="s">
        <v>4263</v>
      </c>
      <c r="D1081" t="s">
        <v>4264</v>
      </c>
      <c r="E1081" t="s">
        <v>4265</v>
      </c>
      <c r="F1081" t="s">
        <v>4265</v>
      </c>
    </row>
    <row r="1082" spans="1:6">
      <c r="A1082" s="95">
        <v>45276</v>
      </c>
      <c r="B1082" t="s">
        <v>4266</v>
      </c>
      <c r="C1082" t="s">
        <v>4267</v>
      </c>
      <c r="D1082" t="s">
        <v>4268</v>
      </c>
      <c r="E1082" t="s">
        <v>4269</v>
      </c>
      <c r="F1082" t="s">
        <v>4269</v>
      </c>
    </row>
    <row r="1083" spans="1:6">
      <c r="A1083" s="95">
        <v>45277</v>
      </c>
      <c r="B1083" t="s">
        <v>4270</v>
      </c>
      <c r="C1083" t="s">
        <v>4271</v>
      </c>
      <c r="D1083" t="s">
        <v>4272</v>
      </c>
      <c r="E1083" t="s">
        <v>4273</v>
      </c>
      <c r="F1083" t="s">
        <v>4273</v>
      </c>
    </row>
    <row r="1084" spans="1:6">
      <c r="A1084" s="95">
        <v>45278</v>
      </c>
      <c r="B1084" t="s">
        <v>4274</v>
      </c>
      <c r="C1084" t="s">
        <v>4275</v>
      </c>
      <c r="D1084" t="s">
        <v>4276</v>
      </c>
      <c r="E1084" t="s">
        <v>4277</v>
      </c>
      <c r="F1084" t="s">
        <v>4277</v>
      </c>
    </row>
    <row r="1085" spans="1:6">
      <c r="A1085" s="95">
        <v>45279</v>
      </c>
      <c r="B1085" t="s">
        <v>4278</v>
      </c>
      <c r="C1085" t="s">
        <v>4279</v>
      </c>
      <c r="D1085" t="s">
        <v>4280</v>
      </c>
      <c r="E1085" t="s">
        <v>4281</v>
      </c>
      <c r="F1085" t="s">
        <v>4281</v>
      </c>
    </row>
    <row r="1086" spans="1:6">
      <c r="A1086" s="95">
        <v>45280</v>
      </c>
      <c r="B1086" t="s">
        <v>4282</v>
      </c>
      <c r="C1086" t="s">
        <v>4283</v>
      </c>
      <c r="D1086" t="s">
        <v>4284</v>
      </c>
      <c r="E1086" t="s">
        <v>4285</v>
      </c>
      <c r="F1086" t="s">
        <v>4285</v>
      </c>
    </row>
    <row r="1087" spans="1:6">
      <c r="A1087" s="95">
        <v>45281</v>
      </c>
      <c r="B1087" t="s">
        <v>4286</v>
      </c>
      <c r="C1087" t="s">
        <v>4287</v>
      </c>
      <c r="D1087" t="s">
        <v>4288</v>
      </c>
      <c r="E1087" t="s">
        <v>4289</v>
      </c>
      <c r="F1087" t="s">
        <v>4289</v>
      </c>
    </row>
    <row r="1088" spans="1:6">
      <c r="A1088" s="95">
        <v>45282</v>
      </c>
      <c r="B1088" t="s">
        <v>4290</v>
      </c>
      <c r="C1088" t="s">
        <v>4291</v>
      </c>
      <c r="D1088" t="s">
        <v>4292</v>
      </c>
      <c r="E1088" t="s">
        <v>4293</v>
      </c>
      <c r="F1088" t="s">
        <v>4293</v>
      </c>
    </row>
    <row r="1089" spans="1:6">
      <c r="A1089" s="95">
        <v>45283</v>
      </c>
      <c r="B1089" t="s">
        <v>4294</v>
      </c>
      <c r="C1089" t="s">
        <v>4295</v>
      </c>
      <c r="D1089" t="s">
        <v>4296</v>
      </c>
      <c r="E1089" t="s">
        <v>4297</v>
      </c>
      <c r="F1089" t="s">
        <v>4297</v>
      </c>
    </row>
    <row r="1090" spans="1:6">
      <c r="A1090" s="95">
        <v>45284</v>
      </c>
      <c r="B1090" t="s">
        <v>4298</v>
      </c>
      <c r="C1090" t="s">
        <v>4299</v>
      </c>
      <c r="D1090" t="s">
        <v>4300</v>
      </c>
      <c r="E1090" t="s">
        <v>4301</v>
      </c>
      <c r="F1090" t="s">
        <v>4301</v>
      </c>
    </row>
    <row r="1091" spans="1:6">
      <c r="A1091" s="95">
        <v>45285</v>
      </c>
      <c r="B1091" t="s">
        <v>4302</v>
      </c>
      <c r="C1091" t="s">
        <v>4303</v>
      </c>
      <c r="D1091" t="s">
        <v>4304</v>
      </c>
      <c r="E1091" t="s">
        <v>4305</v>
      </c>
      <c r="F1091" t="s">
        <v>4305</v>
      </c>
    </row>
    <row r="1092" spans="1:6">
      <c r="A1092" s="95">
        <v>45286</v>
      </c>
      <c r="B1092" t="s">
        <v>4306</v>
      </c>
      <c r="C1092" t="s">
        <v>4307</v>
      </c>
      <c r="D1092" t="s">
        <v>4308</v>
      </c>
      <c r="E1092" t="s">
        <v>4309</v>
      </c>
      <c r="F1092" t="s">
        <v>4309</v>
      </c>
    </row>
    <row r="1093" spans="1:6">
      <c r="A1093" s="95">
        <v>45287</v>
      </c>
      <c r="B1093" t="s">
        <v>4310</v>
      </c>
      <c r="C1093" t="s">
        <v>4311</v>
      </c>
      <c r="D1093" t="s">
        <v>4312</v>
      </c>
      <c r="E1093" t="s">
        <v>4313</v>
      </c>
      <c r="F1093" t="s">
        <v>4313</v>
      </c>
    </row>
    <row r="1094" spans="1:6">
      <c r="A1094" s="95">
        <v>45289</v>
      </c>
      <c r="B1094" t="s">
        <v>4314</v>
      </c>
      <c r="C1094" t="s">
        <v>4315</v>
      </c>
      <c r="D1094" t="s">
        <v>4316</v>
      </c>
      <c r="E1094" t="s">
        <v>4317</v>
      </c>
      <c r="F1094" t="s">
        <v>4317</v>
      </c>
    </row>
    <row r="1095" spans="1:6">
      <c r="A1095" s="95">
        <v>45290</v>
      </c>
      <c r="B1095" t="s">
        <v>4318</v>
      </c>
      <c r="C1095" t="s">
        <v>4319</v>
      </c>
      <c r="D1095" t="s">
        <v>4320</v>
      </c>
      <c r="E1095" t="s">
        <v>4321</v>
      </c>
      <c r="F1095" t="s">
        <v>4321</v>
      </c>
    </row>
    <row r="1096" spans="1:6">
      <c r="A1096" s="95">
        <v>45291</v>
      </c>
      <c r="B1096" t="s">
        <v>4322</v>
      </c>
      <c r="C1096" t="s">
        <v>4323</v>
      </c>
      <c r="D1096" t="s">
        <v>4324</v>
      </c>
      <c r="E1096" t="s">
        <v>4325</v>
      </c>
      <c r="F1096" t="s">
        <v>4325</v>
      </c>
    </row>
    <row r="1097" spans="1:6">
      <c r="A1097" s="95">
        <v>45292</v>
      </c>
      <c r="B1097" t="s">
        <v>4326</v>
      </c>
      <c r="C1097" t="s">
        <v>4327</v>
      </c>
      <c r="D1097" t="s">
        <v>4328</v>
      </c>
      <c r="E1097" t="s">
        <v>4329</v>
      </c>
      <c r="F1097" t="s">
        <v>4329</v>
      </c>
    </row>
    <row r="1098" spans="1:6">
      <c r="A1098" s="95">
        <v>45293</v>
      </c>
      <c r="B1098" t="s">
        <v>4330</v>
      </c>
      <c r="C1098" t="s">
        <v>4331</v>
      </c>
      <c r="D1098" t="s">
        <v>4332</v>
      </c>
      <c r="E1098" t="s">
        <v>4333</v>
      </c>
      <c r="F1098" t="s">
        <v>4333</v>
      </c>
    </row>
    <row r="1099" spans="1:6">
      <c r="A1099" s="95">
        <v>45294</v>
      </c>
      <c r="B1099" t="s">
        <v>4334</v>
      </c>
      <c r="C1099" t="s">
        <v>4335</v>
      </c>
      <c r="D1099" t="s">
        <v>4336</v>
      </c>
      <c r="E1099" t="s">
        <v>4337</v>
      </c>
      <c r="F1099" t="s">
        <v>4337</v>
      </c>
    </row>
    <row r="1100" spans="1:6">
      <c r="A1100" s="95">
        <v>45295</v>
      </c>
      <c r="B1100" t="s">
        <v>4338</v>
      </c>
      <c r="C1100" t="s">
        <v>4339</v>
      </c>
      <c r="D1100" t="s">
        <v>4340</v>
      </c>
      <c r="E1100" t="s">
        <v>4341</v>
      </c>
      <c r="F1100" t="s">
        <v>4341</v>
      </c>
    </row>
    <row r="1101" spans="1:6">
      <c r="A1101" s="95">
        <v>45296</v>
      </c>
      <c r="B1101" t="s">
        <v>4342</v>
      </c>
      <c r="C1101" t="s">
        <v>4343</v>
      </c>
      <c r="D1101" t="s">
        <v>4344</v>
      </c>
      <c r="E1101" t="s">
        <v>4345</v>
      </c>
      <c r="F1101" t="s">
        <v>4345</v>
      </c>
    </row>
    <row r="1102" spans="1:6">
      <c r="A1102" s="95">
        <v>45297</v>
      </c>
      <c r="B1102" t="s">
        <v>4346</v>
      </c>
      <c r="C1102" t="s">
        <v>4347</v>
      </c>
      <c r="D1102" t="s">
        <v>4348</v>
      </c>
      <c r="E1102" t="s">
        <v>4349</v>
      </c>
      <c r="F1102" t="s">
        <v>4349</v>
      </c>
    </row>
    <row r="1103" spans="1:6">
      <c r="A1103" s="95">
        <v>45298</v>
      </c>
      <c r="B1103" t="s">
        <v>4350</v>
      </c>
      <c r="C1103" t="s">
        <v>4351</v>
      </c>
      <c r="D1103" t="s">
        <v>4352</v>
      </c>
      <c r="E1103" t="s">
        <v>4353</v>
      </c>
      <c r="F1103" t="s">
        <v>4353</v>
      </c>
    </row>
    <row r="1104" spans="1:6">
      <c r="A1104" s="95">
        <v>45299</v>
      </c>
      <c r="B1104" t="s">
        <v>4354</v>
      </c>
      <c r="C1104" t="s">
        <v>4355</v>
      </c>
      <c r="D1104" t="s">
        <v>4356</v>
      </c>
      <c r="E1104" t="s">
        <v>4357</v>
      </c>
      <c r="F1104" t="s">
        <v>4357</v>
      </c>
    </row>
    <row r="1105" spans="1:6">
      <c r="A1105" s="95">
        <v>45300</v>
      </c>
      <c r="B1105" t="s">
        <v>4358</v>
      </c>
      <c r="C1105" t="s">
        <v>4359</v>
      </c>
      <c r="D1105" t="s">
        <v>4360</v>
      </c>
      <c r="E1105" t="s">
        <v>4361</v>
      </c>
      <c r="F1105" t="s">
        <v>4361</v>
      </c>
    </row>
    <row r="1106" spans="1:6">
      <c r="A1106" s="95">
        <v>45301</v>
      </c>
      <c r="B1106" t="s">
        <v>4362</v>
      </c>
      <c r="C1106" t="s">
        <v>4363</v>
      </c>
      <c r="D1106" t="s">
        <v>4364</v>
      </c>
      <c r="E1106" t="s">
        <v>4365</v>
      </c>
      <c r="F1106" t="s">
        <v>4365</v>
      </c>
    </row>
    <row r="1107" spans="1:6">
      <c r="A1107" s="95">
        <v>45302</v>
      </c>
      <c r="B1107" t="s">
        <v>4366</v>
      </c>
      <c r="C1107" t="s">
        <v>4367</v>
      </c>
      <c r="D1107" t="s">
        <v>4368</v>
      </c>
      <c r="E1107" t="s">
        <v>4369</v>
      </c>
      <c r="F1107" t="s">
        <v>4369</v>
      </c>
    </row>
    <row r="1108" spans="1:6">
      <c r="A1108" s="95">
        <v>45303</v>
      </c>
      <c r="B1108" t="s">
        <v>4370</v>
      </c>
      <c r="C1108" t="s">
        <v>4371</v>
      </c>
      <c r="D1108" t="s">
        <v>4372</v>
      </c>
      <c r="E1108" t="s">
        <v>4373</v>
      </c>
      <c r="F1108" t="s">
        <v>4373</v>
      </c>
    </row>
    <row r="1109" spans="1:6">
      <c r="A1109" s="95">
        <v>45304</v>
      </c>
      <c r="B1109" t="s">
        <v>4374</v>
      </c>
      <c r="C1109" t="s">
        <v>4375</v>
      </c>
      <c r="D1109" t="s">
        <v>4376</v>
      </c>
      <c r="E1109" t="s">
        <v>4377</v>
      </c>
      <c r="F1109" t="s">
        <v>4377</v>
      </c>
    </row>
    <row r="1110" spans="1:6">
      <c r="A1110" s="95">
        <v>45305</v>
      </c>
      <c r="B1110" t="s">
        <v>4378</v>
      </c>
      <c r="C1110" t="s">
        <v>4379</v>
      </c>
      <c r="D1110" t="s">
        <v>4380</v>
      </c>
      <c r="E1110" t="s">
        <v>4381</v>
      </c>
      <c r="F1110" t="s">
        <v>4381</v>
      </c>
    </row>
    <row r="1111" spans="1:6">
      <c r="A1111" s="95">
        <v>45306</v>
      </c>
      <c r="B1111" t="s">
        <v>4382</v>
      </c>
      <c r="C1111" t="s">
        <v>4383</v>
      </c>
      <c r="D1111" t="s">
        <v>4384</v>
      </c>
      <c r="E1111" t="s">
        <v>4385</v>
      </c>
      <c r="F1111" t="s">
        <v>4385</v>
      </c>
    </row>
    <row r="1112" spans="1:6">
      <c r="A1112" s="95">
        <v>45307</v>
      </c>
      <c r="B1112" t="s">
        <v>4386</v>
      </c>
      <c r="C1112" t="s">
        <v>4387</v>
      </c>
      <c r="D1112" t="s">
        <v>4388</v>
      </c>
      <c r="E1112" t="s">
        <v>4389</v>
      </c>
      <c r="F1112" t="s">
        <v>4389</v>
      </c>
    </row>
    <row r="1113" spans="1:6">
      <c r="A1113" s="95">
        <v>45308</v>
      </c>
      <c r="B1113" t="s">
        <v>4390</v>
      </c>
      <c r="C1113" t="s">
        <v>4391</v>
      </c>
      <c r="D1113" t="s">
        <v>4392</v>
      </c>
      <c r="E1113" t="s">
        <v>4393</v>
      </c>
      <c r="F1113" t="s">
        <v>4393</v>
      </c>
    </row>
    <row r="1114" spans="1:6">
      <c r="A1114" s="95">
        <v>45309</v>
      </c>
      <c r="B1114" t="s">
        <v>4394</v>
      </c>
      <c r="C1114" t="s">
        <v>4395</v>
      </c>
      <c r="D1114" t="s">
        <v>4396</v>
      </c>
      <c r="E1114" t="s">
        <v>4397</v>
      </c>
      <c r="F1114" t="s">
        <v>4397</v>
      </c>
    </row>
    <row r="1115" spans="1:6">
      <c r="A1115" s="95">
        <v>45310</v>
      </c>
      <c r="B1115" t="s">
        <v>4398</v>
      </c>
      <c r="C1115" t="s">
        <v>4399</v>
      </c>
      <c r="D1115" t="s">
        <v>4400</v>
      </c>
      <c r="E1115" t="s">
        <v>4401</v>
      </c>
      <c r="F1115" t="s">
        <v>4401</v>
      </c>
    </row>
    <row r="1116" spans="1:6">
      <c r="A1116" s="95">
        <v>45311</v>
      </c>
      <c r="B1116" t="s">
        <v>4402</v>
      </c>
      <c r="C1116" t="s">
        <v>4403</v>
      </c>
      <c r="D1116" t="s">
        <v>4404</v>
      </c>
      <c r="E1116" t="s">
        <v>4405</v>
      </c>
      <c r="F1116" t="s">
        <v>4405</v>
      </c>
    </row>
    <row r="1117" spans="1:6">
      <c r="A1117" s="95">
        <v>45312</v>
      </c>
      <c r="B1117" t="s">
        <v>4406</v>
      </c>
      <c r="C1117" t="s">
        <v>4407</v>
      </c>
      <c r="D1117" t="s">
        <v>4408</v>
      </c>
      <c r="E1117" t="s">
        <v>4409</v>
      </c>
      <c r="F1117" t="s">
        <v>4409</v>
      </c>
    </row>
    <row r="1118" spans="1:6">
      <c r="A1118" s="95">
        <v>45313</v>
      </c>
      <c r="B1118" t="s">
        <v>4410</v>
      </c>
      <c r="C1118" t="s">
        <v>4411</v>
      </c>
      <c r="D1118" t="s">
        <v>4412</v>
      </c>
      <c r="E1118" t="s">
        <v>4413</v>
      </c>
      <c r="F1118" t="s">
        <v>4413</v>
      </c>
    </row>
    <row r="1119" spans="1:6">
      <c r="A1119" s="95">
        <v>45314</v>
      </c>
      <c r="B1119" t="s">
        <v>4414</v>
      </c>
      <c r="C1119" t="s">
        <v>4415</v>
      </c>
      <c r="D1119" t="s">
        <v>4416</v>
      </c>
      <c r="E1119" t="s">
        <v>4417</v>
      </c>
      <c r="F1119" t="s">
        <v>4417</v>
      </c>
    </row>
    <row r="1120" spans="1:6">
      <c r="A1120" s="95">
        <v>45315</v>
      </c>
      <c r="B1120" t="s">
        <v>4418</v>
      </c>
      <c r="C1120" t="s">
        <v>4419</v>
      </c>
      <c r="D1120" t="s">
        <v>4420</v>
      </c>
      <c r="E1120" t="s">
        <v>4421</v>
      </c>
      <c r="F1120" t="s">
        <v>4421</v>
      </c>
    </row>
    <row r="1121" spans="1:6">
      <c r="A1121" s="95">
        <v>45316</v>
      </c>
      <c r="B1121" t="s">
        <v>4422</v>
      </c>
      <c r="C1121" t="s">
        <v>4423</v>
      </c>
      <c r="D1121" t="s">
        <v>4424</v>
      </c>
      <c r="E1121" t="s">
        <v>4425</v>
      </c>
      <c r="F1121" t="s">
        <v>4425</v>
      </c>
    </row>
    <row r="1122" spans="1:6">
      <c r="A1122" s="95">
        <v>45317</v>
      </c>
      <c r="B1122" t="s">
        <v>4426</v>
      </c>
      <c r="C1122" t="s">
        <v>4427</v>
      </c>
      <c r="D1122" t="s">
        <v>4428</v>
      </c>
      <c r="E1122" t="s">
        <v>4429</v>
      </c>
      <c r="F1122" t="s">
        <v>4429</v>
      </c>
    </row>
    <row r="1123" spans="1:6">
      <c r="A1123" s="95">
        <v>45318</v>
      </c>
      <c r="B1123" t="s">
        <v>4430</v>
      </c>
      <c r="C1123" t="s">
        <v>4431</v>
      </c>
      <c r="D1123" t="s">
        <v>4432</v>
      </c>
      <c r="E1123" t="s">
        <v>4433</v>
      </c>
      <c r="F1123" t="s">
        <v>4433</v>
      </c>
    </row>
    <row r="1124" spans="1:6">
      <c r="A1124" s="95">
        <v>45319</v>
      </c>
      <c r="B1124" t="s">
        <v>4434</v>
      </c>
      <c r="C1124" t="s">
        <v>4435</v>
      </c>
      <c r="D1124" t="s">
        <v>4436</v>
      </c>
      <c r="E1124" t="s">
        <v>4437</v>
      </c>
      <c r="F1124" t="s">
        <v>4437</v>
      </c>
    </row>
    <row r="1125" spans="1:6">
      <c r="A1125" s="95">
        <v>45320</v>
      </c>
      <c r="B1125" t="s">
        <v>4438</v>
      </c>
      <c r="C1125" t="s">
        <v>4439</v>
      </c>
      <c r="D1125" t="s">
        <v>4440</v>
      </c>
      <c r="E1125" t="s">
        <v>4441</v>
      </c>
      <c r="F1125" t="s">
        <v>4441</v>
      </c>
    </row>
    <row r="1126" spans="1:6">
      <c r="A1126" s="95">
        <v>45322</v>
      </c>
      <c r="B1126" t="s">
        <v>4442</v>
      </c>
      <c r="C1126" t="s">
        <v>4443</v>
      </c>
      <c r="D1126" t="s">
        <v>4444</v>
      </c>
      <c r="E1126" t="s">
        <v>4445</v>
      </c>
      <c r="F1126" t="s">
        <v>4445</v>
      </c>
    </row>
    <row r="1127" spans="1:6">
      <c r="A1127" s="95">
        <v>45323</v>
      </c>
      <c r="B1127" t="s">
        <v>4446</v>
      </c>
      <c r="C1127" t="s">
        <v>4447</v>
      </c>
      <c r="D1127" t="s">
        <v>4448</v>
      </c>
      <c r="E1127" t="s">
        <v>4449</v>
      </c>
      <c r="F1127" t="s">
        <v>4449</v>
      </c>
    </row>
    <row r="1128" spans="1:6">
      <c r="A1128" s="95">
        <v>45324</v>
      </c>
      <c r="B1128" t="s">
        <v>4450</v>
      </c>
      <c r="C1128" t="s">
        <v>4451</v>
      </c>
      <c r="D1128" t="s">
        <v>4452</v>
      </c>
      <c r="E1128" t="s">
        <v>4453</v>
      </c>
      <c r="F1128" t="s">
        <v>4453</v>
      </c>
    </row>
    <row r="1129" spans="1:6">
      <c r="A1129" s="95">
        <v>45325</v>
      </c>
      <c r="B1129" t="s">
        <v>4454</v>
      </c>
      <c r="C1129" t="s">
        <v>4455</v>
      </c>
      <c r="D1129" t="s">
        <v>4456</v>
      </c>
      <c r="E1129" t="s">
        <v>4457</v>
      </c>
      <c r="F1129" t="s">
        <v>4457</v>
      </c>
    </row>
    <row r="1130" spans="1:6">
      <c r="A1130" s="95">
        <v>45326</v>
      </c>
      <c r="B1130" t="s">
        <v>4458</v>
      </c>
      <c r="C1130" t="s">
        <v>4459</v>
      </c>
      <c r="D1130" t="s">
        <v>4460</v>
      </c>
      <c r="E1130" t="s">
        <v>4461</v>
      </c>
      <c r="F1130" t="s">
        <v>4461</v>
      </c>
    </row>
    <row r="1131" spans="1:6">
      <c r="A1131" s="95">
        <v>45327</v>
      </c>
      <c r="B1131" t="s">
        <v>4462</v>
      </c>
      <c r="C1131" t="s">
        <v>4463</v>
      </c>
      <c r="D1131" t="s">
        <v>4464</v>
      </c>
      <c r="E1131" t="s">
        <v>4465</v>
      </c>
      <c r="F1131" t="s">
        <v>4465</v>
      </c>
    </row>
    <row r="1132" spans="1:6">
      <c r="A1132" s="95">
        <v>45328</v>
      </c>
      <c r="B1132" t="s">
        <v>4466</v>
      </c>
      <c r="C1132" t="s">
        <v>4467</v>
      </c>
      <c r="D1132" t="s">
        <v>4468</v>
      </c>
      <c r="E1132" t="s">
        <v>4469</v>
      </c>
      <c r="F1132" t="s">
        <v>4469</v>
      </c>
    </row>
    <row r="1133" spans="1:6">
      <c r="A1133" s="95">
        <v>45329</v>
      </c>
      <c r="B1133" t="s">
        <v>4470</v>
      </c>
      <c r="C1133" t="s">
        <v>4471</v>
      </c>
      <c r="D1133" t="s">
        <v>4472</v>
      </c>
      <c r="E1133" t="s">
        <v>4473</v>
      </c>
      <c r="F1133" t="s">
        <v>4473</v>
      </c>
    </row>
    <row r="1134" spans="1:6">
      <c r="A1134" s="95">
        <v>45331</v>
      </c>
      <c r="B1134" t="s">
        <v>4474</v>
      </c>
      <c r="C1134" t="s">
        <v>4475</v>
      </c>
      <c r="D1134" t="s">
        <v>4476</v>
      </c>
      <c r="E1134" t="s">
        <v>4477</v>
      </c>
      <c r="F1134" t="s">
        <v>4477</v>
      </c>
    </row>
    <row r="1135" spans="1:6">
      <c r="A1135" s="95">
        <v>45333</v>
      </c>
      <c r="B1135" t="s">
        <v>4478</v>
      </c>
      <c r="C1135" t="s">
        <v>4479</v>
      </c>
      <c r="D1135" t="s">
        <v>4480</v>
      </c>
      <c r="E1135" t="s">
        <v>4481</v>
      </c>
      <c r="F1135" t="s">
        <v>4481</v>
      </c>
    </row>
    <row r="1136" spans="1:6">
      <c r="A1136" s="95">
        <v>45335</v>
      </c>
      <c r="B1136" t="s">
        <v>4482</v>
      </c>
      <c r="C1136" t="s">
        <v>4483</v>
      </c>
      <c r="D1136" t="s">
        <v>4484</v>
      </c>
      <c r="E1136" t="s">
        <v>4485</v>
      </c>
      <c r="F1136" t="s">
        <v>4485</v>
      </c>
    </row>
    <row r="1137" spans="1:6">
      <c r="A1137" s="95">
        <v>45336</v>
      </c>
      <c r="B1137" t="s">
        <v>4486</v>
      </c>
      <c r="C1137" t="s">
        <v>4487</v>
      </c>
      <c r="D1137" t="s">
        <v>4488</v>
      </c>
      <c r="E1137" t="s">
        <v>4489</v>
      </c>
      <c r="F1137" t="s">
        <v>4489</v>
      </c>
    </row>
    <row r="1138" spans="1:6">
      <c r="A1138" s="95">
        <v>45337</v>
      </c>
      <c r="B1138" t="s">
        <v>4490</v>
      </c>
      <c r="C1138" t="s">
        <v>4491</v>
      </c>
      <c r="D1138" t="s">
        <v>4492</v>
      </c>
      <c r="E1138" t="s">
        <v>4493</v>
      </c>
      <c r="F1138" t="s">
        <v>4493</v>
      </c>
    </row>
    <row r="1139" spans="1:6">
      <c r="A1139" s="95">
        <v>45338</v>
      </c>
      <c r="B1139" t="s">
        <v>4494</v>
      </c>
      <c r="C1139" t="s">
        <v>4495</v>
      </c>
      <c r="D1139" t="s">
        <v>4496</v>
      </c>
      <c r="E1139" t="s">
        <v>4497</v>
      </c>
      <c r="F1139" t="s">
        <v>4497</v>
      </c>
    </row>
    <row r="1140" spans="1:6">
      <c r="A1140" s="95">
        <v>45339</v>
      </c>
      <c r="B1140" t="s">
        <v>4498</v>
      </c>
      <c r="C1140" t="s">
        <v>4499</v>
      </c>
      <c r="D1140" t="s">
        <v>4500</v>
      </c>
      <c r="E1140" t="s">
        <v>4501</v>
      </c>
      <c r="F1140" t="s">
        <v>4501</v>
      </c>
    </row>
    <row r="1141" spans="1:6">
      <c r="A1141" s="95">
        <v>45340</v>
      </c>
      <c r="B1141" t="s">
        <v>4502</v>
      </c>
      <c r="C1141" t="s">
        <v>4503</v>
      </c>
      <c r="D1141" t="s">
        <v>4504</v>
      </c>
      <c r="E1141" t="s">
        <v>4505</v>
      </c>
      <c r="F1141" t="s">
        <v>4505</v>
      </c>
    </row>
    <row r="1142" spans="1:6">
      <c r="A1142" s="95">
        <v>45341</v>
      </c>
      <c r="B1142" t="s">
        <v>4506</v>
      </c>
      <c r="C1142" t="s">
        <v>4507</v>
      </c>
      <c r="D1142" t="s">
        <v>4508</v>
      </c>
      <c r="E1142" t="s">
        <v>4509</v>
      </c>
      <c r="F1142" t="s">
        <v>4509</v>
      </c>
    </row>
    <row r="1143" spans="1:6">
      <c r="A1143" s="95">
        <v>45342</v>
      </c>
      <c r="B1143" t="s">
        <v>4510</v>
      </c>
      <c r="C1143" t="s">
        <v>4511</v>
      </c>
      <c r="D1143" t="s">
        <v>4512</v>
      </c>
      <c r="E1143" t="s">
        <v>4513</v>
      </c>
      <c r="F1143" t="s">
        <v>4513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4D56-DFEF-0D4B-9DA5-5DE21E4261CA}">
  <sheetPr>
    <pageSetUpPr fitToPage="1"/>
  </sheetPr>
  <dimension ref="B5:H19"/>
  <sheetViews>
    <sheetView showGridLines="0" topLeftCell="A15" zoomScale="150" zoomScaleNormal="150" workbookViewId="0">
      <selection activeCell="B5" sqref="B5:F5"/>
    </sheetView>
  </sheetViews>
  <sheetFormatPr defaultColWidth="8.875" defaultRowHeight="15"/>
  <cols>
    <col min="1" max="1" width="3" style="1" customWidth="1"/>
    <col min="2" max="2" width="18" style="1" customWidth="1"/>
    <col min="3" max="3" width="22" style="1" customWidth="1"/>
    <col min="4" max="6" width="20" style="1" customWidth="1"/>
    <col min="7" max="8" width="18" style="1" customWidth="1"/>
    <col min="9" max="16384" width="8.875" style="1"/>
  </cols>
  <sheetData>
    <row r="5" spans="2:8" ht="24" customHeight="1">
      <c r="B5" s="101" t="s">
        <v>4514</v>
      </c>
      <c r="C5" s="101"/>
      <c r="D5" s="101"/>
      <c r="E5" s="101"/>
      <c r="F5" s="101"/>
    </row>
    <row r="6" spans="2:8" ht="18" customHeight="1">
      <c r="B6" s="2" t="s">
        <v>4515</v>
      </c>
    </row>
    <row r="8" spans="2:8" ht="21">
      <c r="B8" s="100" t="s">
        <v>4516</v>
      </c>
      <c r="C8" s="100"/>
      <c r="D8" s="100"/>
      <c r="E8" s="100"/>
      <c r="F8" s="100"/>
      <c r="G8" s="100"/>
      <c r="H8" s="100"/>
    </row>
    <row r="9" spans="2:8">
      <c r="B9" s="3" t="s">
        <v>4517</v>
      </c>
      <c r="C9" s="102" t="s">
        <v>4518</v>
      </c>
      <c r="D9" s="103"/>
      <c r="E9" s="103"/>
      <c r="F9" s="103"/>
      <c r="G9" s="103"/>
      <c r="H9" s="103"/>
    </row>
    <row r="10" spans="2:8">
      <c r="B10" s="3" t="s">
        <v>4519</v>
      </c>
      <c r="C10" s="102" t="s">
        <v>4520</v>
      </c>
      <c r="D10" s="103"/>
      <c r="E10" s="103"/>
      <c r="F10" s="103"/>
      <c r="G10" s="103"/>
      <c r="H10" s="103"/>
    </row>
    <row r="11" spans="2:8">
      <c r="B11" s="3" t="s">
        <v>4521</v>
      </c>
      <c r="C11" s="102" t="s">
        <v>4522</v>
      </c>
      <c r="D11" s="103"/>
      <c r="E11" s="103"/>
      <c r="F11" s="103"/>
      <c r="G11" s="103"/>
      <c r="H11" s="103"/>
    </row>
    <row r="12" spans="2:8">
      <c r="B12" s="3" t="s">
        <v>4523</v>
      </c>
      <c r="C12" s="102" t="s">
        <v>4524</v>
      </c>
      <c r="D12" s="103"/>
      <c r="E12" s="103"/>
      <c r="F12" s="103"/>
      <c r="G12" s="103"/>
      <c r="H12" s="103"/>
    </row>
    <row r="13" spans="2:8">
      <c r="B13" s="3" t="s">
        <v>4525</v>
      </c>
      <c r="C13" s="102" t="s">
        <v>4526</v>
      </c>
      <c r="D13" s="103"/>
      <c r="E13" s="103"/>
      <c r="F13" s="103"/>
      <c r="G13" s="103"/>
      <c r="H13" s="103"/>
    </row>
    <row r="15" spans="2:8" ht="21">
      <c r="B15" s="100" t="s">
        <v>4527</v>
      </c>
      <c r="C15" s="100"/>
      <c r="D15" s="100"/>
      <c r="E15" s="100"/>
      <c r="F15" s="100"/>
      <c r="G15" s="100"/>
      <c r="H15" s="100"/>
    </row>
    <row r="16" spans="2:8" ht="30">
      <c r="B16" s="4" t="s">
        <v>4528</v>
      </c>
      <c r="C16" s="4" t="s">
        <v>4529</v>
      </c>
      <c r="D16" s="4" t="s">
        <v>4530</v>
      </c>
    </row>
    <row r="17" spans="2:4" ht="45">
      <c r="B17" s="3" t="s">
        <v>4531</v>
      </c>
      <c r="C17" s="98" t="s">
        <v>4532</v>
      </c>
      <c r="D17" s="98" t="s">
        <v>4533</v>
      </c>
    </row>
    <row r="18" spans="2:4" ht="45">
      <c r="B18" s="3" t="s">
        <v>4534</v>
      </c>
      <c r="C18" s="98" t="s">
        <v>4535</v>
      </c>
      <c r="D18" s="98" t="s">
        <v>4536</v>
      </c>
    </row>
    <row r="19" spans="2:4" ht="45">
      <c r="B19" s="3" t="s">
        <v>4537</v>
      </c>
      <c r="C19" s="98" t="s">
        <v>4538</v>
      </c>
      <c r="D19" s="98" t="s">
        <v>4539</v>
      </c>
    </row>
  </sheetData>
  <mergeCells count="10">
    <mergeCell ref="B8:F8"/>
    <mergeCell ref="G8:H8"/>
    <mergeCell ref="B15:F15"/>
    <mergeCell ref="G15:H15"/>
    <mergeCell ref="B5:F5"/>
    <mergeCell ref="C9:H9"/>
    <mergeCell ref="C10:H10"/>
    <mergeCell ref="C11:H11"/>
    <mergeCell ref="C12:H12"/>
    <mergeCell ref="C13:H1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CF83E-D3E5-464E-8407-C110167ED397}">
  <sheetPr>
    <pageSetUpPr fitToPage="1"/>
  </sheetPr>
  <dimension ref="A4:AP72"/>
  <sheetViews>
    <sheetView showGridLines="0" topLeftCell="A65" workbookViewId="0">
      <selection activeCell="C64" sqref="C64"/>
    </sheetView>
  </sheetViews>
  <sheetFormatPr defaultColWidth="8.875" defaultRowHeight="15.75"/>
  <cols>
    <col min="1" max="1" width="3" style="1" customWidth="1"/>
    <col min="2" max="2" width="8" style="1" customWidth="1"/>
    <col min="3" max="3" width="8.875" style="1" customWidth="1"/>
    <col min="4" max="4" width="12.875" style="1" customWidth="1"/>
    <col min="5" max="5" width="13" style="1" customWidth="1"/>
    <col min="6" max="6" width="12.875" style="1" customWidth="1"/>
    <col min="7" max="7" width="13.5" style="1" customWidth="1"/>
    <col min="8" max="8" width="14" style="1" customWidth="1"/>
    <col min="9" max="9" width="13.625" style="1" customWidth="1"/>
    <col min="10" max="10" width="17.125" style="1" customWidth="1"/>
    <col min="11" max="11" width="14" style="1" customWidth="1"/>
    <col min="12" max="14" width="13" style="1" customWidth="1"/>
    <col min="15" max="15" width="12" style="1" customWidth="1"/>
    <col min="16" max="16" width="13.5" style="1" customWidth="1"/>
    <col min="17" max="17" width="13" style="1" customWidth="1"/>
    <col min="18" max="18" width="10.875" style="1" bestFit="1" customWidth="1"/>
    <col min="19" max="19" width="8.875" style="1" bestFit="1" customWidth="1"/>
    <col min="20" max="20" width="6.5" style="1" bestFit="1" customWidth="1"/>
    <col min="21" max="21" width="8" style="1" bestFit="1" customWidth="1"/>
    <col min="22" max="22" width="8.5" style="1" bestFit="1" customWidth="1"/>
    <col min="23" max="23" width="8.5" customWidth="1"/>
    <col min="24" max="24" width="9.625" customWidth="1"/>
    <col min="25" max="25" width="13" style="1" customWidth="1"/>
    <col min="26" max="26" width="8.875" style="1"/>
    <col min="27" max="27" width="11.25" style="1" customWidth="1"/>
    <col min="28" max="28" width="10.875" style="1" customWidth="1"/>
    <col min="29" max="29" width="8.875" style="1"/>
    <col min="30" max="30" width="17" style="1" customWidth="1"/>
    <col min="31" max="31" width="9.5" style="1" bestFit="1" customWidth="1"/>
    <col min="32" max="33" width="8.875" style="1"/>
    <col min="34" max="34" width="8.25" style="1" customWidth="1"/>
    <col min="35" max="35" width="8" style="1" customWidth="1"/>
    <col min="36" max="36" width="12.125" style="1" customWidth="1"/>
    <col min="37" max="38" width="8.875" style="1"/>
    <col min="39" max="39" width="11.25" style="1" customWidth="1"/>
    <col min="40" max="41" width="8.875" style="1"/>
    <col min="42" max="42" width="13" style="1" customWidth="1"/>
    <col min="43" max="16384" width="8.875" style="1"/>
  </cols>
  <sheetData>
    <row r="4" spans="1:42" ht="23.25">
      <c r="B4" s="104" t="s">
        <v>4540</v>
      </c>
      <c r="C4" s="104"/>
      <c r="D4" s="104"/>
      <c r="E4" s="104"/>
      <c r="F4" s="104"/>
    </row>
    <row r="5" spans="1:42">
      <c r="B5" s="2" t="s">
        <v>4541</v>
      </c>
    </row>
    <row r="7" spans="1:42" ht="21">
      <c r="B7" s="100" t="s">
        <v>4542</v>
      </c>
      <c r="C7" s="100"/>
      <c r="D7" s="100"/>
      <c r="E7" s="100"/>
      <c r="F7" s="100"/>
      <c r="G7" s="100"/>
      <c r="H7" s="100"/>
      <c r="J7" s="100" t="s">
        <v>4543</v>
      </c>
      <c r="K7" s="100"/>
      <c r="P7" s="100" t="s">
        <v>4544</v>
      </c>
      <c r="Q7" s="100"/>
      <c r="R7" s="100"/>
      <c r="S7" s="100"/>
      <c r="T7" s="100"/>
      <c r="U7" s="100"/>
      <c r="V7" s="97"/>
    </row>
    <row r="8" spans="1:42">
      <c r="B8" s="102" t="s">
        <v>4545</v>
      </c>
      <c r="C8" s="103"/>
      <c r="D8" s="103"/>
      <c r="E8" s="103"/>
      <c r="F8" s="103"/>
      <c r="G8" s="103"/>
      <c r="H8" s="103"/>
      <c r="J8" s="3" t="s">
        <v>4546</v>
      </c>
      <c r="K8" s="5">
        <v>4058</v>
      </c>
      <c r="P8" s="4" t="s">
        <v>4547</v>
      </c>
      <c r="Q8" s="4" t="s">
        <v>4548</v>
      </c>
      <c r="R8" s="4" t="s">
        <v>4549</v>
      </c>
      <c r="S8" s="4" t="s">
        <v>4550</v>
      </c>
    </row>
    <row r="9" spans="1:42">
      <c r="B9" s="102" t="s">
        <v>4551</v>
      </c>
      <c r="C9" s="103"/>
      <c r="D9" s="103"/>
      <c r="E9" s="103"/>
      <c r="F9" s="103"/>
      <c r="G9" s="103"/>
      <c r="H9" s="103"/>
      <c r="J9" s="3" t="s">
        <v>4552</v>
      </c>
      <c r="K9" s="6">
        <v>0.1</v>
      </c>
      <c r="L9" s="49"/>
      <c r="P9" s="98" t="s">
        <v>4553</v>
      </c>
      <c r="Q9" s="55" cm="1">
        <f t="array" ref="Q9:Q11">TRANSPOSE(AH22:AJ22)</f>
        <v>24918.637187297805</v>
      </c>
      <c r="R9" s="55" cm="1">
        <f t="array" ref="R9:R11">TRANSPOSE(AK22:AM22)</f>
        <v>-6382.6504657140094</v>
      </c>
      <c r="S9" s="56" cm="1">
        <f t="array" ref="S9:S11">TRANSPOSE(AN22:AP22)</f>
        <v>64779.881459541386</v>
      </c>
    </row>
    <row r="10" spans="1:42" ht="27">
      <c r="B10" s="102" t="s">
        <v>4554</v>
      </c>
      <c r="C10" s="103"/>
      <c r="D10" s="103"/>
      <c r="E10" s="103"/>
      <c r="F10" s="103"/>
      <c r="G10" s="103"/>
      <c r="H10" s="103"/>
      <c r="J10" s="3" t="s">
        <v>4555</v>
      </c>
      <c r="K10" s="7">
        <v>2500000</v>
      </c>
      <c r="P10" s="98" t="s">
        <v>4556</v>
      </c>
      <c r="Q10" s="55">
        <v>26775.077918967479</v>
      </c>
      <c r="R10" s="55">
        <v>-4467.7720597328089</v>
      </c>
      <c r="S10" s="56">
        <v>66585.762805210805</v>
      </c>
    </row>
    <row r="11" spans="1:42" ht="27">
      <c r="B11" s="102" t="s">
        <v>4557</v>
      </c>
      <c r="C11" s="103"/>
      <c r="D11" s="103"/>
      <c r="E11" s="103"/>
      <c r="F11" s="103"/>
      <c r="G11" s="103"/>
      <c r="H11" s="103"/>
      <c r="J11" s="3" t="s">
        <v>4558</v>
      </c>
      <c r="K11" s="6">
        <v>0.7</v>
      </c>
      <c r="P11" s="98" t="s">
        <v>4559</v>
      </c>
      <c r="Q11" s="55">
        <v>27282.73812216349</v>
      </c>
      <c r="R11" s="55">
        <v>-3977.7218851398666</v>
      </c>
      <c r="S11" s="56">
        <v>67082.372093300932</v>
      </c>
    </row>
    <row r="12" spans="1:42" ht="20.25" customHeight="1">
      <c r="Z12" s="108" t="s">
        <v>4560</v>
      </c>
      <c r="AA12" s="108"/>
      <c r="AB12" s="108"/>
      <c r="AC12" s="108"/>
      <c r="AD12" s="108"/>
      <c r="AE12" s="108"/>
      <c r="AF12" s="108"/>
      <c r="AG12" s="108"/>
      <c r="AH12" s="106" t="s">
        <v>4548</v>
      </c>
      <c r="AI12" s="106"/>
      <c r="AJ12" s="106"/>
      <c r="AK12" s="106" t="s">
        <v>4549</v>
      </c>
      <c r="AL12" s="106"/>
      <c r="AM12" s="106"/>
      <c r="AN12" s="106" t="s">
        <v>4550</v>
      </c>
      <c r="AO12" s="106"/>
      <c r="AP12" s="106"/>
    </row>
    <row r="13" spans="1:42" ht="40.5" customHeight="1">
      <c r="B13" s="4" t="s">
        <v>4561</v>
      </c>
      <c r="C13" s="4" t="s">
        <v>4562</v>
      </c>
      <c r="D13" s="4" t="s">
        <v>4563</v>
      </c>
      <c r="E13" s="4" t="s">
        <v>4564</v>
      </c>
      <c r="F13" s="4" t="s">
        <v>4565</v>
      </c>
      <c r="G13" s="4" t="s">
        <v>4566</v>
      </c>
      <c r="H13" s="4" t="s">
        <v>4567</v>
      </c>
      <c r="I13" s="4" t="s">
        <v>4568</v>
      </c>
      <c r="J13" s="4" t="s">
        <v>4569</v>
      </c>
      <c r="K13" s="4" t="s">
        <v>4570</v>
      </c>
      <c r="L13" s="4" t="s">
        <v>4571</v>
      </c>
      <c r="M13" s="4" t="s">
        <v>4572</v>
      </c>
      <c r="N13" s="4" t="s">
        <v>4573</v>
      </c>
      <c r="P13" s="4" t="s">
        <v>4561</v>
      </c>
      <c r="Q13" s="4" t="s">
        <v>4574</v>
      </c>
      <c r="R13" s="4" t="s">
        <v>4575</v>
      </c>
      <c r="S13" s="4" t="s">
        <v>4576</v>
      </c>
      <c r="T13" s="4" t="s">
        <v>4549</v>
      </c>
      <c r="U13" s="4" t="s">
        <v>4550</v>
      </c>
      <c r="V13" s="4" t="s">
        <v>4577</v>
      </c>
      <c r="Z13" s="17" t="s">
        <v>4561</v>
      </c>
      <c r="AA13" s="17" t="s">
        <v>4578</v>
      </c>
      <c r="AB13" s="17" t="s">
        <v>4579</v>
      </c>
      <c r="AC13" s="17" t="s">
        <v>4580</v>
      </c>
      <c r="AD13" s="17" t="s">
        <v>4581</v>
      </c>
      <c r="AE13" s="17" t="s">
        <v>4582</v>
      </c>
      <c r="AF13" s="17" t="s">
        <v>4583</v>
      </c>
      <c r="AG13" s="17" t="s">
        <v>4584</v>
      </c>
      <c r="AH13" s="47" t="s">
        <v>4553</v>
      </c>
      <c r="AI13" s="47" t="s">
        <v>4585</v>
      </c>
      <c r="AJ13" s="47" t="s">
        <v>4586</v>
      </c>
      <c r="AK13" s="47" t="s">
        <v>4553</v>
      </c>
      <c r="AL13" s="47" t="s">
        <v>4585</v>
      </c>
      <c r="AM13" s="47" t="s">
        <v>4586</v>
      </c>
      <c r="AN13" s="47" t="s">
        <v>4553</v>
      </c>
      <c r="AO13" s="47" t="s">
        <v>4585</v>
      </c>
      <c r="AP13" s="47" t="s">
        <v>4586</v>
      </c>
    </row>
    <row r="14" spans="1:42" ht="15">
      <c r="A14" s="38" t="s">
        <v>4587</v>
      </c>
      <c r="B14" s="98">
        <v>1</v>
      </c>
      <c r="C14" s="8">
        <v>46118</v>
      </c>
      <c r="D14" s="9">
        <v>6200000</v>
      </c>
      <c r="E14" s="9">
        <v>4400000</v>
      </c>
      <c r="F14" s="9">
        <v>25000</v>
      </c>
      <c r="G14" s="9">
        <v>220000</v>
      </c>
      <c r="H14" s="10">
        <v>9500000000</v>
      </c>
      <c r="I14" s="10">
        <v>7100000000</v>
      </c>
      <c r="J14" s="10">
        <v>1400000000</v>
      </c>
      <c r="K14" s="11">
        <f>D14-E14+F14-G14</f>
        <v>1605000</v>
      </c>
      <c r="L14" s="11">
        <f>I14+J14-H14</f>
        <v>-1000000000</v>
      </c>
      <c r="M14" s="11">
        <f t="shared" ref="M14:M21" si="0">L14/$K$8</f>
        <v>-246426.81123706259</v>
      </c>
      <c r="N14" s="11">
        <f t="shared" ref="N14:N21" si="1">K14-M14</f>
        <v>1851426.8112370626</v>
      </c>
      <c r="O14" s="49"/>
      <c r="P14" s="98">
        <v>1</v>
      </c>
      <c r="Q14" s="12">
        <v>4068</v>
      </c>
      <c r="R14" s="12">
        <v>12</v>
      </c>
      <c r="S14" s="12">
        <v>4072</v>
      </c>
      <c r="T14" s="12">
        <v>4005</v>
      </c>
      <c r="U14" s="12">
        <v>4185</v>
      </c>
      <c r="V14" s="9">
        <v>2500000</v>
      </c>
      <c r="Z14" s="98">
        <f>B14</f>
        <v>1</v>
      </c>
      <c r="AA14" s="11">
        <f>ABS(M14)</f>
        <v>246426.81123706259</v>
      </c>
      <c r="AB14" s="6">
        <f t="shared" ref="AB14:AB21" si="2">$K$11</f>
        <v>0.7</v>
      </c>
      <c r="AC14" s="11">
        <f>MIN(AA14*AB14,V14)</f>
        <v>172498.76786594381</v>
      </c>
      <c r="AD14" s="98" t="str">
        <f>IF(L14&gt;0,"Buy COP / Sell USD NDF","Sell COP / Buy USD NDF")</f>
        <v>Sell COP / Buy USD NDF</v>
      </c>
      <c r="AE14" s="11">
        <f>IF(L14&gt;0,(S14-Q14)/S14*AC14,(Q14-S14)/S14*AC14)</f>
        <v>-169.448691420377</v>
      </c>
      <c r="AF14" s="11">
        <f>IF(L14&gt;0,(T14-Q14)/T14*AC14,(Q14-T14)/T14*AC14)</f>
        <v>2713.463764183386</v>
      </c>
      <c r="AG14" s="11">
        <f>IF(L14&gt;0,(U14-Q14)/U14*AC14,(Q14-U14)/U14*AC14)</f>
        <v>-4822.5461984027306</v>
      </c>
      <c r="AH14" s="57">
        <f>IF(L14&gt;0,(S14-(Q14-R14))/S14*AC14,((Q14+R14)-S14)/S14*AC14)</f>
        <v>338.89738284075401</v>
      </c>
      <c r="AI14" s="57">
        <f>IF(L14&gt;0,(S14-(AVERAGE(Q14:Q17)-R14))/S14*AC14,((AVERAGE(Q14:Q17)+R14)-S14)/S14*AC14)</f>
        <v>1186.1408399426391</v>
      </c>
      <c r="AJ14" s="57">
        <f>IF(L14&gt;0,(S14-(Q14-R14))/S14*AC14,((AVERAGE(Q14:Q17)+R14)-S14)/S14*AC14)</f>
        <v>1186.1408399426391</v>
      </c>
      <c r="AK14" s="57">
        <f>IF(L14&gt;0,(T14-(Q14-R14))/T14*AC14,((Q14+R14)-T14)/T14*AC14)</f>
        <v>3230.3140049802214</v>
      </c>
      <c r="AL14" s="57">
        <f>IF(L14&gt;0,(T14-(AVERAGE(Q14:Q17)-R14))/T14*AC14,((AVERAGE(Q14:Q17)+R14)-T14)/T14*AC14)</f>
        <v>4091.7310729749465</v>
      </c>
      <c r="AM14" s="57">
        <f>IF(L14&gt;0,(T14-(Q14-R14))/T14*AC14,((AVERAGE(Q14:Q17)+R14)-T14)/T14*AC14)</f>
        <v>4091.7310729749465</v>
      </c>
      <c r="AN14" s="57">
        <f>IF(L14&gt;0,(U14-(Q14-R14))/U14*AC14,((Q14+R14)-U14)/U14*AC14)</f>
        <v>-4327.9260754896295</v>
      </c>
      <c r="AO14" s="57">
        <f>IF(L14&gt;0,(U14-(AVERAGE(Q14:Q17)-R14))/U14*AC14,((AVERAGE(Q14:Q17)+R14)-U14)/U14*AC14)</f>
        <v>-3503.5592039677954</v>
      </c>
      <c r="AP14" s="57">
        <f>IF(L14&gt;0,(U14-(Q14-R14))/U14*AC14,((AVERAGE(Q14:Q17)+R14)-U14)/U14*AC14)</f>
        <v>-3503.5592039677954</v>
      </c>
    </row>
    <row r="15" spans="1:42" ht="15">
      <c r="A15" s="38" t="s">
        <v>4588</v>
      </c>
      <c r="B15" s="98">
        <v>2</v>
      </c>
      <c r="C15" s="8">
        <v>46125</v>
      </c>
      <c r="D15" s="9">
        <v>5800000</v>
      </c>
      <c r="E15" s="9">
        <v>6600000</v>
      </c>
      <c r="F15" s="9">
        <v>26000</v>
      </c>
      <c r="G15" s="9">
        <v>180000</v>
      </c>
      <c r="H15" s="10">
        <v>7800000000</v>
      </c>
      <c r="I15" s="10">
        <v>8900000000</v>
      </c>
      <c r="J15" s="10">
        <v>1500000000</v>
      </c>
      <c r="K15" s="11">
        <f t="shared" ref="K14:K21" si="3">D15-E15+F15-G15</f>
        <v>-954000</v>
      </c>
      <c r="L15" s="11">
        <f t="shared" ref="L14:L21" si="4">I15+J15-H15</f>
        <v>2600000000</v>
      </c>
      <c r="M15" s="11">
        <f t="shared" si="0"/>
        <v>640709.7092163628</v>
      </c>
      <c r="N15" s="11">
        <f>K15-M15</f>
        <v>-1594709.7092163628</v>
      </c>
      <c r="O15" s="49"/>
      <c r="P15" s="98">
        <v>2</v>
      </c>
      <c r="Q15" s="12">
        <v>4081</v>
      </c>
      <c r="R15" s="12">
        <v>12</v>
      </c>
      <c r="S15" s="12">
        <v>4098</v>
      </c>
      <c r="T15" s="12">
        <v>4038</v>
      </c>
      <c r="U15" s="12">
        <v>4210</v>
      </c>
      <c r="V15" s="9">
        <v>2500000</v>
      </c>
      <c r="Z15" s="98">
        <f>B15</f>
        <v>2</v>
      </c>
      <c r="AA15" s="11">
        <f>ABS(M15)</f>
        <v>640709.7092163628</v>
      </c>
      <c r="AB15" s="6">
        <f t="shared" si="2"/>
        <v>0.7</v>
      </c>
      <c r="AC15" s="11">
        <f>MIN(AA15*AB15,V15)</f>
        <v>448496.79645145393</v>
      </c>
      <c r="AD15" s="98" t="str">
        <f>IF(L15&gt;0,"Buy COP / Sell USD NDF","Sell COP / Buy USD NDF")</f>
        <v>Buy COP / Sell USD NDF</v>
      </c>
      <c r="AE15" s="11">
        <f>IF(L15&gt;0,(S15-Q15)/S15*AC15,(Q15-S15)/S15*AC15)</f>
        <v>1860.5284381831912</v>
      </c>
      <c r="AF15" s="11">
        <f>IF(L15&gt;0,(T15-Q15)/T15*AC15,(Q15-T15)/T15*AC15)</f>
        <v>-4775.9688577049328</v>
      </c>
      <c r="AG15" s="11">
        <f>IF(L15&gt;0,(U15-Q15)/U15*AC15,(Q15-U15)/U15*AC15)</f>
        <v>13742.538418583743</v>
      </c>
      <c r="AH15" s="57">
        <f>IF(L15&gt;0,(S15-(Q15-R15))/S15*AC15,((Q15+R15)-S15)/S15*AC15)</f>
        <v>3173.842629841914</v>
      </c>
      <c r="AI15" s="57">
        <f>IF(L15&gt;0,(S15-(AVERAGE(Q15:Q18)-R15))/S15*AC15,((AVERAGE(Q15:Q18)+R15)-S15)/S15*AC15)</f>
        <v>930.26421909159558</v>
      </c>
      <c r="AJ15" s="57">
        <f>IF(L15&gt;0,(S15-(Q15-R15))/S15*AC15,((AVERAGE(Q15:Q18)+R15)-S15)/S15*AC15)</f>
        <v>3173.842629841914</v>
      </c>
      <c r="AK15" s="57">
        <f>IF(L15&gt;0,(T15-(Q15-R15))/T15*AC15,((Q15+R15)-T15)/T15*AC15)</f>
        <v>-3443.1403392756492</v>
      </c>
      <c r="AL15" s="57">
        <f>IF(L15&gt;0,(T15-(AVERAGE(Q15:Q18)-R15))/T15*AC15,((AVERAGE(Q15:Q18)+R15)-T15)/T15*AC15)</f>
        <v>-5720.0557249256753</v>
      </c>
      <c r="AM15" s="57">
        <f>IF(L15&gt;0,(T15-(Q15-R15))/T15*AC15,((AVERAGE(Q15:Q18)+R15)-T15)/T15*AC15)</f>
        <v>-3443.1403392756492</v>
      </c>
      <c r="AN15" s="57">
        <f>IF(L15&gt;0,(U15-(Q15-R15))/U15*AC15,((Q15+R15)-U15)/U15*AC15)</f>
        <v>15020.914085428742</v>
      </c>
      <c r="AO15" s="57">
        <f>IF(L15&gt;0,(U15-(AVERAGE(Q15:Q18)-R15))/U15*AC15,((AVERAGE(Q15:Q18)+R15)-U15)/U15*AC15)</f>
        <v>12837.022321235203</v>
      </c>
      <c r="AP15" s="57">
        <f>IF(L15&gt;0,(U15-(Q15-R15))/U15*AC15,((AVERAGE(Q15:Q18)+R15)-U15)/U15*AC15)</f>
        <v>15020.914085428742</v>
      </c>
    </row>
    <row r="16" spans="1:42" ht="15">
      <c r="A16" s="38" t="s">
        <v>4589</v>
      </c>
      <c r="B16" s="98">
        <v>3</v>
      </c>
      <c r="C16" s="8">
        <v>46132</v>
      </c>
      <c r="D16" s="9">
        <v>7100000</v>
      </c>
      <c r="E16" s="9">
        <v>5200000</v>
      </c>
      <c r="F16" s="9">
        <v>27000</v>
      </c>
      <c r="G16" s="9">
        <v>250000</v>
      </c>
      <c r="H16" s="10">
        <v>10200000000</v>
      </c>
      <c r="I16" s="10">
        <v>7600000000</v>
      </c>
      <c r="J16" s="10">
        <v>1450000000</v>
      </c>
      <c r="K16" s="11">
        <f t="shared" si="3"/>
        <v>1677000</v>
      </c>
      <c r="L16" s="11">
        <f t="shared" si="4"/>
        <v>-1150000000</v>
      </c>
      <c r="M16" s="11">
        <f t="shared" si="0"/>
        <v>-283390.83292262198</v>
      </c>
      <c r="N16" s="11">
        <f t="shared" si="1"/>
        <v>1960390.8329226221</v>
      </c>
      <c r="O16" s="49"/>
      <c r="P16" s="98">
        <v>3</v>
      </c>
      <c r="Q16" s="12">
        <v>4095</v>
      </c>
      <c r="R16" s="12">
        <v>12</v>
      </c>
      <c r="S16" s="12">
        <v>4085</v>
      </c>
      <c r="T16" s="12">
        <v>4020</v>
      </c>
      <c r="U16" s="12">
        <v>4190</v>
      </c>
      <c r="V16" s="9">
        <v>2500000</v>
      </c>
      <c r="Z16" s="98">
        <f>B16</f>
        <v>3</v>
      </c>
      <c r="AA16" s="11">
        <f>ABS(M16)</f>
        <v>283390.83292262198</v>
      </c>
      <c r="AB16" s="6">
        <f t="shared" si="2"/>
        <v>0.7</v>
      </c>
      <c r="AC16" s="11">
        <f>MIN(AA16*AB16,V16)</f>
        <v>198373.58304583537</v>
      </c>
      <c r="AD16" s="98" t="str">
        <f>IF(L16&gt;0,"Buy COP / Sell USD NDF","Sell COP / Buy USD NDF")</f>
        <v>Sell COP / Buy USD NDF</v>
      </c>
      <c r="AE16" s="11">
        <f>IF(L16&gt;0,(S16-Q16)/S16*AC16,(Q16-S16)/S16*AC16)</f>
        <v>485.6146463790339</v>
      </c>
      <c r="AF16" s="11">
        <f>IF(L16&gt;0,(T16-Q16)/T16*AC16,(Q16-T16)/T16*AC16)</f>
        <v>3700.9996836909581</v>
      </c>
      <c r="AG16" s="11">
        <f>IF(L16&gt;0,(U16-Q16)/U16*AC16,(Q16-U16)/U16*AC16)</f>
        <v>-4497.7304031871981</v>
      </c>
      <c r="AH16" s="57">
        <f>IF(L16&gt;0,(S16-(Q16-R16))/S16*AC16,((Q16+R16)-S16)/S16*AC16)</f>
        <v>1068.3522220338746</v>
      </c>
      <c r="AI16" s="57">
        <f>IF(L16&gt;0,(S16-(AVERAGE(Q16:Q19)-R16))/S16*AC16,((AVERAGE(Q16:Q19)+R16)-S16)/S16*AC16)</f>
        <v>2051.7218809514184</v>
      </c>
      <c r="AJ16" s="57">
        <f>IF(L16&gt;0,(S16-(Q16-R16))/S16*AC16,((AVERAGE(Q16:Q19)+R16)-S16)/S16*AC16)</f>
        <v>2051.7218809514184</v>
      </c>
      <c r="AK16" s="57">
        <f>IF(L16&gt;0,(T16-(Q16-R16))/T16*AC16,((Q16+R16)-T16)/T16*AC16)</f>
        <v>4293.1596330815119</v>
      </c>
      <c r="AL16" s="57">
        <f>IF(L16&gt;0,(T16-(AVERAGE(Q16:Q19)-R16))/T16*AC16,((AVERAGE(Q16:Q19)+R16)-T16)/T16*AC16)</f>
        <v>5292.4295476780708</v>
      </c>
      <c r="AM16" s="57">
        <f>IF(L16&gt;0,(T16-(Q16-R16))/T16*AC16,((AVERAGE(Q16:Q19)+R16)-T16)/T16*AC16)</f>
        <v>5292.4295476780708</v>
      </c>
      <c r="AN16" s="57">
        <f>IF(L16&gt;0,(U16-(Q16-R16))/U16*AC16,((Q16+R16)-U16)/U16*AC16)</f>
        <v>-3929.5960364688153</v>
      </c>
      <c r="AO16" s="57">
        <f>IF(L16&gt;0,(U16-(AVERAGE(Q16:Q19)-R16))/U16*AC16,((AVERAGE(Q16:Q19)+R16)-U16)/U16*AC16)</f>
        <v>-2970.8692926315439</v>
      </c>
      <c r="AP16" s="57">
        <f>IF(L16&gt;0,(U16-(Q16-R16))/U16*AC16,((AVERAGE(Q16:Q19)+R16)-U16)/U16*AC16)</f>
        <v>-2970.8692926315439</v>
      </c>
    </row>
    <row r="17" spans="1:42" ht="15">
      <c r="A17" s="38" t="s">
        <v>4590</v>
      </c>
      <c r="B17" s="98">
        <v>4</v>
      </c>
      <c r="C17" s="8">
        <v>46139</v>
      </c>
      <c r="D17" s="9">
        <v>5400000</v>
      </c>
      <c r="E17" s="9">
        <v>7300000</v>
      </c>
      <c r="F17" s="9">
        <v>28000</v>
      </c>
      <c r="G17" s="9">
        <v>210000</v>
      </c>
      <c r="H17" s="10">
        <v>6900000000</v>
      </c>
      <c r="I17" s="10">
        <v>9100000000</v>
      </c>
      <c r="J17" s="10">
        <v>1350000000</v>
      </c>
      <c r="K17" s="11">
        <f t="shared" si="3"/>
        <v>-2082000</v>
      </c>
      <c r="L17" s="11">
        <f t="shared" si="4"/>
        <v>3550000000</v>
      </c>
      <c r="M17" s="11">
        <f t="shared" si="0"/>
        <v>874815.17989157222</v>
      </c>
      <c r="N17" s="11">
        <f t="shared" si="1"/>
        <v>-2956815.1798915723</v>
      </c>
      <c r="O17" s="49"/>
      <c r="P17" s="98">
        <v>4</v>
      </c>
      <c r="Q17" s="12">
        <v>4108</v>
      </c>
      <c r="R17" s="12">
        <v>12</v>
      </c>
      <c r="S17" s="12">
        <v>4132</v>
      </c>
      <c r="T17" s="12">
        <v>4060</v>
      </c>
      <c r="U17" s="12">
        <v>4250</v>
      </c>
      <c r="V17" s="9">
        <v>2500000</v>
      </c>
      <c r="Z17" s="98">
        <f>B17</f>
        <v>4</v>
      </c>
      <c r="AA17" s="11">
        <f>ABS(M17)</f>
        <v>874815.17989157222</v>
      </c>
      <c r="AB17" s="6">
        <f t="shared" si="2"/>
        <v>0.7</v>
      </c>
      <c r="AC17" s="11">
        <f>MIN(AA17*AB17,V17)</f>
        <v>612370.62592410052</v>
      </c>
      <c r="AD17" s="98" t="str">
        <f>IF(L17&gt;0,"Buy COP / Sell USD NDF","Sell COP / Buy USD NDF")</f>
        <v>Buy COP / Sell USD NDF</v>
      </c>
      <c r="AE17" s="11">
        <f>IF(L17&gt;0,(S17-Q17)/S17*AC17,(Q17-S17)/S17*AC17)</f>
        <v>3556.8477788427913</v>
      </c>
      <c r="AF17" s="11">
        <f>IF(L17&gt;0,(T17-Q17)/T17*AC17,(Q17-T17)/T17*AC17)</f>
        <v>-7239.8497646199085</v>
      </c>
      <c r="AG17" s="11">
        <f>IF(L17&gt;0,(U17-Q17)/U17*AC17,(Q17-U17)/U17*AC17)</f>
        <v>20460.383266169949</v>
      </c>
      <c r="AH17" s="57">
        <f>IF(L17&gt;0,(S17-(Q17-R17))/S17*AC17,((Q17+R17)-S17)/S17*AC17)</f>
        <v>5335.2716682641867</v>
      </c>
      <c r="AI17" s="57">
        <f>IF(L17&gt;0,(S17-(AVERAGE(Q17:Q20)-R17))/S17*AC17,((AVERAGE(Q17:Q20)+R17)-S17)/S17*AC17)</f>
        <v>2297.1308571693025</v>
      </c>
      <c r="AJ17" s="57">
        <f>IF(L17&gt;0,(S17-(Q17-R17))/S17*AC17,((AVERAGE(Q17:Q20)+R17)-S17)/S17*AC17)</f>
        <v>5335.2716682641867</v>
      </c>
      <c r="AK17" s="57">
        <f>IF(L17&gt;0,(T17-(Q17-R17))/T17*AC17,((Q17+R17)-T17)/T17*AC17)</f>
        <v>-5429.8873234649309</v>
      </c>
      <c r="AL17" s="57">
        <f>IF(L17&gt;0,(T17-(AVERAGE(Q17:Q20)-R17))/T17*AC17,((AVERAGE(Q17:Q20)+R17)-T17)/T17*AC17)</f>
        <v>-8521.9064937713483</v>
      </c>
      <c r="AM17" s="57">
        <f>IF(L17&gt;0,(T17-(Q17-R17))/T17*AC17,((AVERAGE(Q17:Q20)+R17)-T17)/T17*AC17)</f>
        <v>-5429.8873234649309</v>
      </c>
      <c r="AN17" s="57">
        <f>IF(L17&gt;0,(U17-(Q17-R17))/U17*AC17,((Q17+R17)-U17)/U17*AC17)</f>
        <v>22189.429739367406</v>
      </c>
      <c r="AO17" s="57">
        <f>IF(L17&gt;0,(U17-(AVERAGE(Q17:Q20)-R17))/U17*AC17,((AVERAGE(Q17:Q20)+R17)-U17)/U17*AC17)</f>
        <v>19235.642014321747</v>
      </c>
      <c r="AP17" s="57">
        <f>IF(L17&gt;0,(U17-(Q17-R17))/U17*AC17,((AVERAGE(Q17:Q20)+R17)-U17)/U17*AC17)</f>
        <v>22189.429739367406</v>
      </c>
    </row>
    <row r="18" spans="1:42" ht="15">
      <c r="A18" s="38" t="s">
        <v>4591</v>
      </c>
      <c r="B18" s="98">
        <v>5</v>
      </c>
      <c r="C18" s="8">
        <v>46146</v>
      </c>
      <c r="D18" s="9">
        <v>7600000</v>
      </c>
      <c r="E18" s="9">
        <v>5000000</v>
      </c>
      <c r="F18" s="9">
        <v>30000</v>
      </c>
      <c r="G18" s="9">
        <v>265000</v>
      </c>
      <c r="H18" s="10">
        <v>10800000000</v>
      </c>
      <c r="I18" s="10">
        <v>8000000000</v>
      </c>
      <c r="J18" s="10">
        <v>1550000000</v>
      </c>
      <c r="K18" s="11">
        <f t="shared" si="3"/>
        <v>2365000</v>
      </c>
      <c r="L18" s="11">
        <f t="shared" si="4"/>
        <v>-1250000000</v>
      </c>
      <c r="M18" s="11">
        <f t="shared" si="0"/>
        <v>-308033.51404632826</v>
      </c>
      <c r="N18" s="11">
        <f t="shared" si="1"/>
        <v>2673033.5140463281</v>
      </c>
      <c r="O18" s="49"/>
      <c r="P18" s="98">
        <v>5</v>
      </c>
      <c r="Q18" s="12">
        <v>4122</v>
      </c>
      <c r="R18" s="12">
        <v>12</v>
      </c>
      <c r="S18" s="12">
        <v>4110</v>
      </c>
      <c r="T18" s="12">
        <v>4045</v>
      </c>
      <c r="U18" s="12">
        <v>4230</v>
      </c>
      <c r="V18" s="9">
        <v>2500000</v>
      </c>
      <c r="Z18" s="98">
        <f>B18</f>
        <v>5</v>
      </c>
      <c r="AA18" s="11">
        <f>ABS(M18)</f>
        <v>308033.51404632826</v>
      </c>
      <c r="AB18" s="6">
        <f t="shared" si="2"/>
        <v>0.7</v>
      </c>
      <c r="AC18" s="11">
        <f>MIN(AA18*AB18,V18)</f>
        <v>215623.45983242977</v>
      </c>
      <c r="AD18" s="98" t="str">
        <f>IF(L18&gt;0,"Buy COP / Sell USD NDF","Sell COP / Buy USD NDF")</f>
        <v>Sell COP / Buy USD NDF</v>
      </c>
      <c r="AE18" s="11">
        <f>IF(L18&gt;0,(S18-Q18)/S18*AC18,(Q18-S18)/S18*AC18)</f>
        <v>629.55754695599933</v>
      </c>
      <c r="AF18" s="11">
        <f>IF(L18&gt;0,(T18-Q18)/T18*AC18,(Q18-T18)/T18*AC18)</f>
        <v>4104.5751315443986</v>
      </c>
      <c r="AG18" s="11">
        <f>IF(L18&gt;0,(U18-Q18)/U18*AC18,(Q18-U18)/U18*AC18)</f>
        <v>-5505.2798255088446</v>
      </c>
      <c r="AH18" s="57">
        <f>IF(L18&gt;0,(S18-(Q18-R18))/S18*AC18,((Q18+R18)-S18)/S18*AC18)</f>
        <v>1259.1150939119987</v>
      </c>
      <c r="AI18" s="57">
        <f>IF(L18&gt;0,(S18-(AVERAGE(Q18:Q21)-R18))/S18*AC18,((AVERAGE(Q18:Q21)+R18)-S18)/S18*AC18)</f>
        <v>2295.2618899437475</v>
      </c>
      <c r="AJ18" s="57">
        <f>IF(L18&gt;0,(S18-(Q18-R18))/S18*AC18,((AVERAGE(Q18:Q21)+R18)-S18)/S18*AC18)</f>
        <v>2295.2618899437475</v>
      </c>
      <c r="AK18" s="57">
        <f>IF(L18&gt;0,(T18-(Q18-R18))/T18*AC18,((Q18+R18)-T18)/T18*AC18)</f>
        <v>4744.2491780188502</v>
      </c>
      <c r="AL18" s="57">
        <f>IF(L18&gt;0,(T18-(AVERAGE(Q18:Q21)-R18))/T18*AC18,((AVERAGE(Q18:Q21)+R18)-T18)/T18*AC18)</f>
        <v>5797.0460461747189</v>
      </c>
      <c r="AM18" s="57">
        <f>IF(L18&gt;0,(T18-(Q18-R18))/T18*AC18,((AVERAGE(Q18:Q21)+R18)-T18)/T18*AC18)</f>
        <v>5797.0460461747189</v>
      </c>
      <c r="AN18" s="57">
        <f>IF(L18&gt;0,(U18-(Q18-R18))/U18*AC18,((Q18+R18)-U18)/U18*AC18)</f>
        <v>-4893.582067118974</v>
      </c>
      <c r="AO18" s="57">
        <f>IF(L18&gt;0,(U18-(AVERAGE(Q18:Q21)-R18))/U18*AC18,((AVERAGE(Q18:Q21)+R18)-U18)/U18*AC18)</f>
        <v>-3886.8295064356435</v>
      </c>
      <c r="AP18" s="57">
        <f>IF(L18&gt;0,(U18-(Q18-R18))/U18*AC18,((AVERAGE(Q18:Q21)+R18)-U18)/U18*AC18)</f>
        <v>-3886.8295064356435</v>
      </c>
    </row>
    <row r="19" spans="1:42" ht="15">
      <c r="A19" s="38" t="s">
        <v>4592</v>
      </c>
      <c r="B19" s="98">
        <v>6</v>
      </c>
      <c r="C19" s="8">
        <v>46153</v>
      </c>
      <c r="D19" s="9">
        <v>6400000</v>
      </c>
      <c r="E19" s="9">
        <v>6900000</v>
      </c>
      <c r="F19" s="9">
        <v>30000</v>
      </c>
      <c r="G19" s="9">
        <v>190000</v>
      </c>
      <c r="H19" s="10">
        <v>7600000000</v>
      </c>
      <c r="I19" s="10">
        <v>8700000000</v>
      </c>
      <c r="J19" s="10">
        <v>1500000000</v>
      </c>
      <c r="K19" s="11">
        <f t="shared" si="3"/>
        <v>-660000</v>
      </c>
      <c r="L19" s="11">
        <f t="shared" si="4"/>
        <v>2600000000</v>
      </c>
      <c r="M19" s="11">
        <f t="shared" si="0"/>
        <v>640709.7092163628</v>
      </c>
      <c r="N19" s="11">
        <f t="shared" si="1"/>
        <v>-1300709.7092163628</v>
      </c>
      <c r="O19" s="49"/>
      <c r="P19" s="98">
        <v>6</v>
      </c>
      <c r="Q19" s="12">
        <v>4136</v>
      </c>
      <c r="R19" s="12">
        <v>12</v>
      </c>
      <c r="S19" s="12">
        <v>4168</v>
      </c>
      <c r="T19" s="12">
        <v>4080</v>
      </c>
      <c r="U19" s="12">
        <v>4285</v>
      </c>
      <c r="V19" s="9">
        <v>2500000</v>
      </c>
      <c r="Z19" s="98">
        <f>B19</f>
        <v>6</v>
      </c>
      <c r="AA19" s="11">
        <f>ABS(M19)</f>
        <v>640709.7092163628</v>
      </c>
      <c r="AB19" s="6">
        <f t="shared" si="2"/>
        <v>0.7</v>
      </c>
      <c r="AC19" s="11">
        <f>MIN(AA19*AB19,V19)</f>
        <v>448496.79645145393</v>
      </c>
      <c r="AD19" s="98" t="str">
        <f>IF(L19&gt;0,"Buy COP / Sell USD NDF","Sell COP / Buy USD NDF")</f>
        <v>Buy COP / Sell USD NDF</v>
      </c>
      <c r="AE19" s="11">
        <f>IF(L19&gt;0,(S19-Q19)/S19*AC19,(Q19-S19)/S19*AC19)</f>
        <v>3443.353523619608</v>
      </c>
      <c r="AF19" s="11">
        <f>IF(L19&gt;0,(T19-Q19)/T19*AC19,(Q19-T19)/T19*AC19)</f>
        <v>-6155.8383826670151</v>
      </c>
      <c r="AG19" s="11">
        <f>IF(L19&gt;0,(U19-Q19)/U19*AC19,(Q19-U19)/U19*AC19)</f>
        <v>15595.337846269927</v>
      </c>
      <c r="AH19" s="57">
        <f>IF(L19&gt;0,(S19-(Q19-R19))/S19*AC19,((Q19+R19)-S19)/S19*AC19)</f>
        <v>4734.6110949769609</v>
      </c>
      <c r="AI19" s="57">
        <f>IF(L19&gt;0,(S19-(AVERAGE(Q19:Q22)-R19))/S19*AC19,((AVERAGE(Q19:Q22)+R19)-S19)/S19*AC19)</f>
        <v>4294.5719613597439</v>
      </c>
      <c r="AJ19" s="57">
        <f>IF(L19&gt;0,(S19-(Q19-R19))/S19*AC19,((AVERAGE(Q19:Q22)+R19)-S19)/S19*AC19)</f>
        <v>4734.6110949769609</v>
      </c>
      <c r="AK19" s="57">
        <f>IF(L19&gt;0,(T19-(Q19-R19))/T19*AC19,((Q19+R19)-T19)/T19*AC19)</f>
        <v>-4836.7301578097977</v>
      </c>
      <c r="AL19" s="57">
        <f>IF(L19&gt;0,(T19-(AVERAGE(Q19:Q22)-R19))/T19*AC19,((AVERAGE(Q19:Q22)+R19)-T19)/T19*AC19)</f>
        <v>-5286.2603315638571</v>
      </c>
      <c r="AM19" s="57">
        <f>IF(L19&gt;0,(T19-(Q19-R19))/T19*AC19,((AVERAGE(Q19:Q22)+R19)-T19)/T19*AC19)</f>
        <v>-4836.7301578097977</v>
      </c>
      <c r="AN19" s="57">
        <f>IF(L19&gt;0,(U19-(Q19-R19))/U19*AC19,((Q19+R19)-U19)/U19*AC19)</f>
        <v>16851.338209727906</v>
      </c>
      <c r="AO19" s="57">
        <f>IF(L19&gt;0,(U19-(AVERAGE(Q19:Q22)-R19))/U19*AC19,((AVERAGE(Q19:Q22)+R19)-U19)/U19*AC19)</f>
        <v>16423.31414697025</v>
      </c>
      <c r="AP19" s="57">
        <f>IF(L19&gt;0,(U19-(Q19-R19))/U19*AC19,((AVERAGE(Q19:Q22)+R19)-U19)/U19*AC19)</f>
        <v>16851.338209727906</v>
      </c>
    </row>
    <row r="20" spans="1:42" ht="15">
      <c r="A20" s="38" t="s">
        <v>4593</v>
      </c>
      <c r="B20" s="98">
        <v>7</v>
      </c>
      <c r="C20" s="8">
        <v>46160</v>
      </c>
      <c r="D20" s="9">
        <v>8200000</v>
      </c>
      <c r="E20" s="9">
        <v>5900000</v>
      </c>
      <c r="F20" s="9">
        <v>32000</v>
      </c>
      <c r="G20" s="9">
        <v>300000</v>
      </c>
      <c r="H20" s="10">
        <v>11600000000</v>
      </c>
      <c r="I20" s="10">
        <v>8900000000</v>
      </c>
      <c r="J20" s="10">
        <v>1650000000</v>
      </c>
      <c r="K20" s="11">
        <f t="shared" si="3"/>
        <v>2032000</v>
      </c>
      <c r="L20" s="11">
        <f t="shared" si="4"/>
        <v>-1050000000</v>
      </c>
      <c r="M20" s="11">
        <f t="shared" si="0"/>
        <v>-258748.15179891573</v>
      </c>
      <c r="N20" s="11">
        <f t="shared" si="1"/>
        <v>2290748.1517989156</v>
      </c>
      <c r="O20" s="49"/>
      <c r="P20" s="98">
        <v>7</v>
      </c>
      <c r="Q20" s="12">
        <v>4148</v>
      </c>
      <c r="R20" s="12">
        <v>12</v>
      </c>
      <c r="S20" s="12">
        <v>4140</v>
      </c>
      <c r="T20" s="12">
        <v>4092</v>
      </c>
      <c r="U20" s="12">
        <v>4270</v>
      </c>
      <c r="V20" s="9">
        <v>2500000</v>
      </c>
      <c r="Z20" s="98">
        <f>B20</f>
        <v>7</v>
      </c>
      <c r="AA20" s="11">
        <f>ABS(M20)</f>
        <v>258748.15179891573</v>
      </c>
      <c r="AB20" s="6">
        <f t="shared" si="2"/>
        <v>0.7</v>
      </c>
      <c r="AC20" s="11">
        <f>MIN(AA20*AB20,V20)</f>
        <v>181123.70625924101</v>
      </c>
      <c r="AD20" s="98" t="str">
        <f>IF(L20&gt;0,"Buy COP / Sell USD NDF","Sell COP / Buy USD NDF")</f>
        <v>Sell COP / Buy USD NDF</v>
      </c>
      <c r="AE20" s="11">
        <f>IF(L20&gt;0,(S20-Q20)/S20*AC20,(Q20-S20)/S20*AC20)</f>
        <v>349.99750001785702</v>
      </c>
      <c r="AF20" s="11">
        <f>IF(L20&gt;0,(T20-Q20)/T20*AC20,(Q20-T20)/T20*AC20)</f>
        <v>2478.7212977804243</v>
      </c>
      <c r="AG20" s="11">
        <f>IF(L20&gt;0,(U20-Q20)/U20*AC20,(Q20-U20)/U20*AC20)</f>
        <v>-5174.9630359783141</v>
      </c>
      <c r="AH20" s="57">
        <f>IF(L20&gt;0,(S20-(Q20-R20))/S20*AC20,((Q20+R20)-S20)/S20*AC20)</f>
        <v>874.99375004464252</v>
      </c>
      <c r="AI20" s="57">
        <f>IF(L20&gt;0,(S20-(AVERAGE(Q20:Q23)-R20))/S20*AC20,((AVERAGE(Q20:Q23)+R20)-S20)/S20*AC20)</f>
        <v>372.33477285914574</v>
      </c>
      <c r="AJ20" s="57">
        <f>IF(L20&gt;0,(S20-(Q20-R20))/S20*AC20,((AVERAGE(Q20:Q23)+R20)-S20)/S20*AC20)</f>
        <v>372.33477285914574</v>
      </c>
      <c r="AK20" s="57">
        <f>IF(L20&gt;0,(T20-(Q20-R20))/T20*AC20,((Q20+R20)-T20)/T20*AC20)</f>
        <v>3009.8758615905153</v>
      </c>
      <c r="AL20" s="57">
        <f>IF(L20&gt;0,(T20-(AVERAGE(Q20:Q23)-R20))/T20*AC20,((AVERAGE(Q20:Q23)+R20)-T20)/T20*AC20)</f>
        <v>2501.3205914175051</v>
      </c>
      <c r="AM20" s="57">
        <f>IF(L20&gt;0,(T20-(Q20-R20))/T20*AC20,((AVERAGE(Q20:Q23)+R20)-T20)/T20*AC20)</f>
        <v>2501.3205914175051</v>
      </c>
      <c r="AN20" s="57">
        <f>IF(L20&gt;0,(U20-(Q20-R20))/U20*AC20,((Q20+R20)-U20)/U20*AC20)</f>
        <v>-4665.9502783411035</v>
      </c>
      <c r="AO20" s="57">
        <f>IF(L20&gt;0,(U20-(AVERAGE(Q20:Q23)-R20))/U20*AC20,((AVERAGE(Q20:Q23)+R20)-U20)/U20*AC20)</f>
        <v>-5153.3058206239975</v>
      </c>
      <c r="AP20" s="57">
        <f>IF(L20&gt;0,(U20-(Q20-R20))/U20*AC20,((AVERAGE(Q20:Q23)+R20)-U20)/U20*AC20)</f>
        <v>-5153.3058206239975</v>
      </c>
    </row>
    <row r="21" spans="1:42" ht="15">
      <c r="A21" s="38" t="s">
        <v>4594</v>
      </c>
      <c r="B21" s="98">
        <v>8</v>
      </c>
      <c r="C21" s="8">
        <v>46167</v>
      </c>
      <c r="D21" s="9">
        <v>6000000</v>
      </c>
      <c r="E21" s="9">
        <v>7600000</v>
      </c>
      <c r="F21" s="9">
        <v>32000</v>
      </c>
      <c r="G21" s="9">
        <v>210000</v>
      </c>
      <c r="H21" s="10">
        <v>7200000000</v>
      </c>
      <c r="I21" s="10">
        <v>9800000000</v>
      </c>
      <c r="J21" s="10">
        <v>1700000000</v>
      </c>
      <c r="K21" s="11">
        <f t="shared" si="3"/>
        <v>-1778000</v>
      </c>
      <c r="L21" s="11">
        <f t="shared" si="4"/>
        <v>4300000000</v>
      </c>
      <c r="M21" s="11">
        <f t="shared" si="0"/>
        <v>1059635.2883193691</v>
      </c>
      <c r="N21" s="11">
        <f t="shared" si="1"/>
        <v>-2837635.2883193688</v>
      </c>
      <c r="O21" s="49"/>
      <c r="P21" s="98">
        <v>8</v>
      </c>
      <c r="Q21" s="12">
        <v>4161</v>
      </c>
      <c r="R21" s="12">
        <v>12</v>
      </c>
      <c r="S21" s="12">
        <v>4195</v>
      </c>
      <c r="T21" s="12">
        <v>4105</v>
      </c>
      <c r="U21" s="12">
        <v>4315</v>
      </c>
      <c r="V21" s="9">
        <v>2500000</v>
      </c>
      <c r="Z21" s="98">
        <f>B21</f>
        <v>8</v>
      </c>
      <c r="AA21" s="11">
        <f>ABS(M21)</f>
        <v>1059635.2883193691</v>
      </c>
      <c r="AB21" s="6">
        <f t="shared" si="2"/>
        <v>0.7</v>
      </c>
      <c r="AC21" s="11">
        <f>MIN(AA21*AB21,V21)</f>
        <v>741744.70182355831</v>
      </c>
      <c r="AD21" s="98" t="str">
        <f>IF(L21&gt;0,"Buy COP / Sell USD NDF","Sell COP / Buy USD NDF")</f>
        <v>Buy COP / Sell USD NDF</v>
      </c>
      <c r="AE21" s="11">
        <f>IF(L21&gt;0,(S21-Q21)/S21*AC21,(Q21-S21)/S21*AC21)</f>
        <v>6011.7568205008311</v>
      </c>
      <c r="AF21" s="11">
        <f>IF(L21&gt;0,(T21-Q21)/T21*AC21,(Q21-T21)/T21*AC21)</f>
        <v>-10118.807138153292</v>
      </c>
      <c r="AG21" s="11">
        <f>IF(L21&gt;0,(U21-Q21)/U21*AC21,(Q21-U21)/U21*AC21)</f>
        <v>26472.46444515133</v>
      </c>
      <c r="AH21" s="57">
        <f>IF(L21&gt;0,(S21-(Q21-R21))/S21*AC21,((Q21+R21)-S21)/S21*AC21)</f>
        <v>8133.553345383476</v>
      </c>
      <c r="AI21" s="57">
        <f>IF(L21&gt;0,(S21-(AVERAGE(Q21:Q24)-R21))/S21*AC21,((AVERAGE(Q21:Q24)+R21)-S21)/S21*AC21)</f>
        <v>13347.651497649886</v>
      </c>
      <c r="AJ21" s="57">
        <f>IF(L21&gt;0,(S21-(Q21-R21))/S21*AC21,((AVERAGE(Q21:Q24)+R21)-S21)/S21*AC21)</f>
        <v>8133.553345383476</v>
      </c>
      <c r="AK21" s="57">
        <f>IF(L21&gt;0,(T21-(Q21-R21))/T21*AC21,((Q21+R21)-T21)/T21*AC21)</f>
        <v>-7950.4913228347305</v>
      </c>
      <c r="AL21" s="57">
        <f>IF(L21&gt;0,(T21-(AVERAGE(Q21:Q24)-R21))/T21*AC21,((AVERAGE(Q21:Q24)+R21)-T21)/T21*AC21)</f>
        <v>-2622.0767677171689</v>
      </c>
      <c r="AM21" s="57">
        <f>IF(L21&gt;0,(T21-(Q21-R21))/T21*AC21,((AVERAGE(Q21:Q24)+R21)-T21)/T21*AC21)</f>
        <v>-7950.4913228347305</v>
      </c>
      <c r="AN21" s="57">
        <f>IF(L21&gt;0,(U21-(Q21-R21))/U21*AC21,((Q21+R21)-U21)/U21*AC21)</f>
        <v>28535.253882435849</v>
      </c>
      <c r="AO21" s="57">
        <f>IF(L21&gt;0,(U21-(AVERAGE(Q21:Q24)-R21))/U21*AC21,((AVERAGE(Q21:Q24)+R21)-U21)/U21*AC21)</f>
        <v>33604.348146342585</v>
      </c>
      <c r="AP21" s="57">
        <f>IF(L21&gt;0,(U21-(Q21-R21))/U21*AC21,((AVERAGE(Q21:Q24)+R21)-U21)/U21*AC21)</f>
        <v>28535.253882435849</v>
      </c>
    </row>
    <row r="22" spans="1:42">
      <c r="B22" s="13" t="s">
        <v>4595</v>
      </c>
      <c r="C22" s="14"/>
      <c r="D22" s="15">
        <f t="shared" ref="D22:N22" si="5">SUM(D14:D21)</f>
        <v>52700000</v>
      </c>
      <c r="E22" s="15">
        <f t="shared" si="5"/>
        <v>48900000</v>
      </c>
      <c r="F22" s="15">
        <f t="shared" si="5"/>
        <v>230000</v>
      </c>
      <c r="G22" s="15">
        <f t="shared" si="5"/>
        <v>1825000</v>
      </c>
      <c r="H22" s="16">
        <f t="shared" si="5"/>
        <v>71600000000</v>
      </c>
      <c r="I22" s="16">
        <f t="shared" si="5"/>
        <v>68100000000</v>
      </c>
      <c r="J22" s="16">
        <f t="shared" si="5"/>
        <v>12100000000</v>
      </c>
      <c r="K22" s="15">
        <f t="shared" si="5"/>
        <v>2205000</v>
      </c>
      <c r="L22" s="16">
        <f t="shared" si="5"/>
        <v>8600000000</v>
      </c>
      <c r="M22" s="15">
        <f t="shared" si="5"/>
        <v>2119270.5766387382</v>
      </c>
      <c r="N22" s="15">
        <f t="shared" si="5"/>
        <v>85729.423361261841</v>
      </c>
      <c r="P22" s="41">
        <v>9</v>
      </c>
      <c r="Q22" s="53">
        <f>+M35</f>
        <v>4115.3576027604031</v>
      </c>
      <c r="R22" s="42">
        <v>12</v>
      </c>
      <c r="S22" s="42"/>
      <c r="T22" s="42"/>
      <c r="U22" s="42"/>
      <c r="V22" s="43"/>
      <c r="Z22" s="13" t="s">
        <v>4596</v>
      </c>
      <c r="AA22" s="14"/>
      <c r="AB22" s="14"/>
      <c r="AC22" s="14"/>
      <c r="AD22" s="14"/>
      <c r="AE22" s="18">
        <f>SUM(AE14:AE21)</f>
        <v>16168.207563078933</v>
      </c>
      <c r="AF22" s="18">
        <f>SUM(AF14:AF21)</f>
        <v>-15292.70426594598</v>
      </c>
      <c r="AG22" s="18">
        <f>SUM(AG14:AG21)</f>
        <v>56270.204513097866</v>
      </c>
      <c r="AH22" s="18">
        <f>SUM(AH14:AH21)</f>
        <v>24918.637187297805</v>
      </c>
      <c r="AI22" s="18">
        <f>SUM(AI14:AI21)</f>
        <v>26775.077918967479</v>
      </c>
      <c r="AJ22" s="54">
        <f>SUM(AJ14:AJ21)</f>
        <v>27282.73812216349</v>
      </c>
      <c r="AK22" s="18">
        <f>SUM(AK14:AK21)</f>
        <v>-6382.6504657140094</v>
      </c>
      <c r="AL22" s="18">
        <f>SUM(AL14:AL21)</f>
        <v>-4467.7720597328089</v>
      </c>
      <c r="AM22" s="54">
        <f>SUM(AM14:AM21)</f>
        <v>-3977.7218851398666</v>
      </c>
      <c r="AN22" s="18">
        <f>SUM(AN14:AN21)</f>
        <v>64779.881459541386</v>
      </c>
      <c r="AO22" s="18">
        <f>SUM(AO14:AO21)</f>
        <v>66585.762805210805</v>
      </c>
      <c r="AP22" s="54">
        <f>SUM(AP14:AP21)</f>
        <v>67082.372093300932</v>
      </c>
    </row>
    <row r="23" spans="1:42">
      <c r="P23" s="41">
        <v>10</v>
      </c>
      <c r="Q23" s="53">
        <f t="shared" ref="Q23:Q25" si="6">+M36</f>
        <v>4121.6846767726911</v>
      </c>
      <c r="R23" s="42">
        <v>12</v>
      </c>
      <c r="S23" s="42"/>
      <c r="T23" s="42"/>
      <c r="U23" s="42"/>
      <c r="V23" s="43"/>
    </row>
    <row r="24" spans="1:42">
      <c r="B24" s="105" t="s">
        <v>4597</v>
      </c>
      <c r="C24" s="105"/>
      <c r="D24" s="105"/>
      <c r="E24" s="105"/>
      <c r="I24" s="105" t="s">
        <v>4598</v>
      </c>
      <c r="J24" s="105"/>
      <c r="K24" s="105"/>
      <c r="L24" s="105"/>
      <c r="P24" s="41">
        <v>11</v>
      </c>
      <c r="Q24" s="53">
        <f t="shared" si="6"/>
        <v>4128.0026251626414</v>
      </c>
      <c r="R24" s="42">
        <v>12</v>
      </c>
      <c r="S24" s="42"/>
      <c r="T24" s="42"/>
      <c r="U24" s="42"/>
      <c r="V24" s="43"/>
    </row>
    <row r="25" spans="1:42" ht="27">
      <c r="I25" s="107" t="s">
        <v>4599</v>
      </c>
      <c r="J25" s="107"/>
      <c r="K25" s="107"/>
      <c r="L25" s="107"/>
      <c r="P25" s="41">
        <v>12</v>
      </c>
      <c r="Q25" s="53">
        <f t="shared" si="6"/>
        <v>4134.3114676590367</v>
      </c>
      <c r="R25" s="42">
        <v>12</v>
      </c>
      <c r="S25" s="42"/>
      <c r="T25" s="42"/>
      <c r="U25" s="42"/>
      <c r="V25" s="43"/>
      <c r="Z25" s="17" t="s">
        <v>4561</v>
      </c>
      <c r="AA25" s="58" t="s">
        <v>4600</v>
      </c>
      <c r="AB25" s="58" t="s">
        <v>4601</v>
      </c>
      <c r="AC25" s="58" t="s">
        <v>4602</v>
      </c>
      <c r="AD25" s="58" t="s">
        <v>4603</v>
      </c>
    </row>
    <row r="26" spans="1:42" ht="15">
      <c r="I26" s="4" t="s">
        <v>4561</v>
      </c>
      <c r="J26" s="4" t="s">
        <v>4604</v>
      </c>
      <c r="K26" s="4" t="s">
        <v>4605</v>
      </c>
      <c r="L26" s="4" t="s">
        <v>4606</v>
      </c>
      <c r="M26" s="4" t="s">
        <v>4574</v>
      </c>
      <c r="N26" s="4" t="s">
        <v>4607</v>
      </c>
      <c r="Z26" s="98">
        <v>1</v>
      </c>
      <c r="AA26" s="59">
        <f>+Q14-S14</f>
        <v>-4</v>
      </c>
      <c r="AB26" s="59">
        <f>+Q14-U14</f>
        <v>-117</v>
      </c>
      <c r="AC26" s="60">
        <f>AJ14</f>
        <v>1186.1408399426391</v>
      </c>
      <c r="AD26" s="60">
        <f>AP14</f>
        <v>-3503.5592039677954</v>
      </c>
    </row>
    <row r="27" spans="1:42" ht="15">
      <c r="I27" s="61">
        <v>1</v>
      </c>
      <c r="J27" s="64">
        <f>3.66%</f>
        <v>3.6600000000000001E-2</v>
      </c>
      <c r="K27" s="64">
        <f>9.642%</f>
        <v>9.6419999999999992E-2</v>
      </c>
      <c r="L27" s="61">
        <f>+$K$8</f>
        <v>4058</v>
      </c>
      <c r="M27" s="61">
        <v>4068</v>
      </c>
      <c r="N27" s="61">
        <f>+(M27/L27)-1</f>
        <v>2.464268112370549E-3</v>
      </c>
      <c r="Z27" s="98">
        <v>2</v>
      </c>
      <c r="AA27" s="59">
        <f>+Q15-S15</f>
        <v>-17</v>
      </c>
      <c r="AB27" s="59">
        <f>+Q15-U15</f>
        <v>-129</v>
      </c>
      <c r="AC27" s="60">
        <f t="shared" ref="AC27:AC33" si="7">AJ15</f>
        <v>3173.842629841914</v>
      </c>
      <c r="AD27" s="60">
        <f t="shared" ref="AD27:AD33" si="8">AP15</f>
        <v>15020.914085428742</v>
      </c>
    </row>
    <row r="28" spans="1:42" ht="15">
      <c r="I28" s="61">
        <v>2</v>
      </c>
      <c r="J28" s="64">
        <v>3.669E-2</v>
      </c>
      <c r="K28" s="64">
        <v>9.6420000000000006E-2</v>
      </c>
      <c r="L28" s="61">
        <f t="shared" ref="L28:L38" si="9">+$K$8</f>
        <v>4058</v>
      </c>
      <c r="M28" s="61">
        <v>4081</v>
      </c>
      <c r="N28" s="61">
        <f t="shared" ref="N28:N38" si="10">+(M28/L28)-1</f>
        <v>5.6678166584525069E-3</v>
      </c>
      <c r="Q28" s="36"/>
      <c r="Z28" s="98">
        <v>3</v>
      </c>
      <c r="AA28" s="59">
        <f>+Q16-S16</f>
        <v>10</v>
      </c>
      <c r="AB28" s="59">
        <f>+Q16-U16</f>
        <v>-95</v>
      </c>
      <c r="AC28" s="60">
        <f t="shared" si="7"/>
        <v>2051.7218809514184</v>
      </c>
      <c r="AD28" s="60">
        <f t="shared" si="8"/>
        <v>-2970.8692926315439</v>
      </c>
    </row>
    <row r="29" spans="1:42" ht="15">
      <c r="I29" s="61">
        <v>3</v>
      </c>
      <c r="J29" s="64">
        <v>3.6999999999999998E-2</v>
      </c>
      <c r="K29" s="64">
        <v>9.6420000000000006E-2</v>
      </c>
      <c r="L29" s="61">
        <f t="shared" si="9"/>
        <v>4058</v>
      </c>
      <c r="M29" s="61">
        <v>4095</v>
      </c>
      <c r="N29" s="61">
        <f t="shared" si="10"/>
        <v>9.1177920157712311E-3</v>
      </c>
      <c r="R29" s="36"/>
      <c r="Z29" s="98">
        <v>4</v>
      </c>
      <c r="AA29" s="59">
        <f>+Q17-S17</f>
        <v>-24</v>
      </c>
      <c r="AB29" s="59">
        <f>+Q17-U17</f>
        <v>-142</v>
      </c>
      <c r="AC29" s="60">
        <f t="shared" si="7"/>
        <v>5335.2716682641867</v>
      </c>
      <c r="AD29" s="60">
        <f t="shared" si="8"/>
        <v>22189.429739367406</v>
      </c>
    </row>
    <row r="30" spans="1:42" ht="15">
      <c r="I30" s="61">
        <v>4</v>
      </c>
      <c r="J30" s="64">
        <v>3.7400000000000003E-2</v>
      </c>
      <c r="K30" s="64">
        <v>0.10299999999999999</v>
      </c>
      <c r="L30" s="61">
        <f t="shared" si="9"/>
        <v>4058</v>
      </c>
      <c r="M30" s="61">
        <v>4108</v>
      </c>
      <c r="N30" s="61">
        <f t="shared" si="10"/>
        <v>1.2321340561853189E-2</v>
      </c>
      <c r="Z30" s="98">
        <v>5</v>
      </c>
      <c r="AA30" s="59">
        <f>+Q18-S18</f>
        <v>12</v>
      </c>
      <c r="AB30" s="59">
        <f>+Q18-U18</f>
        <v>-108</v>
      </c>
      <c r="AC30" s="60">
        <f t="shared" si="7"/>
        <v>2295.2618899437475</v>
      </c>
      <c r="AD30" s="60">
        <f t="shared" si="8"/>
        <v>-3886.8295064356435</v>
      </c>
    </row>
    <row r="31" spans="1:42" ht="15">
      <c r="I31" s="61">
        <v>5</v>
      </c>
      <c r="J31" s="64">
        <v>3.7499999999999999E-2</v>
      </c>
      <c r="K31" s="64">
        <v>0.10299999999999999</v>
      </c>
      <c r="L31" s="61">
        <f t="shared" si="9"/>
        <v>4058</v>
      </c>
      <c r="M31" s="61">
        <v>4122</v>
      </c>
      <c r="N31" s="61">
        <f t="shared" si="10"/>
        <v>1.5771315919171913E-2</v>
      </c>
      <c r="O31" s="50"/>
      <c r="S31" s="50"/>
      <c r="Z31" s="98">
        <v>6</v>
      </c>
      <c r="AA31" s="59">
        <f>+Q19-S19</f>
        <v>-32</v>
      </c>
      <c r="AB31" s="59">
        <f>+Q19-U19</f>
        <v>-149</v>
      </c>
      <c r="AC31" s="60">
        <f t="shared" si="7"/>
        <v>4734.6110949769609</v>
      </c>
      <c r="AD31" s="60">
        <f t="shared" si="8"/>
        <v>16851.338209727906</v>
      </c>
    </row>
    <row r="32" spans="1:42" ht="15">
      <c r="I32" s="61">
        <v>6</v>
      </c>
      <c r="J32" s="64">
        <v>3.7499999999999999E-2</v>
      </c>
      <c r="K32" s="64">
        <v>0.10299999999999999</v>
      </c>
      <c r="L32" s="61">
        <f t="shared" si="9"/>
        <v>4058</v>
      </c>
      <c r="M32" s="61">
        <v>4136</v>
      </c>
      <c r="N32" s="61">
        <f t="shared" si="10"/>
        <v>1.9221291276490859E-2</v>
      </c>
      <c r="O32" s="50"/>
      <c r="P32" s="50"/>
      <c r="S32" s="50"/>
      <c r="Z32" s="98">
        <v>7</v>
      </c>
      <c r="AA32" s="59">
        <f>+Q20-S20</f>
        <v>8</v>
      </c>
      <c r="AB32" s="59">
        <f>+Q20-U20</f>
        <v>-122</v>
      </c>
      <c r="AC32" s="60">
        <f t="shared" si="7"/>
        <v>372.33477285914574</v>
      </c>
      <c r="AD32" s="60">
        <f t="shared" si="8"/>
        <v>-5153.3058206239975</v>
      </c>
    </row>
    <row r="33" spans="3:30" ht="15">
      <c r="I33" s="61">
        <v>7</v>
      </c>
      <c r="J33" s="64">
        <v>3.78E-2</v>
      </c>
      <c r="K33" s="64">
        <v>0.11015</v>
      </c>
      <c r="L33" s="61">
        <f t="shared" si="9"/>
        <v>4058</v>
      </c>
      <c r="M33" s="61">
        <v>4148</v>
      </c>
      <c r="N33" s="61">
        <f t="shared" si="10"/>
        <v>2.2178413011335607E-2</v>
      </c>
      <c r="O33" s="50"/>
      <c r="P33" s="50"/>
      <c r="S33" s="50"/>
      <c r="Z33" s="72">
        <v>8</v>
      </c>
      <c r="AA33" s="73">
        <f>+Q21-S21</f>
        <v>-34</v>
      </c>
      <c r="AB33" s="73">
        <f>+Q21-U21</f>
        <v>-154</v>
      </c>
      <c r="AC33" s="74">
        <f t="shared" si="7"/>
        <v>8133.553345383476</v>
      </c>
      <c r="AD33" s="74">
        <f t="shared" si="8"/>
        <v>28535.253882435849</v>
      </c>
    </row>
    <row r="34" spans="3:30">
      <c r="I34" s="61">
        <v>8</v>
      </c>
      <c r="J34" s="64">
        <v>3.78E-2</v>
      </c>
      <c r="K34" s="64">
        <v>0.11015</v>
      </c>
      <c r="L34" s="61">
        <f t="shared" si="9"/>
        <v>4058</v>
      </c>
      <c r="M34" s="61">
        <v>4161</v>
      </c>
      <c r="N34" s="61">
        <f t="shared" si="10"/>
        <v>2.5381961557417343E-2</v>
      </c>
      <c r="O34" s="50"/>
      <c r="P34" s="50"/>
      <c r="S34" s="50"/>
      <c r="Z34" s="69" t="s">
        <v>4595</v>
      </c>
      <c r="AA34" s="70"/>
      <c r="AB34" s="70"/>
      <c r="AC34" s="71">
        <f>SUM(AC26:AC33)</f>
        <v>27282.73812216349</v>
      </c>
      <c r="AD34" s="71">
        <f>SUM(AD26:AD33)</f>
        <v>67082.372093300932</v>
      </c>
    </row>
    <row r="35" spans="3:30">
      <c r="I35" s="44">
        <v>9</v>
      </c>
      <c r="J35" s="45">
        <v>3.78E-2</v>
      </c>
      <c r="K35" s="45">
        <v>0.12</v>
      </c>
      <c r="L35" s="62">
        <f t="shared" si="9"/>
        <v>4058</v>
      </c>
      <c r="M35" s="63">
        <f>L35*((1+K35*(I35/52))/(1+J35*(I35/52)))</f>
        <v>4115.3576027604031</v>
      </c>
      <c r="N35" s="40">
        <f t="shared" si="10"/>
        <v>1.4134451148448246E-2</v>
      </c>
      <c r="O35" s="50"/>
      <c r="P35" s="50"/>
      <c r="S35" s="50"/>
    </row>
    <row r="36" spans="3:30">
      <c r="I36" s="44">
        <v>10</v>
      </c>
      <c r="J36" s="45">
        <v>3.78E-2</v>
      </c>
      <c r="K36" s="45">
        <v>0.12</v>
      </c>
      <c r="L36" s="62">
        <f t="shared" si="9"/>
        <v>4058</v>
      </c>
      <c r="M36" s="63">
        <f t="shared" ref="M36:M38" si="11">L36*((1+K36*(I36/52))/(1+J36*(I36/52)))</f>
        <v>4121.6846767726911</v>
      </c>
      <c r="N36" s="40">
        <f t="shared" si="10"/>
        <v>1.5693611821757214E-2</v>
      </c>
      <c r="O36" s="50"/>
      <c r="P36" s="50"/>
      <c r="S36" s="50"/>
    </row>
    <row r="37" spans="3:30">
      <c r="I37" s="44">
        <v>11</v>
      </c>
      <c r="J37" s="45">
        <v>3.78E-2</v>
      </c>
      <c r="K37" s="45">
        <v>0.12</v>
      </c>
      <c r="L37" s="62">
        <f t="shared" si="9"/>
        <v>4058</v>
      </c>
      <c r="M37" s="63">
        <f t="shared" si="11"/>
        <v>4128.0026251626414</v>
      </c>
      <c r="N37" s="40">
        <f t="shared" si="10"/>
        <v>1.7250523697053044E-2</v>
      </c>
      <c r="O37" s="50"/>
      <c r="P37" s="50"/>
      <c r="S37" s="50"/>
    </row>
    <row r="38" spans="3:30">
      <c r="I38" s="44">
        <v>12</v>
      </c>
      <c r="J38" s="45">
        <v>3.78E-2</v>
      </c>
      <c r="K38" s="45">
        <v>0.12</v>
      </c>
      <c r="L38" s="62">
        <f t="shared" si="9"/>
        <v>4058</v>
      </c>
      <c r="M38" s="63">
        <f t="shared" si="11"/>
        <v>4134.3114676590367</v>
      </c>
      <c r="N38" s="40">
        <f t="shared" si="10"/>
        <v>1.8805191636036556E-2</v>
      </c>
      <c r="O38" s="50"/>
      <c r="S38" s="50"/>
    </row>
    <row r="39" spans="3:30">
      <c r="J39" s="46"/>
      <c r="S39" s="46"/>
    </row>
    <row r="40" spans="3:30">
      <c r="C40" s="4" t="s">
        <v>4608</v>
      </c>
      <c r="D40" s="4" t="s">
        <v>4609</v>
      </c>
      <c r="E40" s="4" t="s">
        <v>4610</v>
      </c>
      <c r="F40" s="4" t="s">
        <v>4611</v>
      </c>
      <c r="G40" s="4" t="s">
        <v>4612</v>
      </c>
      <c r="J40" s="37" t="s">
        <v>4613</v>
      </c>
      <c r="K40" s="37" t="s">
        <v>4614</v>
      </c>
      <c r="L40" s="1" t="s">
        <v>4615</v>
      </c>
      <c r="S40" s="50"/>
    </row>
    <row r="41" spans="3:30">
      <c r="C41" s="48" t="s">
        <v>4616</v>
      </c>
      <c r="D41" s="11" cm="1">
        <f t="array" ref="D41">AVERAGE(ABS(M14:M21))</f>
        <v>539058.64958107437</v>
      </c>
      <c r="E41" s="11" cm="1">
        <f t="array" ref="E41">SQRT(VAR(ABS(M14:M21)))</f>
        <v>313356.11279897433</v>
      </c>
      <c r="F41" s="11" cm="1">
        <f t="array" ref="F41">MIN(ABS(M14:M21))</f>
        <v>246426.81123706259</v>
      </c>
      <c r="G41" s="11" cm="1">
        <f t="array" ref="G41">MAX(ABS(M14:M21))</f>
        <v>1059635.2883193691</v>
      </c>
      <c r="I41" s="48" t="s">
        <v>4617</v>
      </c>
      <c r="J41" s="51" cm="1">
        <f t="array" aca="1" ref="J41" ca="1">AVERAGE(($S$15:$S$21/OFFSET($S$15:$S$21,-1,0))-1)</f>
        <v>4.2961564863932865E-3</v>
      </c>
      <c r="K41" s="52" cm="1">
        <f t="array" aca="1" ref="K41" ca="1">VAR(($S$15:$S$21/OFFSET($S$15:$S$21,-1,0))-1)</f>
        <v>8.3854387384405804E-5</v>
      </c>
      <c r="L41" s="50">
        <f ca="1">SQRT(K41)</f>
        <v>9.1572041248628826E-3</v>
      </c>
    </row>
    <row r="42" spans="3:30">
      <c r="C42" s="48" t="s">
        <v>4618</v>
      </c>
      <c r="D42" s="11">
        <f>AVERAGE(F14:F21)</f>
        <v>28750</v>
      </c>
      <c r="E42" s="11">
        <f>SQRT(VAR(F14:F21))</f>
        <v>2659.2157812837549</v>
      </c>
      <c r="F42" s="11">
        <f>MIN(F14:F21)</f>
        <v>25000</v>
      </c>
      <c r="G42" s="11">
        <f>MAX(F14:F21)</f>
        <v>32000</v>
      </c>
      <c r="I42" s="48" t="s">
        <v>4619</v>
      </c>
      <c r="J42" s="51" cm="1">
        <f t="array" aca="1" ref="J42" ca="1">AVERAGE(($T$15:$T$21/OFFSET($T$15:$T$21,-1,0))-1)</f>
        <v>3.5440686022419265E-3</v>
      </c>
      <c r="K42" s="52" cm="1">
        <f t="array" aca="1" ref="K42" ca="1">VAR(($T$15:$T$21/OFFSET($T$15:$T$21,-1,0))-1)</f>
        <v>3.435160704809957E-5</v>
      </c>
      <c r="L42" s="50">
        <f t="shared" ref="L42:L43" ca="1" si="12">SQRT(K42)</f>
        <v>5.8610244026193548E-3</v>
      </c>
    </row>
    <row r="43" spans="3:30">
      <c r="C43" s="48" t="s">
        <v>4620</v>
      </c>
      <c r="D43" s="11">
        <f>AVERAGE(G14:G21)</f>
        <v>228125</v>
      </c>
      <c r="E43" s="11">
        <f>SQRT(VAR(G14:G21))</f>
        <v>40526.666705833508</v>
      </c>
      <c r="F43" s="11">
        <f>MIN(G14:G21)</f>
        <v>180000</v>
      </c>
      <c r="G43" s="11">
        <f>MAX(G14:G21)</f>
        <v>300000</v>
      </c>
      <c r="I43" s="48" t="s">
        <v>4621</v>
      </c>
      <c r="J43" s="51" cm="1">
        <f t="array" aca="1" ref="J43" ca="1">AVERAGE(($U$15:$U$21/OFFSET($U$15:$U$21,-1,0))-1)</f>
        <v>4.4110672664261176E-3</v>
      </c>
      <c r="K43" s="52" cm="1">
        <f t="array" aca="1" ref="K43" ca="1">VAR(($U$15:$U$21/OFFSET($U$15:$U$21,-1,0))-1)</f>
        <v>7.3605267352211371E-5</v>
      </c>
      <c r="L43" s="50">
        <f t="shared" ca="1" si="12"/>
        <v>8.57935121977247E-3</v>
      </c>
    </row>
    <row r="44" spans="3:30">
      <c r="C44" s="48" t="s">
        <v>4622</v>
      </c>
      <c r="D44" s="11" cm="1">
        <f t="array" ref="D44">AVERAGE(D14:D21-E14:E21)</f>
        <v>475000</v>
      </c>
      <c r="E44" s="11" cm="1">
        <f t="array" ref="E44">SQRT(VAR(D14:D21-E14:E21))</f>
        <v>1857609.8314000941</v>
      </c>
      <c r="F44" s="11" cm="1">
        <f t="array" ref="F44">MIN(D14:D21-E14:E21)</f>
        <v>-1900000</v>
      </c>
      <c r="G44" s="11" cm="1">
        <f t="array" ref="G44">MAX(D14:D21-E14:E21)</f>
        <v>2600000</v>
      </c>
      <c r="J44" s="46"/>
    </row>
    <row r="45" spans="3:30">
      <c r="C45" s="67" t="s">
        <v>4623</v>
      </c>
      <c r="D45" s="66" cm="1">
        <f t="array" ref="D45">AVERAGE(H14:H21-I14:I21)/1000000</f>
        <v>437.5</v>
      </c>
      <c r="E45" s="11" cm="1">
        <f t="array" ref="E45">SQRT(VAR(H14:H21-I14:I21))/1000000</f>
        <v>2394.5995788142</v>
      </c>
      <c r="F45" s="11" cm="1">
        <f t="array" ref="F45">MIN(H14:H21-I14:I21)/1000000</f>
        <v>-2600</v>
      </c>
      <c r="G45" s="11" cm="1">
        <f t="array" ref="G45">MAX(H14:H21-I14:I21)/1000000</f>
        <v>2800</v>
      </c>
      <c r="I45" s="105" t="s">
        <v>4624</v>
      </c>
      <c r="J45" s="105"/>
      <c r="K45" s="105"/>
      <c r="L45" s="105"/>
    </row>
    <row r="46" spans="3:30">
      <c r="C46" s="1" t="s">
        <v>4625</v>
      </c>
      <c r="D46" s="39"/>
      <c r="E46" s="36"/>
    </row>
    <row r="47" spans="3:30">
      <c r="D47" s="65"/>
      <c r="I47" s="4"/>
      <c r="J47" s="4" t="s">
        <v>4626</v>
      </c>
      <c r="K47" s="4" t="s">
        <v>4627</v>
      </c>
    </row>
    <row r="48" spans="3:30">
      <c r="G48" s="50"/>
      <c r="I48" s="48" t="s">
        <v>4628</v>
      </c>
      <c r="J48" s="11">
        <f ca="1">+D41*L41*1.645</f>
        <v>8120.1642972058344</v>
      </c>
      <c r="K48" s="11">
        <f ca="1">+D41*0.7*L41*1.645</f>
        <v>5684.115008044083</v>
      </c>
    </row>
    <row r="49" spans="3:11">
      <c r="D49" s="83"/>
      <c r="E49" s="83"/>
      <c r="F49" s="83"/>
      <c r="G49" s="83"/>
      <c r="I49" s="48" t="s">
        <v>4629</v>
      </c>
      <c r="J49" s="68">
        <f ca="1">J48/$D$43</f>
        <v>3.5595240754874892E-2</v>
      </c>
      <c r="K49" s="68">
        <f ca="1">K48/$D$43</f>
        <v>2.4916668528412417E-2</v>
      </c>
    </row>
    <row r="50" spans="3:11">
      <c r="I50" s="48" t="s">
        <v>4630</v>
      </c>
      <c r="J50" s="68">
        <f ca="1">J48/$D$42</f>
        <v>0.28244049729411597</v>
      </c>
      <c r="K50" s="68">
        <f ca="1">K48/$D$42</f>
        <v>0.19770834810588114</v>
      </c>
    </row>
    <row r="51" spans="3:11" ht="24" customHeight="1">
      <c r="C51" s="67"/>
      <c r="D51" s="84" t="s">
        <v>4631</v>
      </c>
      <c r="F51" s="67" t="s">
        <v>4632</v>
      </c>
      <c r="G51" s="67" t="s">
        <v>4633</v>
      </c>
      <c r="J51" s="50"/>
    </row>
    <row r="52" spans="3:11">
      <c r="C52" s="67" t="s">
        <v>4634</v>
      </c>
      <c r="D52" s="83">
        <v>1000000</v>
      </c>
      <c r="F52" s="67" t="s">
        <v>4635</v>
      </c>
      <c r="G52" s="50">
        <v>9.8699999999999996E-2</v>
      </c>
      <c r="J52" s="50"/>
    </row>
    <row r="53" spans="3:11">
      <c r="C53" s="67" t="s">
        <v>4636</v>
      </c>
      <c r="D53" s="83">
        <v>3500000000</v>
      </c>
      <c r="F53" s="67" t="s">
        <v>4605</v>
      </c>
      <c r="G53" s="50">
        <v>0.10199999999999999</v>
      </c>
      <c r="J53" s="50"/>
    </row>
    <row r="54" spans="3:11">
      <c r="C54" s="67" t="s">
        <v>4637</v>
      </c>
      <c r="D54" s="83">
        <v>4020</v>
      </c>
      <c r="F54" s="67" t="s">
        <v>4638</v>
      </c>
      <c r="G54" s="50">
        <v>9.6000000000000002E-2</v>
      </c>
      <c r="J54" s="50"/>
    </row>
    <row r="55" spans="3:11" ht="22.5" customHeight="1">
      <c r="C55" s="67" t="s">
        <v>4639</v>
      </c>
      <c r="D55" s="86">
        <f>+D53/D54</f>
        <v>870646.7661691542</v>
      </c>
      <c r="F55" s="67" t="s">
        <v>4640</v>
      </c>
      <c r="G55" s="50">
        <v>8.5999999999999993E-2</v>
      </c>
      <c r="J55" s="50"/>
    </row>
    <row r="56" spans="3:11">
      <c r="F56" s="67" t="s">
        <v>4604</v>
      </c>
      <c r="G56" s="49">
        <v>0.04</v>
      </c>
    </row>
    <row r="57" spans="3:11">
      <c r="C57" s="67" t="s">
        <v>4641</v>
      </c>
      <c r="D57" s="87" t="s">
        <v>4642</v>
      </c>
      <c r="F57" s="67" t="s">
        <v>4643</v>
      </c>
      <c r="G57" s="50">
        <v>4.1000000000000002E-2</v>
      </c>
    </row>
    <row r="58" spans="3:11">
      <c r="C58" s="67" t="s">
        <v>4644</v>
      </c>
      <c r="D58" s="85">
        <v>4068</v>
      </c>
    </row>
    <row r="59" spans="3:11">
      <c r="C59" s="67" t="s">
        <v>4645</v>
      </c>
      <c r="D59" s="85">
        <v>4081</v>
      </c>
    </row>
    <row r="60" spans="3:11">
      <c r="C60" s="67" t="s">
        <v>4646</v>
      </c>
      <c r="D60" s="85">
        <v>4095</v>
      </c>
      <c r="F60" s="84" t="s">
        <v>4647</v>
      </c>
      <c r="G60" s="84" t="s">
        <v>4633</v>
      </c>
      <c r="H60" s="84" t="s">
        <v>4648</v>
      </c>
    </row>
    <row r="61" spans="3:11">
      <c r="C61" s="67" t="s">
        <v>4649</v>
      </c>
      <c r="D61" s="85">
        <v>4108</v>
      </c>
      <c r="F61" s="67" t="s">
        <v>4650</v>
      </c>
      <c r="G61" s="82">
        <v>2350000</v>
      </c>
      <c r="H61" s="82">
        <v>10000000</v>
      </c>
    </row>
    <row r="62" spans="3:11">
      <c r="F62" s="67" t="s">
        <v>4651</v>
      </c>
      <c r="G62" s="49">
        <v>0.85</v>
      </c>
      <c r="H62" s="49">
        <v>0.7</v>
      </c>
    </row>
    <row r="63" spans="3:11">
      <c r="F63" s="67" t="s">
        <v>4652</v>
      </c>
      <c r="G63" s="50">
        <v>1.34E-2</v>
      </c>
      <c r="H63" s="50">
        <v>2.5000000000000001E-2</v>
      </c>
    </row>
    <row r="64" spans="3:11">
      <c r="C64" s="67" t="s">
        <v>4653</v>
      </c>
      <c r="D64" s="67" t="s">
        <v>4654</v>
      </c>
    </row>
    <row r="65" spans="3:11">
      <c r="C65" s="67" t="s">
        <v>4655</v>
      </c>
      <c r="D65" s="85">
        <v>3702</v>
      </c>
    </row>
    <row r="66" spans="3:11">
      <c r="C66" s="67" t="s">
        <v>4656</v>
      </c>
      <c r="D66" s="85">
        <v>3706</v>
      </c>
      <c r="F66" s="67" t="s">
        <v>4641</v>
      </c>
      <c r="G66" s="87" t="s">
        <v>4642</v>
      </c>
      <c r="I66" s="67" t="s">
        <v>4632</v>
      </c>
      <c r="J66" s="67" t="s">
        <v>4633</v>
      </c>
    </row>
    <row r="67" spans="3:11">
      <c r="C67" s="67" t="s">
        <v>4657</v>
      </c>
      <c r="D67" s="50">
        <f>(D66-D65)/D66</f>
        <v>1.0793308148947653E-3</v>
      </c>
      <c r="F67" s="67" t="s">
        <v>4644</v>
      </c>
      <c r="G67" s="85">
        <v>4068</v>
      </c>
      <c r="I67" s="67" t="s">
        <v>4635</v>
      </c>
      <c r="J67" s="50">
        <v>9.8699999999999996E-2</v>
      </c>
    </row>
    <row r="68" spans="3:11">
      <c r="C68" s="67" t="s">
        <v>4612</v>
      </c>
      <c r="D68" s="85">
        <v>3725</v>
      </c>
      <c r="F68" s="67" t="s">
        <v>4645</v>
      </c>
      <c r="G68" s="85">
        <v>4081</v>
      </c>
      <c r="H68"/>
      <c r="I68" s="67" t="s">
        <v>4605</v>
      </c>
      <c r="J68" s="50">
        <v>0.10199999999999999</v>
      </c>
      <c r="K68"/>
    </row>
    <row r="69" spans="3:11">
      <c r="C69" s="67" t="s">
        <v>4611</v>
      </c>
      <c r="D69" s="85">
        <v>7677</v>
      </c>
      <c r="F69" s="67" t="s">
        <v>4646</v>
      </c>
      <c r="G69" s="85">
        <v>4095</v>
      </c>
      <c r="H69"/>
      <c r="I69" s="67" t="s">
        <v>4638</v>
      </c>
      <c r="J69" s="50">
        <v>9.6000000000000002E-2</v>
      </c>
      <c r="K69"/>
    </row>
    <row r="70" spans="3:11">
      <c r="C70" s="67" t="s">
        <v>4658</v>
      </c>
      <c r="D70" s="85">
        <v>3704.87</v>
      </c>
      <c r="F70" s="67" t="s">
        <v>4649</v>
      </c>
      <c r="G70" s="85">
        <v>4108</v>
      </c>
      <c r="H70"/>
      <c r="I70" s="67" t="s">
        <v>4640</v>
      </c>
      <c r="J70" s="50">
        <v>8.5999999999999993E-2</v>
      </c>
      <c r="K70"/>
    </row>
    <row r="71" spans="3:11" ht="26.25" customHeight="1">
      <c r="C71" s="67" t="s">
        <v>4659</v>
      </c>
      <c r="D71" s="83">
        <f>1361119000/1000000</f>
        <v>1361.1189999999999</v>
      </c>
      <c r="F71"/>
      <c r="G71"/>
      <c r="H71"/>
      <c r="I71" s="67" t="s">
        <v>4604</v>
      </c>
      <c r="J71" s="49">
        <v>0.04</v>
      </c>
      <c r="K71"/>
    </row>
    <row r="72" spans="3:11" ht="27">
      <c r="C72" s="67" t="s">
        <v>4660</v>
      </c>
      <c r="D72" s="83">
        <v>743780</v>
      </c>
      <c r="F72"/>
      <c r="G72"/>
      <c r="H72"/>
      <c r="I72" s="67" t="s">
        <v>4643</v>
      </c>
      <c r="J72" s="50">
        <v>4.1000000000000002E-2</v>
      </c>
      <c r="K72"/>
    </row>
  </sheetData>
  <mergeCells count="19">
    <mergeCell ref="I45:L45"/>
    <mergeCell ref="AH12:AJ12"/>
    <mergeCell ref="AK12:AM12"/>
    <mergeCell ref="AN12:AP12"/>
    <mergeCell ref="B24:E24"/>
    <mergeCell ref="I24:L24"/>
    <mergeCell ref="I25:L25"/>
    <mergeCell ref="Z12:AG12"/>
    <mergeCell ref="B4:F4"/>
    <mergeCell ref="B11:H11"/>
    <mergeCell ref="B7:F7"/>
    <mergeCell ref="G7:H7"/>
    <mergeCell ref="P7:Q7"/>
    <mergeCell ref="B10:H10"/>
    <mergeCell ref="R7:S7"/>
    <mergeCell ref="T7:U7"/>
    <mergeCell ref="J7:K7"/>
    <mergeCell ref="B8:H8"/>
    <mergeCell ref="B9:H9"/>
  </mergeCells>
  <pageMargins left="0.75" right="0.75" top="1" bottom="1" header="0.5" footer="0.5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2299-CF71-5A4B-AD45-7A4C071A484C}">
  <sheetPr>
    <pageSetUpPr fitToPage="1"/>
  </sheetPr>
  <dimension ref="B4:V45"/>
  <sheetViews>
    <sheetView showGridLines="0" topLeftCell="A27" workbookViewId="0">
      <selection activeCell="T26" sqref="T26:T30"/>
    </sheetView>
  </sheetViews>
  <sheetFormatPr defaultColWidth="8.875" defaultRowHeight="15"/>
  <cols>
    <col min="1" max="1" width="3" style="1" customWidth="1"/>
    <col min="2" max="2" width="22" style="1" customWidth="1"/>
    <col min="3" max="3" width="10" style="1" customWidth="1"/>
    <col min="4" max="4" width="16" style="1" customWidth="1"/>
    <col min="5" max="5" width="11.125" style="1" customWidth="1"/>
    <col min="6" max="6" width="6.75" style="1" bestFit="1" customWidth="1"/>
    <col min="7" max="7" width="12" style="1" customWidth="1"/>
    <col min="8" max="8" width="10" style="1" customWidth="1"/>
    <col min="9" max="9" width="12" style="1" customWidth="1"/>
    <col min="10" max="10" width="11" style="1" customWidth="1"/>
    <col min="11" max="15" width="12" style="1" customWidth="1"/>
    <col min="16" max="16" width="10" style="1" customWidth="1"/>
    <col min="17" max="17" width="26" style="1" customWidth="1"/>
    <col min="18" max="19" width="14" style="1" customWidth="1"/>
    <col min="20" max="20" width="12.25" style="1" customWidth="1"/>
    <col min="21" max="21" width="12" style="1" customWidth="1"/>
    <col min="22" max="16384" width="8.875" style="1"/>
  </cols>
  <sheetData>
    <row r="4" spans="2:22" ht="24" customHeight="1">
      <c r="B4" s="109" t="s">
        <v>4661</v>
      </c>
      <c r="C4" s="109"/>
      <c r="D4" s="109"/>
      <c r="E4" s="109"/>
      <c r="F4" s="109"/>
    </row>
    <row r="5" spans="2:22" ht="18" customHeight="1">
      <c r="B5" s="2" t="s">
        <v>4662</v>
      </c>
    </row>
    <row r="7" spans="2:22" ht="21">
      <c r="B7" s="100" t="s">
        <v>4542</v>
      </c>
      <c r="C7" s="100"/>
      <c r="D7" s="100"/>
      <c r="E7" s="100"/>
      <c r="F7" s="100"/>
      <c r="G7" s="100"/>
      <c r="H7" s="100"/>
      <c r="Q7" s="100" t="s">
        <v>4663</v>
      </c>
      <c r="R7" s="100"/>
      <c r="S7" s="100"/>
      <c r="T7" s="100"/>
      <c r="U7" s="100"/>
    </row>
    <row r="8" spans="2:22" ht="21.95" customHeight="1">
      <c r="B8" s="102" t="s">
        <v>4664</v>
      </c>
      <c r="C8" s="103"/>
      <c r="D8" s="103"/>
      <c r="E8" s="103"/>
      <c r="F8" s="103"/>
      <c r="G8" s="103"/>
      <c r="H8" s="103"/>
      <c r="Q8" s="3" t="s">
        <v>4665</v>
      </c>
      <c r="R8" s="19">
        <v>96000000000</v>
      </c>
    </row>
    <row r="9" spans="2:22" ht="21.95" customHeight="1">
      <c r="B9" s="102" t="s">
        <v>4666</v>
      </c>
      <c r="C9" s="103"/>
      <c r="D9" s="103"/>
      <c r="E9" s="103"/>
      <c r="F9" s="103"/>
      <c r="G9" s="103"/>
      <c r="H9" s="103"/>
      <c r="Q9" s="3" t="s">
        <v>4667</v>
      </c>
      <c r="R9" s="19">
        <v>12000000000</v>
      </c>
    </row>
    <row r="10" spans="2:22" ht="21.95" customHeight="1">
      <c r="B10" s="102" t="s">
        <v>4668</v>
      </c>
      <c r="C10" s="103"/>
      <c r="D10" s="103"/>
      <c r="E10" s="103"/>
      <c r="F10" s="103"/>
      <c r="G10" s="103"/>
      <c r="H10" s="103"/>
      <c r="Q10" s="3" t="s">
        <v>4669</v>
      </c>
      <c r="R10" s="6">
        <v>0.4</v>
      </c>
      <c r="S10" s="19">
        <f>+R8*R10</f>
        <v>38400000000</v>
      </c>
      <c r="T10" s="19">
        <f>+R8*(1-R10)</f>
        <v>57600000000</v>
      </c>
      <c r="V10" s="1">
        <f>+S10/R9</f>
        <v>3.2</v>
      </c>
    </row>
    <row r="11" spans="2:22" ht="21.95" customHeight="1">
      <c r="Q11" s="3" t="s">
        <v>4670</v>
      </c>
      <c r="R11" s="24">
        <v>60</v>
      </c>
    </row>
    <row r="12" spans="2:22" ht="21.95" customHeight="1">
      <c r="B12" s="1" t="s">
        <v>4671</v>
      </c>
      <c r="Q12" s="3" t="s">
        <v>4672</v>
      </c>
      <c r="R12" s="6">
        <v>0.99</v>
      </c>
    </row>
    <row r="13" spans="2:22" ht="27">
      <c r="B13" s="4" t="s">
        <v>4673</v>
      </c>
      <c r="C13" s="4" t="s">
        <v>4674</v>
      </c>
      <c r="D13" s="4" t="s">
        <v>4675</v>
      </c>
      <c r="E13" s="4" t="s">
        <v>4676</v>
      </c>
      <c r="F13" s="4" t="s">
        <v>4677</v>
      </c>
      <c r="G13" s="4" t="s">
        <v>4678</v>
      </c>
      <c r="H13" s="4" t="s">
        <v>4679</v>
      </c>
      <c r="I13" s="4" t="s">
        <v>4680</v>
      </c>
      <c r="J13" s="4" t="s">
        <v>4681</v>
      </c>
      <c r="K13" s="4" t="s">
        <v>4682</v>
      </c>
      <c r="L13" s="4" t="s">
        <v>4683</v>
      </c>
      <c r="M13" s="4" t="s">
        <v>4684</v>
      </c>
      <c r="N13" s="4" t="s">
        <v>4685</v>
      </c>
      <c r="O13" s="4" t="s">
        <v>4686</v>
      </c>
    </row>
    <row r="14" spans="2:22" ht="21.95" customHeight="1">
      <c r="B14" s="20" t="s">
        <v>4687</v>
      </c>
      <c r="C14" s="20" t="s">
        <v>4636</v>
      </c>
      <c r="D14" s="20" t="s">
        <v>4688</v>
      </c>
      <c r="E14" s="21">
        <v>0.1</v>
      </c>
      <c r="F14" s="20">
        <v>0</v>
      </c>
      <c r="G14" s="21">
        <v>1</v>
      </c>
      <c r="H14" s="21">
        <v>0</v>
      </c>
      <c r="I14" s="21">
        <v>0.3</v>
      </c>
      <c r="J14" s="22" t="s">
        <v>4689</v>
      </c>
      <c r="K14" s="6">
        <v>0</v>
      </c>
      <c r="L14" s="6">
        <v>0.3</v>
      </c>
      <c r="M14" s="23">
        <f t="shared" ref="M14:M19" si="0">IF(AND(C14="USD",J14&lt;&gt;"Exclude"),K14,0)</f>
        <v>0</v>
      </c>
      <c r="N14" s="23">
        <f>IF(AND(C14="COP",J14&lt;&gt;"Exclude"),L14,0)</f>
        <v>0.3</v>
      </c>
      <c r="Q14" s="1" t="s">
        <v>4671</v>
      </c>
    </row>
    <row r="15" spans="2:22" ht="21.95" customHeight="1">
      <c r="B15" s="20" t="s">
        <v>4690</v>
      </c>
      <c r="C15" s="20" t="s">
        <v>4636</v>
      </c>
      <c r="D15" s="20" t="s">
        <v>4691</v>
      </c>
      <c r="E15" s="21">
        <v>9.5000000000000001E-2</v>
      </c>
      <c r="F15" s="20">
        <v>2</v>
      </c>
      <c r="G15" s="21">
        <v>1</v>
      </c>
      <c r="H15" s="21">
        <v>5.0000000000000001E-3</v>
      </c>
      <c r="I15" s="21">
        <v>0.3</v>
      </c>
      <c r="J15" s="22" t="s">
        <v>4689</v>
      </c>
      <c r="K15" s="6">
        <v>0</v>
      </c>
      <c r="L15" s="6">
        <v>0.2</v>
      </c>
      <c r="M15" s="23">
        <f t="shared" si="0"/>
        <v>0</v>
      </c>
      <c r="N15" s="23">
        <f t="shared" ref="N14:N19" si="1">IF(AND(C15="COP",J15&lt;&gt;"Exclude"),L15,0)</f>
        <v>0.2</v>
      </c>
      <c r="Q15" s="97" t="s">
        <v>4692</v>
      </c>
      <c r="R15" s="97"/>
      <c r="S15" s="97"/>
      <c r="T15" s="97"/>
      <c r="U15" s="97"/>
    </row>
    <row r="16" spans="2:22" ht="21.95" customHeight="1">
      <c r="B16" s="20" t="s">
        <v>4693</v>
      </c>
      <c r="C16" s="20" t="s">
        <v>4636</v>
      </c>
      <c r="D16" s="20" t="s">
        <v>4694</v>
      </c>
      <c r="E16" s="21">
        <v>8.5999999999999993E-2</v>
      </c>
      <c r="F16" s="20">
        <v>45</v>
      </c>
      <c r="G16" s="21">
        <v>0.92</v>
      </c>
      <c r="H16" s="21">
        <v>0.02</v>
      </c>
      <c r="I16" s="21">
        <v>0.4</v>
      </c>
      <c r="J16" s="22" t="s">
        <v>4695</v>
      </c>
      <c r="K16" s="6">
        <v>0</v>
      </c>
      <c r="L16" s="6">
        <v>0</v>
      </c>
      <c r="M16" s="23">
        <f t="shared" si="0"/>
        <v>0</v>
      </c>
      <c r="N16" s="23">
        <f t="shared" si="1"/>
        <v>0</v>
      </c>
      <c r="Q16" s="3" t="s">
        <v>4696</v>
      </c>
      <c r="R16" s="23">
        <f>SUM(N14:N19)</f>
        <v>1</v>
      </c>
      <c r="S16" s="23">
        <v>1</v>
      </c>
      <c r="T16" s="98" t="str">
        <f>IF(ABS(R16-S16)&lt;=0.0001,"OK","Review")</f>
        <v>OK</v>
      </c>
    </row>
    <row r="17" spans="2:21" ht="21.95" customHeight="1">
      <c r="B17" s="20" t="s">
        <v>4697</v>
      </c>
      <c r="C17" s="20" t="s">
        <v>4636</v>
      </c>
      <c r="D17" s="20" t="s">
        <v>4698</v>
      </c>
      <c r="E17" s="21">
        <v>9.8000000000000004E-2</v>
      </c>
      <c r="F17" s="20">
        <v>3</v>
      </c>
      <c r="G17" s="21">
        <v>1</v>
      </c>
      <c r="H17" s="21">
        <v>0</v>
      </c>
      <c r="I17" s="21">
        <v>0.25</v>
      </c>
      <c r="J17" s="22" t="s">
        <v>4689</v>
      </c>
      <c r="K17" s="6">
        <v>0</v>
      </c>
      <c r="L17" s="6">
        <v>0.25</v>
      </c>
      <c r="M17" s="23">
        <f t="shared" si="0"/>
        <v>0</v>
      </c>
      <c r="N17" s="23">
        <f t="shared" si="1"/>
        <v>0.25</v>
      </c>
      <c r="Q17" s="3" t="s">
        <v>4699</v>
      </c>
      <c r="R17" s="76">
        <f>SUMPRODUCT(N14:N19,E14:E19)</f>
        <v>0.10075000000000002</v>
      </c>
    </row>
    <row r="18" spans="2:21" ht="14.25">
      <c r="B18" s="20" t="s">
        <v>4700</v>
      </c>
      <c r="C18" s="20" t="s">
        <v>4636</v>
      </c>
      <c r="D18" s="20" t="s">
        <v>4688</v>
      </c>
      <c r="E18" s="21">
        <v>0.105</v>
      </c>
      <c r="F18" s="20">
        <v>30</v>
      </c>
      <c r="G18" s="21">
        <v>0.85</v>
      </c>
      <c r="H18" s="21">
        <v>1.4999999999999999E-2</v>
      </c>
      <c r="I18" s="21">
        <v>0.2</v>
      </c>
      <c r="J18" s="22" t="s">
        <v>4695</v>
      </c>
      <c r="K18" s="6">
        <v>0</v>
      </c>
      <c r="L18" s="6">
        <v>0.2</v>
      </c>
      <c r="M18" s="23">
        <f t="shared" si="0"/>
        <v>0</v>
      </c>
      <c r="N18" s="23">
        <f t="shared" si="1"/>
        <v>0.2</v>
      </c>
      <c r="Q18" s="3" t="s">
        <v>4701</v>
      </c>
      <c r="R18" s="23">
        <f>SUMPRODUCT(N14:N19,G14:G19)</f>
        <v>0.94500000000000006</v>
      </c>
      <c r="S18" s="23">
        <f>$R$10</f>
        <v>0.4</v>
      </c>
      <c r="T18" s="98" t="str">
        <f>IF(R18&gt;=S18,"OK","Review")</f>
        <v>OK</v>
      </c>
    </row>
    <row r="19" spans="2:21" ht="14.25">
      <c r="B19" s="20" t="s">
        <v>4702</v>
      </c>
      <c r="C19" s="20" t="s">
        <v>4636</v>
      </c>
      <c r="D19" s="20" t="s">
        <v>4703</v>
      </c>
      <c r="E19" s="21">
        <v>0.125</v>
      </c>
      <c r="F19" s="20">
        <v>30</v>
      </c>
      <c r="G19" s="21">
        <v>0.5</v>
      </c>
      <c r="H19" s="21">
        <v>0.08</v>
      </c>
      <c r="I19" s="21">
        <v>0.05</v>
      </c>
      <c r="J19" s="22" t="s">
        <v>4695</v>
      </c>
      <c r="K19" s="6">
        <v>0</v>
      </c>
      <c r="L19" s="6">
        <v>0.05</v>
      </c>
      <c r="M19" s="23">
        <f t="shared" si="0"/>
        <v>0</v>
      </c>
      <c r="N19" s="23">
        <f t="shared" si="1"/>
        <v>0.05</v>
      </c>
      <c r="Q19" s="3" t="s">
        <v>4704</v>
      </c>
      <c r="R19" s="25">
        <f>SUMPRODUCT(N14:N19,F14:F19)</f>
        <v>8.65</v>
      </c>
      <c r="S19" s="25">
        <f>$R$11</f>
        <v>60</v>
      </c>
      <c r="T19" s="98" t="str">
        <f>IF(R19&lt;=S19,"OK","Review")</f>
        <v>OK</v>
      </c>
    </row>
    <row r="20" spans="2:21" ht="21" customHeight="1">
      <c r="Q20" s="3" t="s">
        <v>4705</v>
      </c>
      <c r="R20" s="76">
        <f>SUMPRODUCT(N14:N19,(1-H14:H19))</f>
        <v>0.99199999999999999</v>
      </c>
      <c r="S20" s="23">
        <f>$R$12</f>
        <v>0.99</v>
      </c>
      <c r="T20" s="98" t="str">
        <f>IF(R20&gt;=S20,"OK","Review")</f>
        <v>OK</v>
      </c>
    </row>
    <row r="21" spans="2:21" ht="20.100000000000001" customHeight="1">
      <c r="B21" s="1" t="s">
        <v>4706</v>
      </c>
    </row>
    <row r="22" spans="2:21" ht="25.5" customHeight="1">
      <c r="B22" s="4" t="s">
        <v>4673</v>
      </c>
      <c r="C22" s="4" t="s">
        <v>4674</v>
      </c>
      <c r="D22" s="4" t="s">
        <v>4675</v>
      </c>
      <c r="E22" s="4" t="s">
        <v>4676</v>
      </c>
      <c r="F22" s="4" t="s">
        <v>4677</v>
      </c>
      <c r="G22" s="4" t="s">
        <v>4678</v>
      </c>
      <c r="H22" s="4" t="s">
        <v>4679</v>
      </c>
      <c r="I22" s="4" t="s">
        <v>4680</v>
      </c>
      <c r="J22" s="4" t="s">
        <v>4681</v>
      </c>
      <c r="K22" s="4" t="s">
        <v>4682</v>
      </c>
      <c r="L22" s="4" t="s">
        <v>4683</v>
      </c>
      <c r="M22" s="4" t="s">
        <v>4684</v>
      </c>
      <c r="N22" s="4" t="s">
        <v>4685</v>
      </c>
      <c r="O22" s="4" t="s">
        <v>4686</v>
      </c>
    </row>
    <row r="23" spans="2:21" ht="20.100000000000001" customHeight="1">
      <c r="B23" s="20" t="s">
        <v>4687</v>
      </c>
      <c r="C23" s="20" t="s">
        <v>4636</v>
      </c>
      <c r="D23" s="20" t="s">
        <v>4688</v>
      </c>
      <c r="E23" s="21">
        <v>0.1</v>
      </c>
      <c r="F23" s="20">
        <v>0</v>
      </c>
      <c r="G23" s="21">
        <v>1</v>
      </c>
      <c r="H23" s="21">
        <v>0</v>
      </c>
      <c r="I23" s="21">
        <v>0.3</v>
      </c>
      <c r="J23" s="22" t="s">
        <v>4689</v>
      </c>
      <c r="K23" s="6">
        <v>0</v>
      </c>
      <c r="L23" s="6">
        <v>0.3</v>
      </c>
      <c r="M23" s="23">
        <f t="shared" ref="M23:M28" si="2">IF(AND(C23="USD",J23&lt;&gt;"Exclude"),K23,0)</f>
        <v>0</v>
      </c>
      <c r="N23" s="23">
        <f>IF(AND(C23="COP",J23&lt;&gt;"Exclude"),L23,0)</f>
        <v>0.3</v>
      </c>
      <c r="Q23" s="1" t="s">
        <v>4706</v>
      </c>
    </row>
    <row r="24" spans="2:21" ht="20.100000000000001" customHeight="1">
      <c r="B24" s="20" t="s">
        <v>4690</v>
      </c>
      <c r="C24" s="20" t="s">
        <v>4636</v>
      </c>
      <c r="D24" s="20" t="s">
        <v>4691</v>
      </c>
      <c r="E24" s="21">
        <v>9.5000000000000001E-2</v>
      </c>
      <c r="F24" s="20">
        <v>2</v>
      </c>
      <c r="G24" s="21">
        <v>1</v>
      </c>
      <c r="H24" s="21">
        <v>5.0000000000000001E-3</v>
      </c>
      <c r="I24" s="21">
        <v>0.3</v>
      </c>
      <c r="J24" s="22" t="s">
        <v>4689</v>
      </c>
      <c r="K24" s="6">
        <v>0</v>
      </c>
      <c r="L24" s="6">
        <v>0.25</v>
      </c>
      <c r="M24" s="23">
        <f t="shared" si="2"/>
        <v>0</v>
      </c>
      <c r="N24" s="23">
        <f t="shared" ref="N24:N28" si="3">IF(AND(C24="COP",J24&lt;&gt;"Exclude"),L24,0)</f>
        <v>0.25</v>
      </c>
      <c r="Q24" s="100" t="s">
        <v>4692</v>
      </c>
      <c r="R24" s="100"/>
      <c r="S24" s="100"/>
      <c r="T24" s="100"/>
      <c r="U24" s="97"/>
    </row>
    <row r="25" spans="2:21" ht="20.100000000000001" customHeight="1">
      <c r="B25" s="20" t="s">
        <v>4693</v>
      </c>
      <c r="C25" s="20" t="s">
        <v>4636</v>
      </c>
      <c r="D25" s="20" t="s">
        <v>4694</v>
      </c>
      <c r="E25" s="21">
        <v>8.5999999999999993E-2</v>
      </c>
      <c r="F25" s="20">
        <v>45</v>
      </c>
      <c r="G25" s="21">
        <v>0.92</v>
      </c>
      <c r="H25" s="21">
        <v>0.02</v>
      </c>
      <c r="I25" s="21">
        <v>0.4</v>
      </c>
      <c r="J25" s="22" t="s">
        <v>4695</v>
      </c>
      <c r="K25" s="6">
        <v>0</v>
      </c>
      <c r="L25" s="6">
        <v>0</v>
      </c>
      <c r="M25" s="23">
        <f t="shared" si="2"/>
        <v>0</v>
      </c>
      <c r="N25" s="23">
        <f t="shared" si="3"/>
        <v>0</v>
      </c>
      <c r="Q25" s="4" t="s">
        <v>4707</v>
      </c>
      <c r="R25" s="4" t="s">
        <v>4708</v>
      </c>
      <c r="S25" s="4" t="s">
        <v>4648</v>
      </c>
      <c r="T25" s="4" t="s">
        <v>4709</v>
      </c>
    </row>
    <row r="26" spans="2:21" ht="20.100000000000001" customHeight="1">
      <c r="B26" s="20" t="s">
        <v>4697</v>
      </c>
      <c r="C26" s="20" t="s">
        <v>4636</v>
      </c>
      <c r="D26" s="20" t="s">
        <v>4698</v>
      </c>
      <c r="E26" s="21">
        <v>9.8000000000000004E-2</v>
      </c>
      <c r="F26" s="20">
        <v>3</v>
      </c>
      <c r="G26" s="21">
        <v>1</v>
      </c>
      <c r="H26" s="21">
        <v>0</v>
      </c>
      <c r="I26" s="21">
        <v>0.25</v>
      </c>
      <c r="J26" s="22" t="s">
        <v>4689</v>
      </c>
      <c r="K26" s="6">
        <v>0</v>
      </c>
      <c r="L26" s="6">
        <v>0.25</v>
      </c>
      <c r="M26" s="23">
        <f t="shared" si="2"/>
        <v>0</v>
      </c>
      <c r="N26" s="23">
        <f t="shared" si="3"/>
        <v>0.25</v>
      </c>
      <c r="Q26" s="3" t="s">
        <v>4696</v>
      </c>
      <c r="R26" s="23">
        <f>SUM(N23:N28)</f>
        <v>1</v>
      </c>
      <c r="S26" s="23">
        <v>1</v>
      </c>
      <c r="T26" s="77"/>
    </row>
    <row r="27" spans="2:21" ht="20.100000000000001" customHeight="1">
      <c r="B27" s="20" t="s">
        <v>4700</v>
      </c>
      <c r="C27" s="20" t="s">
        <v>4636</v>
      </c>
      <c r="D27" s="20" t="s">
        <v>4688</v>
      </c>
      <c r="E27" s="21">
        <v>0.105</v>
      </c>
      <c r="F27" s="20">
        <v>30</v>
      </c>
      <c r="G27" s="21">
        <v>0.85</v>
      </c>
      <c r="H27" s="21">
        <v>1.4999999999999999E-2</v>
      </c>
      <c r="I27" s="21">
        <v>0.2</v>
      </c>
      <c r="J27" s="22" t="s">
        <v>4695</v>
      </c>
      <c r="K27" s="6">
        <v>0</v>
      </c>
      <c r="L27" s="6">
        <v>0.2</v>
      </c>
      <c r="M27" s="23">
        <f t="shared" si="2"/>
        <v>0</v>
      </c>
      <c r="N27" s="23">
        <f t="shared" si="3"/>
        <v>0.2</v>
      </c>
      <c r="Q27" s="3" t="s">
        <v>4699</v>
      </c>
      <c r="R27" s="76">
        <f>SUMPRODUCT(N23:N28,E23:E28)</f>
        <v>9.9250000000000005E-2</v>
      </c>
      <c r="T27" s="37"/>
    </row>
    <row r="28" spans="2:21" ht="20.100000000000001" customHeight="1">
      <c r="B28" s="20" t="s">
        <v>4702</v>
      </c>
      <c r="C28" s="20" t="s">
        <v>4636</v>
      </c>
      <c r="D28" s="20" t="s">
        <v>4703</v>
      </c>
      <c r="E28" s="21">
        <v>0.125</v>
      </c>
      <c r="F28" s="20">
        <v>30</v>
      </c>
      <c r="G28" s="21">
        <v>0.5</v>
      </c>
      <c r="H28" s="21">
        <v>0.08</v>
      </c>
      <c r="I28" s="21">
        <v>0.05</v>
      </c>
      <c r="J28" s="22" t="s">
        <v>4710</v>
      </c>
      <c r="K28" s="6">
        <v>0</v>
      </c>
      <c r="L28" s="6">
        <v>0</v>
      </c>
      <c r="M28" s="23">
        <f t="shared" si="2"/>
        <v>0</v>
      </c>
      <c r="N28" s="23">
        <f t="shared" si="3"/>
        <v>0</v>
      </c>
      <c r="O28" s="75" t="s">
        <v>4711</v>
      </c>
      <c r="Q28" s="3" t="s">
        <v>4701</v>
      </c>
      <c r="R28" s="23">
        <f>SUMPRODUCT(N23:N28,G23:G28)</f>
        <v>0.97000000000000008</v>
      </c>
      <c r="S28" s="23">
        <f>$R$10</f>
        <v>0.4</v>
      </c>
      <c r="T28" s="61"/>
    </row>
    <row r="29" spans="2:21" ht="20.100000000000001" customHeight="1">
      <c r="Q29" s="3" t="s">
        <v>4704</v>
      </c>
      <c r="R29" s="25">
        <f>SUMPRODUCT(N23:N28,F23:F28)</f>
        <v>7.25</v>
      </c>
      <c r="S29" s="25">
        <f>$R$11</f>
        <v>60</v>
      </c>
      <c r="T29" s="61"/>
    </row>
    <row r="30" spans="2:21" ht="20.100000000000001" customHeight="1">
      <c r="Q30" s="3" t="s">
        <v>4705</v>
      </c>
      <c r="R30" s="76">
        <f>SUMPRODUCT(N23:N28,(1-H23:H28))</f>
        <v>0.99574999999999991</v>
      </c>
      <c r="S30" s="23">
        <f>$R$12</f>
        <v>0.99</v>
      </c>
      <c r="T30" s="61"/>
    </row>
    <row r="31" spans="2:21" ht="15.75">
      <c r="B31" s="4" t="s">
        <v>4673</v>
      </c>
      <c r="C31" s="4" t="s">
        <v>4712</v>
      </c>
      <c r="D31" s="4" t="s">
        <v>4713</v>
      </c>
      <c r="E31" s="4" t="s">
        <v>4714</v>
      </c>
      <c r="F31"/>
    </row>
    <row r="32" spans="2:21" ht="15.75">
      <c r="B32" s="20" t="s">
        <v>4687</v>
      </c>
      <c r="C32" s="37" t="s">
        <v>4715</v>
      </c>
      <c r="D32" s="37" t="s">
        <v>4715</v>
      </c>
      <c r="E32" s="37" t="s">
        <v>4715</v>
      </c>
      <c r="F32"/>
    </row>
    <row r="33" spans="2:6" ht="15.75">
      <c r="B33" s="20" t="s">
        <v>4690</v>
      </c>
      <c r="C33" s="37" t="s">
        <v>4715</v>
      </c>
      <c r="D33" s="37" t="s">
        <v>4715</v>
      </c>
      <c r="E33" s="37" t="s">
        <v>4715</v>
      </c>
      <c r="F33"/>
    </row>
    <row r="34" spans="2:6" ht="15.75">
      <c r="B34" s="20" t="s">
        <v>4693</v>
      </c>
      <c r="C34" s="37" t="s">
        <v>4715</v>
      </c>
      <c r="D34" s="37" t="s">
        <v>4716</v>
      </c>
      <c r="E34" s="37" t="s">
        <v>4715</v>
      </c>
      <c r="F34"/>
    </row>
    <row r="35" spans="2:6" ht="15.75">
      <c r="B35" s="20" t="s">
        <v>4697</v>
      </c>
      <c r="C35" s="37" t="s">
        <v>4715</v>
      </c>
      <c r="D35" s="37" t="s">
        <v>4715</v>
      </c>
      <c r="E35" s="37" t="s">
        <v>4715</v>
      </c>
      <c r="F35"/>
    </row>
    <row r="36" spans="2:6" ht="15.75">
      <c r="B36" s="20" t="s">
        <v>4700</v>
      </c>
      <c r="C36" s="37" t="s">
        <v>4715</v>
      </c>
      <c r="D36" s="37" t="s">
        <v>4716</v>
      </c>
      <c r="E36" s="37" t="s">
        <v>4715</v>
      </c>
      <c r="F36"/>
    </row>
    <row r="37" spans="2:6" ht="15.75">
      <c r="B37" s="20" t="s">
        <v>4702</v>
      </c>
      <c r="C37" s="37"/>
      <c r="D37" s="37"/>
      <c r="E37" s="37" t="s">
        <v>4715</v>
      </c>
      <c r="F37"/>
    </row>
    <row r="38" spans="2:6" ht="15.75">
      <c r="F38"/>
    </row>
    <row r="39" spans="2:6">
      <c r="B39" s="4" t="s">
        <v>4673</v>
      </c>
      <c r="C39" s="4" t="s">
        <v>4685</v>
      </c>
    </row>
    <row r="40" spans="2:6">
      <c r="B40" s="20" t="s">
        <v>4687</v>
      </c>
      <c r="C40" s="23">
        <v>0.3</v>
      </c>
    </row>
    <row r="41" spans="2:6">
      <c r="B41" s="20" t="s">
        <v>4690</v>
      </c>
      <c r="C41" s="23">
        <v>0.25</v>
      </c>
    </row>
    <row r="42" spans="2:6">
      <c r="B42" s="20" t="s">
        <v>4693</v>
      </c>
      <c r="C42" s="23">
        <v>0</v>
      </c>
    </row>
    <row r="43" spans="2:6">
      <c r="B43" s="20" t="s">
        <v>4697</v>
      </c>
      <c r="C43" s="23">
        <v>0.25</v>
      </c>
    </row>
    <row r="44" spans="2:6">
      <c r="B44" s="20" t="s">
        <v>4700</v>
      </c>
      <c r="C44" s="23">
        <v>0.2</v>
      </c>
    </row>
    <row r="45" spans="2:6">
      <c r="B45" s="20" t="s">
        <v>4702</v>
      </c>
      <c r="C45" s="23">
        <v>0</v>
      </c>
    </row>
  </sheetData>
  <mergeCells count="8">
    <mergeCell ref="Q24:T24"/>
    <mergeCell ref="B4:F4"/>
    <mergeCell ref="Q7:U7"/>
    <mergeCell ref="B8:H8"/>
    <mergeCell ref="B9:H9"/>
    <mergeCell ref="B10:H10"/>
    <mergeCell ref="B7:F7"/>
    <mergeCell ref="G7:H7"/>
  </mergeCells>
  <conditionalFormatting sqref="T16:T20">
    <cfRule type="cellIs" dxfId="9" priority="3" operator="equal">
      <formula>"OK"</formula>
    </cfRule>
    <cfRule type="cellIs" dxfId="8" priority="4" operator="equal">
      <formula>"Review"</formula>
    </cfRule>
  </conditionalFormatting>
  <conditionalFormatting sqref="T27:T30">
    <cfRule type="cellIs" dxfId="7" priority="1" operator="equal">
      <formula>"OK"</formula>
    </cfRule>
    <cfRule type="cellIs" dxfId="6" priority="2" operator="equal">
      <formula>"Review"</formula>
    </cfRule>
  </conditionalFormatting>
  <dataValidations count="1">
    <dataValidation type="list" sqref="J14:J19 J23:J28" xr:uid="{29D31102-C6BF-C94A-BD55-3B18A63786BA}">
      <formula1>"Allowed,Limited,Exclude"</formula1>
    </dataValidation>
  </dataValidations>
  <pageMargins left="0.75" right="0.75" top="1" bottom="1" header="0.5" footer="0.5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CEEC-D443-254B-86A9-BC305E63A9D0}">
  <sheetPr>
    <pageSetUpPr fitToPage="1"/>
  </sheetPr>
  <dimension ref="B4:AH43"/>
  <sheetViews>
    <sheetView showGridLines="0" tabSelected="1" topLeftCell="A5" workbookViewId="0">
      <selection activeCell="M19" sqref="M19"/>
    </sheetView>
  </sheetViews>
  <sheetFormatPr defaultColWidth="8.875" defaultRowHeight="15"/>
  <cols>
    <col min="1" max="1" width="3" style="1" customWidth="1"/>
    <col min="2" max="2" width="12" style="1" customWidth="1"/>
    <col min="3" max="3" width="14.375" style="1" customWidth="1"/>
    <col min="4" max="4" width="14.25" style="1" customWidth="1"/>
    <col min="5" max="5" width="16.625" style="1" customWidth="1"/>
    <col min="6" max="6" width="19" style="1" customWidth="1"/>
    <col min="7" max="7" width="13.625" style="1" bestFit="1" customWidth="1"/>
    <col min="8" max="8" width="16.625" style="1" customWidth="1"/>
    <col min="9" max="9" width="16.75" style="1" customWidth="1"/>
    <col min="10" max="10" width="17" style="1" customWidth="1"/>
    <col min="11" max="11" width="15.375" style="1" customWidth="1"/>
    <col min="12" max="12" width="12.875" style="1" customWidth="1"/>
    <col min="13" max="13" width="16.75" style="1" customWidth="1"/>
    <col min="14" max="14" width="13" style="1" customWidth="1"/>
    <col min="15" max="16" width="11" style="1" customWidth="1"/>
    <col min="17" max="26" width="12" style="1" customWidth="1"/>
    <col min="27" max="16384" width="8.875" style="1"/>
  </cols>
  <sheetData>
    <row r="4" spans="2:34" ht="24" customHeight="1">
      <c r="B4" s="109" t="s">
        <v>4717</v>
      </c>
      <c r="C4" s="109"/>
      <c r="D4" s="109"/>
      <c r="E4" s="109"/>
      <c r="F4" s="109"/>
    </row>
    <row r="5" spans="2:34" ht="18" customHeight="1">
      <c r="B5" s="2" t="s">
        <v>4718</v>
      </c>
    </row>
    <row r="7" spans="2:34" ht="21">
      <c r="B7" s="100" t="s">
        <v>4542</v>
      </c>
      <c r="C7" s="100"/>
      <c r="D7" s="100"/>
      <c r="E7" s="100"/>
      <c r="F7" s="100"/>
      <c r="G7" s="100"/>
      <c r="H7" s="100"/>
      <c r="I7" s="100"/>
      <c r="J7" s="100"/>
    </row>
    <row r="8" spans="2:34" ht="26.1" customHeight="1">
      <c r="B8" s="102" t="s">
        <v>4719</v>
      </c>
      <c r="C8" s="102"/>
      <c r="D8" s="102"/>
      <c r="E8" s="102"/>
      <c r="F8" s="102"/>
      <c r="G8" s="102"/>
      <c r="H8" s="102"/>
      <c r="I8" s="102"/>
      <c r="J8" s="102"/>
    </row>
    <row r="9" spans="2:34" ht="26.1" customHeight="1">
      <c r="B9" s="102" t="s">
        <v>4720</v>
      </c>
      <c r="C9" s="102"/>
      <c r="D9" s="102"/>
      <c r="E9" s="102"/>
      <c r="F9" s="102"/>
      <c r="G9" s="102"/>
      <c r="H9" s="102"/>
      <c r="I9" s="102"/>
      <c r="J9" s="102"/>
    </row>
    <row r="10" spans="2:34" ht="26.1" customHeight="1">
      <c r="B10" s="102" t="s">
        <v>4721</v>
      </c>
      <c r="C10" s="102"/>
      <c r="D10" s="102"/>
      <c r="E10" s="102"/>
      <c r="F10" s="102"/>
      <c r="G10" s="102"/>
      <c r="H10" s="102"/>
      <c r="I10" s="102"/>
      <c r="J10" s="102"/>
    </row>
    <row r="12" spans="2:34" ht="21">
      <c r="B12" s="100" t="s">
        <v>4722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O12" s="100" t="s">
        <v>4723</v>
      </c>
      <c r="P12" s="100"/>
      <c r="Q12" s="100"/>
      <c r="R12" s="100"/>
      <c r="S12" s="100"/>
      <c r="T12" s="100"/>
      <c r="U12" s="100"/>
      <c r="V12" s="97"/>
    </row>
    <row r="13" spans="2:34" ht="45">
      <c r="B13" s="4" t="s">
        <v>4724</v>
      </c>
      <c r="C13" s="4" t="s">
        <v>4725</v>
      </c>
      <c r="D13" s="4" t="s">
        <v>4726</v>
      </c>
      <c r="E13" s="4" t="s">
        <v>4727</v>
      </c>
      <c r="F13" s="4" t="s">
        <v>4728</v>
      </c>
      <c r="G13" s="4" t="s">
        <v>4729</v>
      </c>
      <c r="H13" s="4" t="s">
        <v>4730</v>
      </c>
      <c r="I13" s="4" t="s">
        <v>4731</v>
      </c>
      <c r="J13" s="4" t="s">
        <v>4732</v>
      </c>
      <c r="K13" s="4" t="s">
        <v>4733</v>
      </c>
      <c r="L13" s="4" t="s">
        <v>4734</v>
      </c>
      <c r="M13" s="1" t="s">
        <v>4735</v>
      </c>
      <c r="N13" s="4" t="s">
        <v>4736</v>
      </c>
      <c r="O13" s="4" t="s">
        <v>4724</v>
      </c>
      <c r="P13" s="4" t="s">
        <v>4737</v>
      </c>
      <c r="Q13" s="4" t="s">
        <v>4738</v>
      </c>
      <c r="R13" s="4" t="s">
        <v>4739</v>
      </c>
      <c r="S13" s="4" t="s">
        <v>4740</v>
      </c>
      <c r="T13" s="4" t="s">
        <v>4741</v>
      </c>
      <c r="U13" s="4" t="s">
        <v>4742</v>
      </c>
      <c r="V13" s="4" t="s">
        <v>4743</v>
      </c>
      <c r="W13" s="4" t="s">
        <v>4744</v>
      </c>
      <c r="X13" s="4" t="s">
        <v>4745</v>
      </c>
      <c r="Y13" s="4" t="s">
        <v>4746</v>
      </c>
      <c r="Z13" s="4" t="s">
        <v>4747</v>
      </c>
    </row>
    <row r="14" spans="2:34" ht="21" customHeight="1">
      <c r="B14" s="3" t="s">
        <v>4748</v>
      </c>
      <c r="C14" s="7">
        <v>1200000</v>
      </c>
      <c r="D14" s="7">
        <v>600000</v>
      </c>
      <c r="E14" s="7">
        <v>1500000</v>
      </c>
      <c r="F14" s="7">
        <v>2200000</v>
      </c>
      <c r="G14" s="26">
        <f>L26</f>
        <v>-300000</v>
      </c>
      <c r="H14" s="26">
        <f>M26</f>
        <v>-300000</v>
      </c>
      <c r="I14" s="11">
        <f t="shared" ref="I14:J17" si="0">C14-G14</f>
        <v>1500000</v>
      </c>
      <c r="J14" s="11">
        <f t="shared" si="0"/>
        <v>900000</v>
      </c>
      <c r="K14" s="27">
        <v>1.1999999999999999E-3</v>
      </c>
      <c r="L14" s="7">
        <v>180</v>
      </c>
      <c r="M14" s="98" t="str">
        <f>IF(AND(I14&gt;=E14,J14&lt;=F14),"OK","Review")</f>
        <v>OK</v>
      </c>
      <c r="N14" s="11">
        <f>ABS(G14)*K14+ABS(H14)*K14+IF(ABS(G14)+ABS(H14)&gt;0,L14,0)</f>
        <v>899.99999999999989</v>
      </c>
      <c r="O14" s="3" t="s">
        <v>4748</v>
      </c>
      <c r="P14" s="7">
        <v>1850000</v>
      </c>
      <c r="Q14" s="7">
        <v>1804000</v>
      </c>
      <c r="R14" s="28">
        <f>Q14/P14</f>
        <v>0.97513513513513517</v>
      </c>
      <c r="S14" s="27">
        <v>3.0000000000000001E-3</v>
      </c>
      <c r="T14" s="7">
        <v>35</v>
      </c>
      <c r="U14" s="26">
        <v>20173.400000000001</v>
      </c>
      <c r="V14" s="11">
        <f>P14-(P14*Q14)/(Q14+U14*(1-S14))</f>
        <v>20398.314184415853</v>
      </c>
      <c r="W14" s="11">
        <f>V14-U14-T14</f>
        <v>189.9141844158512</v>
      </c>
      <c r="X14" s="26">
        <v>0</v>
      </c>
      <c r="Y14" s="11">
        <f>Q14-(P14*Q14)/(P14+X14*(1-S14))</f>
        <v>0</v>
      </c>
      <c r="Z14" s="11">
        <f>Y14-X14-T14</f>
        <v>-35</v>
      </c>
      <c r="AD14" s="1" t="s">
        <v>4749</v>
      </c>
      <c r="AE14" s="1" t="s">
        <v>4748</v>
      </c>
      <c r="AF14" s="1" t="s">
        <v>4750</v>
      </c>
      <c r="AG14" s="1" t="s">
        <v>4751</v>
      </c>
      <c r="AH14" s="1" t="s">
        <v>4752</v>
      </c>
    </row>
    <row r="15" spans="2:34" ht="21" customHeight="1">
      <c r="B15" s="3" t="s">
        <v>4750</v>
      </c>
      <c r="C15" s="7">
        <v>2800000</v>
      </c>
      <c r="D15" s="7">
        <v>900000</v>
      </c>
      <c r="E15" s="7">
        <v>2000000</v>
      </c>
      <c r="F15" s="7">
        <v>2600000</v>
      </c>
      <c r="G15" s="26">
        <f t="shared" ref="G15:G17" si="1">L27</f>
        <v>0</v>
      </c>
      <c r="H15" s="26">
        <f t="shared" ref="H15:H17" si="2">M27</f>
        <v>0</v>
      </c>
      <c r="I15" s="11">
        <f t="shared" si="0"/>
        <v>2800000</v>
      </c>
      <c r="J15" s="11">
        <f t="shared" si="0"/>
        <v>900000</v>
      </c>
      <c r="K15" s="27">
        <v>5.9999999999999995E-4</v>
      </c>
      <c r="L15" s="7">
        <v>95</v>
      </c>
      <c r="M15" s="98" t="str">
        <f t="shared" ref="M15:M17" si="3">IF(AND(I15&gt;=E15,J15&lt;=F15),"OK","Review")</f>
        <v>OK</v>
      </c>
      <c r="N15" s="11">
        <f>ABS(G15)*K15+ABS(H15)*K15+IF(ABS(G15)+ABS(H15)&gt;0,L15,0)</f>
        <v>0</v>
      </c>
      <c r="O15" s="3" t="s">
        <v>4750</v>
      </c>
      <c r="P15" s="7">
        <v>2500000</v>
      </c>
      <c r="Q15" s="7">
        <v>2535000</v>
      </c>
      <c r="R15" s="28">
        <f>Q15/P15</f>
        <v>1.014</v>
      </c>
      <c r="S15" s="27">
        <v>1.8E-3</v>
      </c>
      <c r="T15" s="7">
        <v>12</v>
      </c>
      <c r="U15" s="26">
        <v>0</v>
      </c>
      <c r="V15" s="11">
        <f>P15-(P15*Q15)/(Q15+U15*(1-S15))</f>
        <v>0</v>
      </c>
      <c r="W15" s="11">
        <f>V15-U15-T15</f>
        <v>-12</v>
      </c>
      <c r="X15" s="26">
        <v>15199.82</v>
      </c>
      <c r="Y15" s="11">
        <f>Q15-(P15*Q15)/(P15+X15*(1-S15))</f>
        <v>15292.067453850061</v>
      </c>
      <c r="Z15" s="11">
        <f>Y15-X15-T15</f>
        <v>80.247453850060992</v>
      </c>
      <c r="AD15" s="1">
        <v>1000</v>
      </c>
      <c r="AE15" s="1">
        <f>$P$14-($P$14*$Q$14)/($Q$14+$AD15*(1-$S$14))-AD15</f>
        <v>21.857654056977481</v>
      </c>
      <c r="AF15" s="1">
        <f>$P$15-($P$15*$Q$15)/($Q$15+$AD15*(1-$S$15))-AD15</f>
        <v>-15.969333101063967</v>
      </c>
      <c r="AG15" s="1">
        <f>$P$16-($P$16*$Q$16)/($Q$16+$AD15*(1-$S$16))-AD15</f>
        <v>16.945128632243723</v>
      </c>
      <c r="AH15" s="1">
        <f>$P$17-($P$17*$Q$17)/($Q$17+$AD15*(1-$S$17))-AD15</f>
        <v>-31.266494861571118</v>
      </c>
    </row>
    <row r="16" spans="2:34" ht="21" customHeight="1">
      <c r="B16" s="3" t="s">
        <v>4751</v>
      </c>
      <c r="C16" s="7">
        <v>700000</v>
      </c>
      <c r="D16" s="7">
        <v>400000</v>
      </c>
      <c r="E16" s="7">
        <v>900000</v>
      </c>
      <c r="F16" s="7">
        <v>1400000</v>
      </c>
      <c r="G16" s="26">
        <f t="shared" si="1"/>
        <v>-200000</v>
      </c>
      <c r="H16" s="26">
        <f t="shared" si="2"/>
        <v>-200000</v>
      </c>
      <c r="I16" s="11">
        <f t="shared" si="0"/>
        <v>900000</v>
      </c>
      <c r="J16" s="11">
        <f t="shared" si="0"/>
        <v>600000</v>
      </c>
      <c r="K16" s="27">
        <v>8.9999999999999998E-4</v>
      </c>
      <c r="L16" s="7">
        <v>70</v>
      </c>
      <c r="M16" s="98" t="str">
        <f t="shared" si="3"/>
        <v>OK</v>
      </c>
      <c r="N16" s="11">
        <f>ABS(G16)*K16+ABS(H16)*K16+IF(ABS(G16)+ABS(H16)&gt;0,L16,0)</f>
        <v>430</v>
      </c>
      <c r="O16" s="3" t="s">
        <v>4751</v>
      </c>
      <c r="P16" s="7">
        <v>850000</v>
      </c>
      <c r="Q16" s="7">
        <v>833000</v>
      </c>
      <c r="R16" s="28">
        <f>Q16/P16</f>
        <v>0.98</v>
      </c>
      <c r="S16" s="27">
        <v>2.2000000000000001E-3</v>
      </c>
      <c r="T16" s="7">
        <v>9</v>
      </c>
      <c r="U16" s="26">
        <v>10000</v>
      </c>
      <c r="V16" s="11">
        <f>P16-(P16*Q16)/(Q16+U16*(1-S16))</f>
        <v>10061.116660221247</v>
      </c>
      <c r="W16" s="11">
        <f>V16-U16-T16</f>
        <v>52.116660221247002</v>
      </c>
      <c r="X16" s="26">
        <v>0</v>
      </c>
      <c r="Y16" s="11">
        <f>Q16-(P16*Q16)/(P16+X16*(1-S16))</f>
        <v>0</v>
      </c>
      <c r="Z16" s="11">
        <f>Y16-X16-T16</f>
        <v>-9</v>
      </c>
      <c r="AD16" s="1">
        <f>+AD15+2500</f>
        <v>3500</v>
      </c>
      <c r="AE16" s="1">
        <f>$P$14-($P$14*$Q$14)/($Q$14+$AD16*(1-$S$14))-AD16</f>
        <v>71.569848676910624</v>
      </c>
      <c r="AF16" s="1">
        <f>$P$15-($P$15*$Q$15)/($Q$15+$AD16*(1-$S$15))-AD16</f>
        <v>-59.278441383969039</v>
      </c>
      <c r="AG16" s="1">
        <f>$P$16-($P$16*$Q$16)/($Q$16+$AD16*(1-$S$16))-AD16</f>
        <v>48.693753666360863</v>
      </c>
      <c r="AH16" s="1">
        <f>$P$17-($P$17*$Q$17)/($Q$17+$AD16*(1-$S$17))-AD16</f>
        <v>-114.55709447152913</v>
      </c>
    </row>
    <row r="17" spans="2:34" ht="21" customHeight="1">
      <c r="B17" s="3" t="s">
        <v>4752</v>
      </c>
      <c r="C17" s="7">
        <v>3100000</v>
      </c>
      <c r="D17" s="7">
        <v>200000</v>
      </c>
      <c r="E17" s="7">
        <v>1800000</v>
      </c>
      <c r="F17" s="7">
        <v>2500000</v>
      </c>
      <c r="G17" s="26">
        <f t="shared" si="1"/>
        <v>0</v>
      </c>
      <c r="H17" s="26">
        <f t="shared" si="2"/>
        <v>0</v>
      </c>
      <c r="I17" s="11">
        <f t="shared" si="0"/>
        <v>3100000</v>
      </c>
      <c r="J17" s="11">
        <f t="shared" si="0"/>
        <v>200000</v>
      </c>
      <c r="K17" s="27">
        <v>6.9999999999999999E-4</v>
      </c>
      <c r="L17" s="7">
        <v>80</v>
      </c>
      <c r="M17" s="98" t="str">
        <f t="shared" si="3"/>
        <v>OK</v>
      </c>
      <c r="N17" s="11">
        <f>ABS(G17)*K17+ABS(H17)*K17+IF(ABS(G17)+ABS(H17)&gt;0,L17,0)</f>
        <v>0</v>
      </c>
      <c r="O17" s="3" t="s">
        <v>4752</v>
      </c>
      <c r="P17" s="7">
        <v>1600000</v>
      </c>
      <c r="Q17" s="7">
        <v>1648000</v>
      </c>
      <c r="R17" s="28">
        <f>Q17/P17</f>
        <v>1.03</v>
      </c>
      <c r="S17" s="27">
        <v>1.6000000000000001E-3</v>
      </c>
      <c r="T17" s="7">
        <v>11</v>
      </c>
      <c r="U17" s="26">
        <v>0</v>
      </c>
      <c r="V17" s="11">
        <f>P17-(P17*Q17)/(Q17+U17*(1-S17))</f>
        <v>0</v>
      </c>
      <c r="W17" s="11">
        <f>V17-U17-T17</f>
        <v>-11</v>
      </c>
      <c r="X17" s="26">
        <v>22559.16</v>
      </c>
      <c r="Y17" s="11">
        <f>Q17-(P17*Q17)/(P17+X17*(1-S17))</f>
        <v>22876.72359162569</v>
      </c>
      <c r="Z17" s="11">
        <f>Y17-X17-T17</f>
        <v>306.56359162569061</v>
      </c>
      <c r="AD17" s="1">
        <f t="shared" ref="AD17:AD35" si="4">+AD16+2500</f>
        <v>6000</v>
      </c>
      <c r="AE17" s="1">
        <f>$P$14-($P$14*$Q$14)/($Q$14+$AD17*(1-$S$14))-AD17</f>
        <v>114.25969982030801</v>
      </c>
      <c r="AF17" s="1">
        <f>$P$15-($P$15*$Q$15)/($Q$15+$AD17*(1-$S$15))-AD17</f>
        <v>-107.41297129448503</v>
      </c>
      <c r="AG17" s="1">
        <f>$P$16-($P$16*$Q$16)/($Q$16+$AD17*(1-$S$16))-AD17</f>
        <v>65.38744113733992</v>
      </c>
      <c r="AH17" s="1">
        <f>$P$17-($P$17*$Q$17)/($Q$17+$AD17*(1-$S$17))-AD17</f>
        <v>-205.14169852505438</v>
      </c>
    </row>
    <row r="18" spans="2:34">
      <c r="AD18" s="1">
        <f t="shared" si="4"/>
        <v>8500</v>
      </c>
      <c r="AE18" s="1">
        <f>$P$14-($P$14*$Q$14)/($Q$14+$AD18*(1-$S$14))-AD18</f>
        <v>149.9561786937993</v>
      </c>
      <c r="AF18" s="1">
        <f>$P$15-($P$15*$Q$15)/($Q$15+$AD18*(1-$S$15))-AD18</f>
        <v>-160.35871967300773</v>
      </c>
      <c r="AG18" s="1">
        <f>$P$16-($P$16*$Q$16)/($Q$16+$AD18*(1-$S$16))-AD18</f>
        <v>67.160078304819763</v>
      </c>
      <c r="AH18" s="1">
        <f>$P$17-($P$17*$Q$17)/($Q$17+$AD18*(1-$S$17))-AD18</f>
        <v>-302.98733512102626</v>
      </c>
    </row>
    <row r="19" spans="2:34">
      <c r="AD19" s="1">
        <f t="shared" si="4"/>
        <v>11000</v>
      </c>
      <c r="AE19" s="1">
        <f>$P$14-($P$14*$Q$14)/($Q$14+$AD19*(1-$S$14))-AD19</f>
        <v>178.68809735937975</v>
      </c>
      <c r="AF19" s="1">
        <f>$P$15-($P$15*$Q$15)/($Q$15+$AD19*(1-$S$15))-AD19</f>
        <v>-218.10153904557228</v>
      </c>
      <c r="AG19" s="1">
        <f>$P$16-($P$16*$Q$16)/($Q$16+$AD19*(1-$S$16))-AD19</f>
        <v>54.143969530938193</v>
      </c>
      <c r="AH19" s="1">
        <f>$P$17-($P$17*$Q$17)/($Q$17+$AD19*(1-$S$17))-AD19</f>
        <v>-408.06123078824021</v>
      </c>
    </row>
    <row r="20" spans="2:34" ht="27">
      <c r="B20" s="100" t="s">
        <v>4753</v>
      </c>
      <c r="C20" s="100"/>
      <c r="D20" s="100"/>
      <c r="E20" s="100"/>
      <c r="F20" s="100"/>
      <c r="G20" s="100"/>
      <c r="H20" s="100"/>
      <c r="O20" s="4" t="s">
        <v>4724</v>
      </c>
      <c r="P20" s="4" t="s">
        <v>4742</v>
      </c>
      <c r="Q20" s="4" t="s">
        <v>4744</v>
      </c>
      <c r="R20" s="4" t="s">
        <v>4745</v>
      </c>
      <c r="S20" s="4" t="s">
        <v>4747</v>
      </c>
      <c r="AD20" s="1">
        <f t="shared" si="4"/>
        <v>13500</v>
      </c>
      <c r="AE20" s="1">
        <f>$P$14-($P$14*$Q$14)/($Q$14+$AD20*(1-$S$14))-AD20</f>
        <v>200.48410982475616</v>
      </c>
      <c r="AF20" s="1">
        <f>$P$15-($P$15*$Q$15)/($Q$15+$AD20*(1-$S$15))-AD20</f>
        <v>-280.62733735283837</v>
      </c>
      <c r="AG20" s="1">
        <f>$P$16-($P$16*$Q$16)/($Q$16+$AD20*(1-$S$16))-AD20</f>
        <v>26.469859604141675</v>
      </c>
      <c r="AH20" s="1">
        <f>$P$17-($P$17*$Q$17)/($Q$17+$AD20*(1-$S$17))-AD20</f>
        <v>-520.33080899529159</v>
      </c>
    </row>
    <row r="21" spans="2:34">
      <c r="B21" s="3" t="s">
        <v>4754</v>
      </c>
      <c r="C21" s="11">
        <f>SUM(N14:N17)</f>
        <v>1330</v>
      </c>
      <c r="O21" s="3" t="s">
        <v>4748</v>
      </c>
      <c r="P21" s="79">
        <v>20173.400000000001</v>
      </c>
      <c r="Q21" s="82">
        <v>189.9141844158512</v>
      </c>
      <c r="R21" s="79">
        <v>0</v>
      </c>
      <c r="S21" s="82">
        <v>0</v>
      </c>
      <c r="U21" s="39"/>
      <c r="V21" s="79"/>
      <c r="AD21" s="1">
        <f t="shared" si="4"/>
        <v>16000</v>
      </c>
      <c r="AE21" s="1">
        <f>$P$14-($P$14*$Q$14)/($Q$14+$AD21*(1-$S$14))-AD21</f>
        <v>215.37271312647499</v>
      </c>
      <c r="AF21" s="1">
        <f>$P$15-($P$15*$Q$15)/($Q$15+$AD21*(1-$S$15))-AD21</f>
        <v>-347.92207767767832</v>
      </c>
      <c r="AG21" s="1">
        <f>$P$16-($P$16*$Q$16)/($Q$16+$AD21*(1-$S$16))-AD21</f>
        <v>-15.733043348765932</v>
      </c>
      <c r="AH21" s="1">
        <f>$P$17-($P$17*$Q$17)/($Q$17+$AD21*(1-$S$17))-AD21</f>
        <v>-639.76368867233396</v>
      </c>
    </row>
    <row r="22" spans="2:34">
      <c r="O22" s="3" t="s">
        <v>4750</v>
      </c>
      <c r="P22" s="79">
        <v>0</v>
      </c>
      <c r="Q22" s="82">
        <v>0</v>
      </c>
      <c r="R22" s="79">
        <v>15199.82</v>
      </c>
      <c r="S22" s="82">
        <v>80.247453850060992</v>
      </c>
      <c r="U22" s="39"/>
      <c r="AD22" s="1">
        <f t="shared" si="4"/>
        <v>18500</v>
      </c>
      <c r="AE22" s="1">
        <f>$P$14-($P$14*$Q$14)/($Q$14+$AD22*(1-$S$14))-AD22</f>
        <v>223.38224840327166</v>
      </c>
      <c r="AF22" s="1">
        <f>$P$15-($P$15*$Q$15)/($Q$15+$AD22*(1-$S$15))-AD22</f>
        <v>-419.97177797509357</v>
      </c>
      <c r="AG22" s="1">
        <f>$P$16-($P$16*$Q$16)/($Q$16+$AD22*(1-$S$16))-AD22</f>
        <v>-72.337045352556743</v>
      </c>
      <c r="AH22" s="1">
        <f>$P$17-($P$17*$Q$17)/($Q$17+$AD22*(1-$S$17))-AD22</f>
        <v>-766.32768274797127</v>
      </c>
    </row>
    <row r="23" spans="2:34">
      <c r="B23" s="1" t="s">
        <v>4755</v>
      </c>
      <c r="C23" s="36" t="s">
        <v>4756</v>
      </c>
      <c r="D23" s="78" t="s">
        <v>4757</v>
      </c>
      <c r="E23" s="36" t="s">
        <v>4758</v>
      </c>
      <c r="O23" s="3" t="s">
        <v>4751</v>
      </c>
      <c r="P23" s="79">
        <v>10000</v>
      </c>
      <c r="Q23" s="82">
        <v>52.116660221247002</v>
      </c>
      <c r="R23" s="79">
        <v>0</v>
      </c>
      <c r="S23" s="82">
        <v>0</v>
      </c>
      <c r="AD23" s="1">
        <f t="shared" si="4"/>
        <v>21000</v>
      </c>
      <c r="AE23" s="1">
        <f>$P$14-($P$14*$Q$14)/($Q$14+$AD23*(1-$S$14))-AD23</f>
        <v>224.54090195987374</v>
      </c>
      <c r="AF23" s="1">
        <f>$P$15-($P$15*$Q$15)/($Q$15+$AD23*(1-$S$15))-AD23</f>
        <v>-496.76251080678776</v>
      </c>
      <c r="AG23" s="1">
        <f>$P$16-($P$16*$Q$16)/($Q$16+$AD23*(1-$S$16))-AD23</f>
        <v>-143.21594446909148</v>
      </c>
      <c r="AH23" s="1">
        <f>$P$17-($P$17*$Q$17)/($Q$17+$AD23*(1-$S$17))-AD23</f>
        <v>-899.99079669918865</v>
      </c>
    </row>
    <row r="24" spans="2:34">
      <c r="O24" s="3" t="s">
        <v>4752</v>
      </c>
      <c r="P24" s="79">
        <v>0</v>
      </c>
      <c r="Q24" s="82">
        <v>0</v>
      </c>
      <c r="R24" s="79">
        <v>22559.16</v>
      </c>
      <c r="S24" s="82">
        <v>306.56359162569061</v>
      </c>
      <c r="AD24" s="1">
        <f t="shared" si="4"/>
        <v>23500</v>
      </c>
      <c r="AE24" s="1">
        <f>$P$14-($P$14*$Q$14)/($Q$14+$AD24*(1-$S$14))-AD24</f>
        <v>218.8767063242849</v>
      </c>
      <c r="AF24" s="1">
        <f>$P$15-($P$15*$Q$15)/($Q$15+$AD24*(1-$S$15))-AD24</f>
        <v>-578.28040307248011</v>
      </c>
      <c r="AG24" s="1">
        <f>$P$16-($P$16*$Q$16)/($Q$16+$AD24*(1-$S$16))-AD24</f>
        <v>-228.24500906816684</v>
      </c>
      <c r="AH24" s="1">
        <f>$P$17-($P$17*$Q$17)/($Q$17+$AD24*(1-$S$17))-AD24</f>
        <v>-1040.721227112459</v>
      </c>
    </row>
    <row r="25" spans="2:34" ht="18" customHeight="1">
      <c r="B25" s="1" t="s">
        <v>4724</v>
      </c>
      <c r="C25" s="1" t="s">
        <v>4759</v>
      </c>
      <c r="D25" s="1" t="s">
        <v>4760</v>
      </c>
      <c r="E25" s="75" t="s">
        <v>4761</v>
      </c>
      <c r="F25" s="75" t="s">
        <v>4762</v>
      </c>
      <c r="G25" s="1" t="s">
        <v>4763</v>
      </c>
      <c r="H25" s="75" t="s">
        <v>4764</v>
      </c>
      <c r="I25" s="1" t="s">
        <v>4765</v>
      </c>
      <c r="J25" s="75" t="s">
        <v>4766</v>
      </c>
      <c r="K25" s="75" t="s">
        <v>4767</v>
      </c>
      <c r="L25" s="75" t="s">
        <v>4768</v>
      </c>
      <c r="M25" s="75" t="s">
        <v>4769</v>
      </c>
      <c r="AD25" s="1">
        <f t="shared" si="4"/>
        <v>26000</v>
      </c>
      <c r="AE25" s="1">
        <f>$P$14-($P$14*$Q$14)/($Q$14+$AD25*(1-$S$14))-AD25</f>
        <v>206.41754129412584</v>
      </c>
      <c r="AF25" s="1">
        <f>$P$15-($P$15*$Q$15)/($Q$15+$AD25*(1-$S$15))-AD25</f>
        <v>-664.51163574540988</v>
      </c>
      <c r="AG25" s="1">
        <f>$P$16-($P$16*$Q$16)/($Q$16+$AD25*(1-$S$16))-AD25</f>
        <v>-327.30095647810958</v>
      </c>
      <c r="AH25" s="1">
        <f>$P$17-($P$17*$Q$17)/($Q$17+$AD25*(1-$S$17))-AD25</f>
        <v>-1188.487360259518</v>
      </c>
    </row>
    <row r="26" spans="2:34">
      <c r="B26" s="1" t="str">
        <f>+B14</f>
        <v>Ethereum</v>
      </c>
      <c r="C26" s="39">
        <f>+C14</f>
        <v>1200000</v>
      </c>
      <c r="D26" s="39">
        <f>+D14</f>
        <v>600000</v>
      </c>
      <c r="E26" s="39">
        <f t="shared" ref="E26:F26" si="5">+E14</f>
        <v>1500000</v>
      </c>
      <c r="F26" s="39">
        <f t="shared" si="5"/>
        <v>2200000</v>
      </c>
      <c r="G26" s="1">
        <f>IF(C26&lt;E26,1,0)</f>
        <v>1</v>
      </c>
      <c r="H26" s="80">
        <f>IF(G26=1,C26-E26,0)</f>
        <v>-300000</v>
      </c>
      <c r="I26" s="1" t="str">
        <f>IF(D26-H26&lt;0,"Insufficient funds!","Ok")</f>
        <v>Ok</v>
      </c>
      <c r="J26" s="80">
        <f>IF(D26&gt;F26,-1,0)</f>
        <v>0</v>
      </c>
      <c r="K26" s="81">
        <f>IF(J26=-1,D26-F26,0)</f>
        <v>0</v>
      </c>
      <c r="L26" s="39">
        <f>+H26+K26</f>
        <v>-300000</v>
      </c>
      <c r="M26" s="39">
        <f>+H26+K26</f>
        <v>-300000</v>
      </c>
      <c r="AD26" s="1">
        <f t="shared" si="4"/>
        <v>28500</v>
      </c>
      <c r="AE26" s="1">
        <f>$P$14-($P$14*$Q$14)/($Q$14+$AD26*(1-$S$14))-AD26</f>
        <v>187.19113497529179</v>
      </c>
      <c r="AF26" s="1">
        <f>$P$15-($P$15*$Q$15)/($Q$15+$AD26*(1-$S$15))-AD26</f>
        <v>-755.44244361110032</v>
      </c>
      <c r="AG26" s="1">
        <f>$P$16-($P$16*$Q$16)/($Q$16+$AD26*(1-$S$16))-AD26</f>
        <v>-440.26193200587295</v>
      </c>
      <c r="AH26" s="1">
        <f>$P$17-($P$17*$Q$17)/($Q$17+$AD26*(1-$S$17))-AD26</f>
        <v>-1343.2577706857119</v>
      </c>
    </row>
    <row r="27" spans="2:34">
      <c r="B27" s="1" t="str">
        <f t="shared" ref="B27:F29" si="6">+B15</f>
        <v>Base</v>
      </c>
      <c r="C27" s="39">
        <f t="shared" si="6"/>
        <v>2800000</v>
      </c>
      <c r="D27" s="39">
        <f t="shared" si="6"/>
        <v>900000</v>
      </c>
      <c r="E27" s="39">
        <f t="shared" si="6"/>
        <v>2000000</v>
      </c>
      <c r="F27" s="39">
        <f t="shared" si="6"/>
        <v>2600000</v>
      </c>
      <c r="G27" s="1">
        <f t="shared" ref="G27:G29" si="7">IF(C27&lt;E27,1,0)</f>
        <v>0</v>
      </c>
      <c r="H27" s="80">
        <f t="shared" ref="H27:H29" si="8">IF(G27=1,C27-E27,0)</f>
        <v>0</v>
      </c>
      <c r="I27" s="1" t="str">
        <f t="shared" ref="I27:I29" si="9">IF(D27-H27&lt;0,"Insufficient funds!","Ok")</f>
        <v>Ok</v>
      </c>
      <c r="J27" s="80">
        <f t="shared" ref="J27:J29" si="10">IF(D27&gt;F27,-1,0)</f>
        <v>0</v>
      </c>
      <c r="K27" s="81">
        <f t="shared" ref="K27:K29" si="11">IF(J27=-1,D27-F27,0)</f>
        <v>0</v>
      </c>
      <c r="L27" s="39">
        <f t="shared" ref="L27:L29" si="12">+H27+K27</f>
        <v>0</v>
      </c>
      <c r="M27" s="39">
        <f t="shared" ref="M27:M29" si="13">+H27+K27</f>
        <v>0</v>
      </c>
      <c r="AD27" s="1">
        <f t="shared" si="4"/>
        <v>31000</v>
      </c>
      <c r="AE27" s="1">
        <f>$P$14-($P$14*$Q$14)/($Q$14+$AD27*(1-$S$14))-AD27</f>
        <v>161.22506481246091</v>
      </c>
      <c r="AF27" s="1">
        <f>$P$15-($P$15*$Q$15)/($Q$15+$AD27*(1-$S$15))-AD27</f>
        <v>-851.05911500332877</v>
      </c>
      <c r="AG27" s="1">
        <f>$P$16-($P$16*$Q$16)/($Q$16+$AD27*(1-$S$16))-AD27</f>
        <v>-567.00748832256068</v>
      </c>
      <c r="AH27" s="1">
        <f>$P$17-($P$17*$Q$17)/($Q$17+$AD27*(1-$S$17))-AD27</f>
        <v>-1505.0012198097538</v>
      </c>
    </row>
    <row r="28" spans="2:34">
      <c r="B28" s="1" t="str">
        <f t="shared" si="6"/>
        <v>Polygon</v>
      </c>
      <c r="C28" s="39">
        <f t="shared" si="6"/>
        <v>700000</v>
      </c>
      <c r="D28" s="39">
        <f t="shared" si="6"/>
        <v>400000</v>
      </c>
      <c r="E28" s="39">
        <f t="shared" si="6"/>
        <v>900000</v>
      </c>
      <c r="F28" s="39">
        <f t="shared" si="6"/>
        <v>1400000</v>
      </c>
      <c r="G28" s="1">
        <f t="shared" si="7"/>
        <v>1</v>
      </c>
      <c r="H28" s="80">
        <f t="shared" si="8"/>
        <v>-200000</v>
      </c>
      <c r="I28" s="1" t="str">
        <f t="shared" si="9"/>
        <v>Ok</v>
      </c>
      <c r="J28" s="80">
        <f t="shared" si="10"/>
        <v>0</v>
      </c>
      <c r="K28" s="81">
        <f t="shared" si="11"/>
        <v>0</v>
      </c>
      <c r="L28" s="39">
        <f t="shared" si="12"/>
        <v>-200000</v>
      </c>
      <c r="M28" s="39">
        <f t="shared" si="13"/>
        <v>-200000</v>
      </c>
      <c r="AD28" s="1">
        <f t="shared" si="4"/>
        <v>33500</v>
      </c>
      <c r="AE28" s="1">
        <f>$P$14-($P$14*$Q$14)/($Q$14+$AD28*(1-$S$14))-AD28</f>
        <v>128.54675861191936</v>
      </c>
      <c r="AF28" s="1">
        <f>$P$15-($P$15*$Q$15)/($Q$15+$AD28*(1-$S$15))-AD28</f>
        <v>-951.34799154521897</v>
      </c>
      <c r="AG28" s="1">
        <f>$P$16-($P$16*$Q$16)/($Q$16+$AD28*(1-$S$16))-AD28</f>
        <v>-707.41856520273723</v>
      </c>
      <c r="AH28" s="1">
        <f>$P$17-($P$17*$Q$17)/($Q$17+$AD28*(1-$S$17))-AD28</f>
        <v>-1673.6866545374505</v>
      </c>
    </row>
    <row r="29" spans="2:34">
      <c r="B29" s="1" t="str">
        <f t="shared" si="6"/>
        <v>Solana</v>
      </c>
      <c r="C29" s="39">
        <f t="shared" si="6"/>
        <v>3100000</v>
      </c>
      <c r="D29" s="39">
        <f t="shared" si="6"/>
        <v>200000</v>
      </c>
      <c r="E29" s="39">
        <f t="shared" si="6"/>
        <v>1800000</v>
      </c>
      <c r="F29" s="39">
        <f t="shared" si="6"/>
        <v>2500000</v>
      </c>
      <c r="G29" s="1">
        <f t="shared" si="7"/>
        <v>0</v>
      </c>
      <c r="H29" s="80">
        <f t="shared" si="8"/>
        <v>0</v>
      </c>
      <c r="I29" s="1" t="str">
        <f t="shared" si="9"/>
        <v>Ok</v>
      </c>
      <c r="J29" s="80">
        <f t="shared" si="10"/>
        <v>0</v>
      </c>
      <c r="K29" s="81">
        <f t="shared" si="11"/>
        <v>0</v>
      </c>
      <c r="L29" s="39">
        <f t="shared" si="12"/>
        <v>0</v>
      </c>
      <c r="M29" s="39">
        <f t="shared" si="13"/>
        <v>0</v>
      </c>
      <c r="AD29" s="1">
        <f t="shared" si="4"/>
        <v>36000</v>
      </c>
      <c r="AE29" s="1">
        <f>$P$14-($P$14*$Q$14)/($Q$14+$AD29*(1-$S$14))-AD29</f>
        <v>89.183495552977547</v>
      </c>
      <c r="AF29" s="1">
        <f>$P$15-($P$15*$Q$15)/($Q$15+$AD29*(1-$S$15))-AD29</f>
        <v>-1056.2954678903334</v>
      </c>
      <c r="AG29" s="1">
        <f>$P$16-($P$16*$Q$16)/($Q$16+$AD29*(1-$S$16))-AD29</f>
        <v>-861.37746961519588</v>
      </c>
      <c r="AH29" s="1">
        <f>$P$17-($P$17*$Q$17)/($Q$17+$AD29*(1-$S$17))-AD29</f>
        <v>-1849.2832058863714</v>
      </c>
    </row>
    <row r="30" spans="2:34">
      <c r="AD30" s="1">
        <f t="shared" si="4"/>
        <v>38500</v>
      </c>
      <c r="AE30" s="1">
        <f>$P$14-($P$14*$Q$14)/($Q$14+$AD30*(1-$S$14))-AD30</f>
        <v>43.162407195661217</v>
      </c>
      <c r="AF30" s="1">
        <f>$P$15-($P$15*$Q$15)/($Q$15+$AD30*(1-$S$15))-AD30</f>
        <v>-1165.8879914656281</v>
      </c>
      <c r="AG30" s="1">
        <f>$P$16-($P$16*$Q$16)/($Q$16+$AD30*(1-$S$16))-AD30</f>
        <v>-1028.7678561530774</v>
      </c>
      <c r="AH30" s="1">
        <f>$P$17-($P$17*$Q$17)/($Q$17+$AD30*(1-$S$17))-AD30</f>
        <v>-2031.7601876237895</v>
      </c>
    </row>
    <row r="31" spans="2:34" ht="19.5" customHeight="1">
      <c r="B31" s="1" t="s">
        <v>4724</v>
      </c>
      <c r="C31" s="1" t="s">
        <v>4759</v>
      </c>
      <c r="D31" s="1" t="s">
        <v>4760</v>
      </c>
      <c r="E31" s="75" t="s">
        <v>4761</v>
      </c>
      <c r="F31" s="75" t="s">
        <v>4770</v>
      </c>
      <c r="G31" s="1" t="s">
        <v>4764</v>
      </c>
      <c r="H31" s="75" t="s">
        <v>4765</v>
      </c>
      <c r="I31" s="1" t="s">
        <v>4768</v>
      </c>
      <c r="J31" s="75" t="s">
        <v>4769</v>
      </c>
      <c r="AD31" s="1">
        <f t="shared" si="4"/>
        <v>41000</v>
      </c>
      <c r="AE31" s="1">
        <f>$P$14-($P$14*$Q$14)/($Q$14+$AD31*(1-$S$14))-AD31</f>
        <v>-9.4895215237047523</v>
      </c>
      <c r="AF31" s="1">
        <f>$P$15-($P$15*$Q$15)/($Q$15+$AD31*(1-$S$15))-AD31</f>
        <v>-1280.1120622167364</v>
      </c>
      <c r="AG31" s="1">
        <f>$P$16-($P$16*$Q$16)/($Q$16+$AD31*(1-$S$16))-AD31</f>
        <v>-1209.4747078015935</v>
      </c>
      <c r="AH31" s="1">
        <f>$P$17-($P$17*$Q$17)/($Q$17+$AD31*(1-$S$17))-AD31</f>
        <v>-2221.0870949162636</v>
      </c>
    </row>
    <row r="32" spans="2:34">
      <c r="B32" s="1" t="str">
        <f>+B26</f>
        <v>Ethereum</v>
      </c>
      <c r="C32" s="39">
        <f>+C14</f>
        <v>1200000</v>
      </c>
      <c r="D32" s="39">
        <f t="shared" ref="D32:F32" si="14">+D14</f>
        <v>600000</v>
      </c>
      <c r="E32" s="39">
        <f t="shared" si="14"/>
        <v>1500000</v>
      </c>
      <c r="F32" s="39">
        <f t="shared" si="14"/>
        <v>2200000</v>
      </c>
      <c r="G32" s="1">
        <f>IF(C32&lt;E32,E32-C32,IF(C32&gt;F32,F32-C32,0))</f>
        <v>300000</v>
      </c>
      <c r="H32" s="1" t="str">
        <f>IF(D32-G32&lt;0,"Insufficient funds on-chain!","Ok")</f>
        <v>Ok</v>
      </c>
      <c r="I32" s="1">
        <f>-G32</f>
        <v>-300000</v>
      </c>
      <c r="J32" s="1">
        <f>+-I32</f>
        <v>300000</v>
      </c>
      <c r="AD32" s="1">
        <f t="shared" si="4"/>
        <v>43500</v>
      </c>
      <c r="AE32" s="1">
        <f>$P$14-($P$14*$Q$14)/($Q$14+$AD32*(1-$S$14))-AD32</f>
        <v>-68.745451302500442</v>
      </c>
      <c r="AF32" s="1">
        <f>$P$15-($P$15*$Q$15)/($Q$15+$AD32*(1-$S$15))-AD32</f>
        <v>-1398.9542323504575</v>
      </c>
      <c r="AG32" s="1">
        <f>$P$16-($P$16*$Q$16)/($Q$16+$AD32*(1-$S$16))-AD32</f>
        <v>-1403.3843170326436</v>
      </c>
      <c r="AH32" s="1">
        <f>$P$17-($P$17*$Q$17)/($Q$17+$AD32*(1-$S$17))-AD32</f>
        <v>-2417.233602990862</v>
      </c>
    </row>
    <row r="33" spans="2:34">
      <c r="B33" s="1" t="str">
        <f t="shared" ref="B33:B35" si="15">+B27</f>
        <v>Base</v>
      </c>
      <c r="C33" s="39">
        <f t="shared" ref="C33:F33" si="16">+C15</f>
        <v>2800000</v>
      </c>
      <c r="D33" s="39">
        <f t="shared" si="16"/>
        <v>900000</v>
      </c>
      <c r="E33" s="39">
        <f t="shared" si="16"/>
        <v>2000000</v>
      </c>
      <c r="F33" s="39">
        <f t="shared" si="16"/>
        <v>2600000</v>
      </c>
      <c r="G33" s="1">
        <f t="shared" ref="G33:G35" si="17">IF(C33&lt;E33,E33-C33,IF(C33&gt;F33,F33-C33,0))</f>
        <v>-200000</v>
      </c>
      <c r="H33" s="1" t="str">
        <f t="shared" ref="H33:H35" si="18">IF(D33-G33&lt;0,"Insufficient funds on-chain!","Ok")</f>
        <v>Ok</v>
      </c>
      <c r="I33" s="1">
        <f t="shared" ref="I33:I35" si="19">-G33</f>
        <v>200000</v>
      </c>
      <c r="J33" s="1">
        <f t="shared" ref="J33:J35" si="20">+-I33</f>
        <v>-200000</v>
      </c>
      <c r="AD33" s="1">
        <f t="shared" si="4"/>
        <v>46000</v>
      </c>
      <c r="AE33" s="1">
        <f>$P$14-($P$14*$Q$14)/($Q$14+$AD33*(1-$S$14))-AD33</f>
        <v>-134.57868749136105</v>
      </c>
      <c r="AF33" s="1">
        <f>$P$15-($P$15*$Q$15)/($Q$15+$AD33*(1-$S$15))-AD33</f>
        <v>-1522.4011060870253</v>
      </c>
      <c r="AG33" s="1">
        <f>$P$16-($P$16*$Q$16)/($Q$16+$AD33*(1-$S$16))-AD33</f>
        <v>-1610.3842672216706</v>
      </c>
      <c r="AH33" s="1">
        <f>$P$17-($P$17*$Q$17)/($Q$17+$AD33*(1-$S$17))-AD33</f>
        <v>-2620.1695658089593</v>
      </c>
    </row>
    <row r="34" spans="2:34">
      <c r="B34" s="1" t="str">
        <f t="shared" si="15"/>
        <v>Polygon</v>
      </c>
      <c r="C34" s="39">
        <f t="shared" ref="C34:F34" si="21">+C16</f>
        <v>700000</v>
      </c>
      <c r="D34" s="39">
        <f t="shared" si="21"/>
        <v>400000</v>
      </c>
      <c r="E34" s="39">
        <f t="shared" si="21"/>
        <v>900000</v>
      </c>
      <c r="F34" s="39">
        <f t="shared" si="21"/>
        <v>1400000</v>
      </c>
      <c r="G34" s="1">
        <f t="shared" si="17"/>
        <v>200000</v>
      </c>
      <c r="H34" s="1" t="str">
        <f t="shared" si="18"/>
        <v>Ok</v>
      </c>
      <c r="I34" s="1">
        <f t="shared" si="19"/>
        <v>-200000</v>
      </c>
      <c r="J34" s="1">
        <f t="shared" si="20"/>
        <v>200000</v>
      </c>
      <c r="AD34" s="1">
        <f t="shared" si="4"/>
        <v>48500</v>
      </c>
      <c r="AE34" s="1">
        <f>$P$14-($P$14*$Q$14)/($Q$14+$AD34*(1-$S$14))-AD34</f>
        <v>-206.96267912001349</v>
      </c>
      <c r="AF34" s="1">
        <f>$P$15-($P$15*$Q$15)/($Q$15+$AD34*(1-$S$15))-AD34</f>
        <v>-1650.4393394053914</v>
      </c>
      <c r="AG34" s="1">
        <f>$P$16-($P$16*$Q$16)/($Q$16+$AD34*(1-$S$16))-AD34</f>
        <v>-1830.3634143803502</v>
      </c>
      <c r="AH34" s="1">
        <f>$P$17-($P$17*$Q$17)/($Q$17+$AD34*(1-$S$17))-AD34</f>
        <v>-2829.8650147512089</v>
      </c>
    </row>
    <row r="35" spans="2:34">
      <c r="B35" s="1" t="str">
        <f t="shared" si="15"/>
        <v>Solana</v>
      </c>
      <c r="C35" s="39">
        <f t="shared" ref="C35:F35" si="22">+C17</f>
        <v>3100000</v>
      </c>
      <c r="D35" s="39">
        <f t="shared" si="22"/>
        <v>200000</v>
      </c>
      <c r="E35" s="39">
        <f t="shared" si="22"/>
        <v>1800000</v>
      </c>
      <c r="F35" s="39">
        <f t="shared" si="22"/>
        <v>2500000</v>
      </c>
      <c r="G35" s="1">
        <f t="shared" si="17"/>
        <v>-600000</v>
      </c>
      <c r="H35" s="1" t="str">
        <f t="shared" si="18"/>
        <v>Ok</v>
      </c>
      <c r="I35" s="1">
        <f t="shared" si="19"/>
        <v>600000</v>
      </c>
      <c r="J35" s="1">
        <f t="shared" si="20"/>
        <v>-600000</v>
      </c>
      <c r="AD35" s="1">
        <f t="shared" si="4"/>
        <v>51000</v>
      </c>
      <c r="AE35" s="1">
        <f>$P$14-($P$14*$Q$14)/($Q$14+$AD35*(1-$S$14))-AD35</f>
        <v>-285.87101793312468</v>
      </c>
      <c r="AF35" s="1">
        <f>$P$15-($P$15*$Q$15)/($Q$15+$AD35*(1-$S$15))-AD35</f>
        <v>-1783.0556397940964</v>
      </c>
      <c r="AG35" s="1">
        <f>$P$16-($P$16*$Q$16)/($Q$16+$AD35*(1-$S$16))-AD35</f>
        <v>-2063.2118691987125</v>
      </c>
      <c r="AH35" s="1">
        <f>$P$17-($P$17*$Q$17)/($Q$17+$AD35*(1-$S$17))-AD35</f>
        <v>-3046.2901573143899</v>
      </c>
    </row>
    <row r="39" spans="2:34" ht="40.5">
      <c r="B39" s="4" t="s">
        <v>4724</v>
      </c>
      <c r="C39" s="4" t="s">
        <v>4729</v>
      </c>
      <c r="D39" s="4" t="s">
        <v>4730</v>
      </c>
    </row>
    <row r="40" spans="2:34">
      <c r="B40" s="3" t="s">
        <v>4748</v>
      </c>
      <c r="C40" s="96">
        <v>-300000</v>
      </c>
      <c r="D40" s="96">
        <v>300000</v>
      </c>
    </row>
    <row r="41" spans="2:34">
      <c r="B41" s="3" t="s">
        <v>4750</v>
      </c>
      <c r="C41" s="96">
        <v>200000</v>
      </c>
      <c r="D41" s="96">
        <v>-200000</v>
      </c>
    </row>
    <row r="42" spans="2:34">
      <c r="B42" s="3" t="s">
        <v>4751</v>
      </c>
      <c r="C42" s="96">
        <v>-200000</v>
      </c>
      <c r="D42" s="96">
        <v>200000</v>
      </c>
    </row>
    <row r="43" spans="2:34">
      <c r="B43" s="3" t="s">
        <v>4752</v>
      </c>
      <c r="C43" s="96">
        <v>600000</v>
      </c>
      <c r="D43" s="96">
        <v>-600000</v>
      </c>
    </row>
  </sheetData>
  <mergeCells count="13">
    <mergeCell ref="O12:S12"/>
    <mergeCell ref="T12:U12"/>
    <mergeCell ref="K12:L12"/>
    <mergeCell ref="B20:F20"/>
    <mergeCell ref="G20:H20"/>
    <mergeCell ref="B12:F12"/>
    <mergeCell ref="G12:J12"/>
    <mergeCell ref="B8:J8"/>
    <mergeCell ref="B9:J9"/>
    <mergeCell ref="B10:J10"/>
    <mergeCell ref="B4:F4"/>
    <mergeCell ref="B7:F7"/>
    <mergeCell ref="G7:J7"/>
  </mergeCells>
  <conditionalFormatting sqref="M14:M17">
    <cfRule type="cellIs" dxfId="5" priority="1" operator="equal">
      <formula>"OK"</formula>
    </cfRule>
    <cfRule type="cellIs" dxfId="4" priority="2" operator="equal">
      <formula>"Review"</formula>
    </cfRule>
  </conditionalFormatting>
  <conditionalFormatting sqref="W14:W17">
    <cfRule type="cellIs" dxfId="3" priority="3" operator="greaterThan">
      <formula>0</formula>
    </cfRule>
    <cfRule type="cellIs" dxfId="2" priority="5" operator="lessThanOrEqual">
      <formula>0</formula>
    </cfRule>
  </conditionalFormatting>
  <conditionalFormatting sqref="Z14:Z17">
    <cfRule type="cellIs" dxfId="1" priority="4" operator="greaterThan">
      <formula>0</formula>
    </cfRule>
    <cfRule type="cellIs" dxfId="0" priority="6" operator="lessThanOrEqual">
      <formula>0</formula>
    </cfRule>
  </conditionalFormatting>
  <pageMargins left="0.75" right="0.75" top="1" bottom="1" header="0.5" footer="0.5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B3D4-97D3-4741-B1C1-D0F0F846302B}">
  <dimension ref="A1:G3445"/>
  <sheetViews>
    <sheetView topLeftCell="A3426" workbookViewId="0">
      <selection activeCell="E1" sqref="E1:E1048576"/>
    </sheetView>
  </sheetViews>
  <sheetFormatPr defaultColWidth="8.875" defaultRowHeight="15.95"/>
  <cols>
    <col min="1" max="1" width="13.625" bestFit="1" customWidth="1"/>
    <col min="2" max="4" width="9.125" bestFit="1" customWidth="1"/>
    <col min="5" max="5" width="11.625" style="93" bestFit="1" customWidth="1"/>
    <col min="6" max="6" width="11.625" style="90" bestFit="1" customWidth="1"/>
    <col min="7" max="7" width="9.125" bestFit="1" customWidth="1"/>
  </cols>
  <sheetData>
    <row r="1" spans="1:7">
      <c r="A1" s="31" t="s">
        <v>14</v>
      </c>
      <c r="B1" s="32" t="s">
        <v>15</v>
      </c>
      <c r="C1" s="32" t="s">
        <v>16</v>
      </c>
      <c r="D1" s="32" t="s">
        <v>17</v>
      </c>
      <c r="E1" s="91" t="s">
        <v>18</v>
      </c>
      <c r="F1" s="88" t="s">
        <v>19</v>
      </c>
      <c r="G1" s="32" t="s">
        <v>4771</v>
      </c>
    </row>
    <row r="2" spans="1:7">
      <c r="A2" s="33">
        <v>41934</v>
      </c>
      <c r="B2" s="34">
        <v>386118</v>
      </c>
      <c r="C2" s="34">
        <v>388576</v>
      </c>
      <c r="D2" s="34">
        <v>382249</v>
      </c>
      <c r="E2" s="92" t="s">
        <v>4772</v>
      </c>
      <c r="F2" s="89">
        <v>1240</v>
      </c>
      <c r="G2" s="29">
        <v>11641300</v>
      </c>
    </row>
    <row r="3" spans="1:7">
      <c r="A3" s="33">
        <v>41935</v>
      </c>
      <c r="B3" s="34">
        <v>382962</v>
      </c>
      <c r="C3" s="34">
        <v>385048</v>
      </c>
      <c r="D3" s="34">
        <v>356447</v>
      </c>
      <c r="E3" s="92" t="s">
        <v>4773</v>
      </c>
      <c r="F3" s="89">
        <v>6404</v>
      </c>
      <c r="G3" s="29">
        <v>26456900</v>
      </c>
    </row>
    <row r="4" spans="1:7">
      <c r="A4" s="33">
        <v>41936</v>
      </c>
      <c r="B4" s="34">
        <v>358591</v>
      </c>
      <c r="C4" s="34">
        <v>364345</v>
      </c>
      <c r="D4" s="34">
        <v>353305</v>
      </c>
      <c r="E4" s="92" t="s">
        <v>4774</v>
      </c>
      <c r="F4" s="89">
        <v>6495</v>
      </c>
      <c r="G4" s="29">
        <v>15585700</v>
      </c>
    </row>
    <row r="5" spans="1:7">
      <c r="A5" s="33">
        <v>41937</v>
      </c>
      <c r="B5" s="34">
        <v>358611</v>
      </c>
      <c r="C5" s="34">
        <v>359861</v>
      </c>
      <c r="D5" s="34">
        <v>342877</v>
      </c>
      <c r="E5" s="92" t="s">
        <v>4775</v>
      </c>
      <c r="F5" s="89">
        <v>7754</v>
      </c>
      <c r="G5" s="29">
        <v>18127500</v>
      </c>
    </row>
    <row r="6" spans="1:7">
      <c r="A6" s="33">
        <v>41938</v>
      </c>
      <c r="B6" s="34">
        <v>347487</v>
      </c>
      <c r="C6" s="34">
        <v>359221</v>
      </c>
      <c r="D6" s="34">
        <v>343931</v>
      </c>
      <c r="E6" s="92" t="s">
        <v>4776</v>
      </c>
      <c r="F6" s="89">
        <v>8866</v>
      </c>
      <c r="G6" s="29">
        <v>11272500</v>
      </c>
    </row>
    <row r="7" spans="1:7">
      <c r="A7" s="33">
        <v>41939</v>
      </c>
      <c r="B7" s="34">
        <v>354777</v>
      </c>
      <c r="C7" s="34">
        <v>358632</v>
      </c>
      <c r="D7" s="34">
        <v>349809</v>
      </c>
      <c r="E7" s="92" t="s">
        <v>4777</v>
      </c>
      <c r="F7" s="89">
        <v>10142</v>
      </c>
      <c r="G7" s="29">
        <v>13033000</v>
      </c>
    </row>
    <row r="8" spans="1:7">
      <c r="A8" s="33">
        <v>41940</v>
      </c>
      <c r="B8" s="34">
        <v>353215</v>
      </c>
      <c r="C8" s="29" t="s">
        <v>4778</v>
      </c>
      <c r="D8" s="34">
        <v>352679</v>
      </c>
      <c r="E8" s="92" t="s">
        <v>4779</v>
      </c>
      <c r="F8" s="89">
        <v>10951</v>
      </c>
      <c r="G8" s="29">
        <v>7845880</v>
      </c>
    </row>
    <row r="9" spans="1:7">
      <c r="A9" s="33">
        <v>41941</v>
      </c>
      <c r="B9" s="34">
        <v>357089</v>
      </c>
      <c r="C9" s="34">
        <v>357833</v>
      </c>
      <c r="D9" s="34">
        <v>335343</v>
      </c>
      <c r="E9" s="92" t="s">
        <v>4780</v>
      </c>
      <c r="F9" s="89">
        <v>13772</v>
      </c>
      <c r="G9" s="29">
        <v>18192700</v>
      </c>
    </row>
    <row r="10" spans="1:7">
      <c r="A10" s="33">
        <v>41911</v>
      </c>
      <c r="B10" s="34">
        <v>376928</v>
      </c>
      <c r="C10" s="34">
        <v>385211</v>
      </c>
      <c r="D10" s="29" t="s">
        <v>4781</v>
      </c>
      <c r="E10" s="92" t="s">
        <v>4782</v>
      </c>
      <c r="F10" s="89">
        <v>13781</v>
      </c>
      <c r="G10" s="29">
        <v>32497700</v>
      </c>
    </row>
    <row r="11" spans="1:7">
      <c r="A11" s="33">
        <v>41912</v>
      </c>
      <c r="B11" s="34">
        <v>376088</v>
      </c>
      <c r="C11" s="29" t="s">
        <v>4778</v>
      </c>
      <c r="D11" s="34">
        <v>373443</v>
      </c>
      <c r="E11" s="92" t="s">
        <v>4783</v>
      </c>
      <c r="F11" s="89">
        <v>15201</v>
      </c>
      <c r="G11" s="29">
        <v>34707300</v>
      </c>
    </row>
    <row r="12" spans="1:7">
      <c r="A12" s="33">
        <v>41913</v>
      </c>
      <c r="B12" s="34">
        <v>387427</v>
      </c>
      <c r="C12" s="34">
        <v>391379</v>
      </c>
      <c r="D12" s="29" t="s">
        <v>4784</v>
      </c>
      <c r="E12" s="92" t="s">
        <v>4785</v>
      </c>
      <c r="F12" s="89">
        <v>16564</v>
      </c>
      <c r="G12" s="29">
        <v>26229400</v>
      </c>
    </row>
    <row r="13" spans="1:7">
      <c r="A13" s="33">
        <v>41914</v>
      </c>
      <c r="B13" s="34">
        <v>383988</v>
      </c>
      <c r="C13" s="34">
        <v>385497</v>
      </c>
      <c r="D13" s="34">
        <v>372946</v>
      </c>
      <c r="E13" s="92" t="s">
        <v>4786</v>
      </c>
      <c r="F13" s="89">
        <v>17527</v>
      </c>
      <c r="G13" s="29">
        <v>21777700</v>
      </c>
    </row>
    <row r="14" spans="1:7">
      <c r="A14" s="33">
        <v>41915</v>
      </c>
      <c r="B14" s="34">
        <v>375181</v>
      </c>
      <c r="C14" s="34">
        <v>377695</v>
      </c>
      <c r="D14" s="34">
        <v>357859</v>
      </c>
      <c r="E14" s="92" t="s">
        <v>4787</v>
      </c>
      <c r="F14" s="89">
        <v>18370</v>
      </c>
      <c r="G14" s="29">
        <v>30901200</v>
      </c>
    </row>
    <row r="15" spans="1:7">
      <c r="A15" s="33">
        <v>41916</v>
      </c>
      <c r="B15" s="34">
        <v>359892</v>
      </c>
      <c r="C15" s="34">
        <v>364487</v>
      </c>
      <c r="D15" s="34">
        <v>325886</v>
      </c>
      <c r="E15" s="92" t="s">
        <v>4788</v>
      </c>
      <c r="F15" s="89">
        <v>18803</v>
      </c>
      <c r="G15" s="29">
        <v>47236500</v>
      </c>
    </row>
    <row r="16" spans="1:7">
      <c r="A16" s="33">
        <v>41917</v>
      </c>
      <c r="B16" s="34">
        <v>328916</v>
      </c>
      <c r="C16" s="29" t="s">
        <v>4778</v>
      </c>
      <c r="D16" s="34">
        <v>289296</v>
      </c>
      <c r="E16" s="92" t="s">
        <v>4789</v>
      </c>
      <c r="F16" s="89">
        <v>23336</v>
      </c>
      <c r="G16" s="29">
        <v>83308096</v>
      </c>
    </row>
    <row r="17" spans="1:7">
      <c r="A17" s="33">
        <v>41918</v>
      </c>
      <c r="B17" s="34">
        <v>320389</v>
      </c>
      <c r="C17" s="34">
        <v>345134</v>
      </c>
      <c r="D17" s="29" t="s">
        <v>4790</v>
      </c>
      <c r="E17" s="92" t="s">
        <v>4791</v>
      </c>
      <c r="F17" s="89">
        <v>26346</v>
      </c>
      <c r="G17" s="29">
        <v>79011800</v>
      </c>
    </row>
    <row r="18" spans="1:7">
      <c r="A18" s="33">
        <v>41919</v>
      </c>
      <c r="B18" s="34">
        <v>330584</v>
      </c>
      <c r="C18" s="34">
        <v>339247</v>
      </c>
      <c r="D18" s="34">
        <v>320482</v>
      </c>
      <c r="E18" s="92" t="s">
        <v>4792</v>
      </c>
      <c r="F18" s="89">
        <v>30112</v>
      </c>
      <c r="G18" s="29">
        <v>49199900</v>
      </c>
    </row>
    <row r="19" spans="1:7">
      <c r="A19" s="33">
        <v>41920</v>
      </c>
      <c r="B19" s="34">
        <v>336116</v>
      </c>
      <c r="C19" s="34">
        <v>354364</v>
      </c>
      <c r="D19" s="34">
        <v>327188</v>
      </c>
      <c r="E19" s="92" t="s">
        <v>4793</v>
      </c>
      <c r="F19" s="89">
        <v>33746</v>
      </c>
      <c r="G19" s="29">
        <v>54736300</v>
      </c>
    </row>
    <row r="20" spans="1:7">
      <c r="A20" s="33">
        <v>41921</v>
      </c>
      <c r="B20" s="34">
        <v>352748</v>
      </c>
      <c r="C20" s="34">
        <v>382726</v>
      </c>
      <c r="D20" s="34">
        <v>347687</v>
      </c>
      <c r="E20" s="92" t="s">
        <v>4794</v>
      </c>
      <c r="F20" s="89">
        <v>36954</v>
      </c>
      <c r="G20" s="29">
        <v>83641104</v>
      </c>
    </row>
    <row r="21" spans="1:7">
      <c r="A21" s="33">
        <v>41922</v>
      </c>
      <c r="B21" s="34">
        <v>364687</v>
      </c>
      <c r="C21" s="34">
        <v>375067</v>
      </c>
      <c r="D21" s="34">
        <v>352963</v>
      </c>
      <c r="E21" s="92" t="s">
        <v>4795</v>
      </c>
      <c r="F21" s="89">
        <v>41078</v>
      </c>
      <c r="G21" s="29">
        <v>43665700</v>
      </c>
    </row>
    <row r="22" spans="1:7">
      <c r="A22" s="33">
        <v>41923</v>
      </c>
      <c r="B22" s="34">
        <v>361362</v>
      </c>
      <c r="C22" s="34">
        <v>367191</v>
      </c>
      <c r="D22" s="34">
        <v>355951</v>
      </c>
      <c r="E22" s="92" t="s">
        <v>4796</v>
      </c>
      <c r="F22" s="89">
        <v>43569</v>
      </c>
      <c r="G22" s="29">
        <v>13345200</v>
      </c>
    </row>
    <row r="23" spans="1:7">
      <c r="A23" s="33">
        <v>41924</v>
      </c>
      <c r="B23" s="34">
        <v>362606</v>
      </c>
      <c r="C23" s="34">
        <v>379433</v>
      </c>
      <c r="D23" s="34">
        <v>356144</v>
      </c>
      <c r="E23" s="92" t="s">
        <v>4797</v>
      </c>
      <c r="F23" s="89">
        <v>47047</v>
      </c>
      <c r="G23" s="29">
        <v>17552800</v>
      </c>
    </row>
    <row r="24" spans="1:7">
      <c r="A24" s="33">
        <v>41925</v>
      </c>
      <c r="B24" s="34">
        <v>377921</v>
      </c>
      <c r="C24" s="34">
        <v>397226</v>
      </c>
      <c r="D24" s="34">
        <v>368897</v>
      </c>
      <c r="E24" s="92" t="s">
        <v>4798</v>
      </c>
      <c r="F24" s="89">
        <v>47128</v>
      </c>
      <c r="G24" s="29">
        <v>35221400</v>
      </c>
    </row>
    <row r="25" spans="1:7">
      <c r="A25" s="33">
        <v>41926</v>
      </c>
      <c r="B25" s="34">
        <v>391692</v>
      </c>
      <c r="C25" s="34">
        <v>411698</v>
      </c>
      <c r="D25" s="34">
        <v>391324</v>
      </c>
      <c r="E25" s="92" t="s">
        <v>4799</v>
      </c>
      <c r="F25" s="89">
        <v>51663</v>
      </c>
      <c r="G25" s="29">
        <v>38491500</v>
      </c>
    </row>
    <row r="26" spans="1:7">
      <c r="A26" s="33">
        <v>41927</v>
      </c>
      <c r="B26" s="34">
        <v>400955</v>
      </c>
      <c r="C26" s="34">
        <v>402227</v>
      </c>
      <c r="D26" s="34">
        <v>388766</v>
      </c>
      <c r="E26" s="92" t="s">
        <v>4800</v>
      </c>
      <c r="F26" s="89">
        <v>58245</v>
      </c>
      <c r="G26" s="29">
        <v>25267100</v>
      </c>
    </row>
    <row r="27" spans="1:7">
      <c r="A27" s="33">
        <v>41928</v>
      </c>
      <c r="B27" s="34">
        <v>394518</v>
      </c>
      <c r="C27" s="34">
        <v>398807</v>
      </c>
      <c r="D27" s="29" t="s">
        <v>4801</v>
      </c>
      <c r="E27" s="92" t="s">
        <v>4802</v>
      </c>
      <c r="F27" s="89">
        <v>178103</v>
      </c>
      <c r="G27" s="29" t="s">
        <v>4778</v>
      </c>
    </row>
    <row r="28" spans="1:7">
      <c r="A28" s="33">
        <v>41929</v>
      </c>
      <c r="B28" s="34">
        <v>382756</v>
      </c>
      <c r="C28" s="34">
        <v>385478</v>
      </c>
      <c r="D28" s="34">
        <v>375389</v>
      </c>
      <c r="E28" s="92" t="s">
        <v>4803</v>
      </c>
      <c r="F28" s="89">
        <v>208097</v>
      </c>
      <c r="G28" s="29">
        <v>13600700</v>
      </c>
    </row>
    <row r="29" spans="1:7">
      <c r="A29" s="33">
        <v>41930</v>
      </c>
      <c r="B29" s="34">
        <v>383976</v>
      </c>
      <c r="C29" s="34">
        <v>395158</v>
      </c>
      <c r="D29" s="34">
        <v>378971</v>
      </c>
      <c r="E29" s="92" t="s">
        <v>4804</v>
      </c>
      <c r="F29" s="89">
        <v>209844</v>
      </c>
      <c r="G29" s="29">
        <v>11416800</v>
      </c>
    </row>
    <row r="30" spans="1:7">
      <c r="A30" s="33">
        <v>41931</v>
      </c>
      <c r="B30" s="34">
        <v>391254</v>
      </c>
      <c r="C30" s="34">
        <v>393939</v>
      </c>
      <c r="D30" s="34">
        <v>386457</v>
      </c>
      <c r="E30" s="92" t="s">
        <v>4805</v>
      </c>
      <c r="F30" s="89">
        <v>210339</v>
      </c>
      <c r="G30" s="29">
        <v>5914570</v>
      </c>
    </row>
    <row r="31" spans="1:7">
      <c r="A31" s="33">
        <v>41932</v>
      </c>
      <c r="B31" s="34">
        <v>389231</v>
      </c>
      <c r="C31" s="34">
        <v>390084</v>
      </c>
      <c r="D31" s="34">
        <v>378252</v>
      </c>
      <c r="E31" s="92" t="s">
        <v>4806</v>
      </c>
      <c r="F31" s="89">
        <v>210495</v>
      </c>
      <c r="G31" s="29">
        <v>16419000</v>
      </c>
    </row>
    <row r="32" spans="1:7">
      <c r="A32" s="33">
        <v>41933</v>
      </c>
      <c r="B32" s="34">
        <v>382421</v>
      </c>
      <c r="C32" s="34">
        <v>392646</v>
      </c>
      <c r="D32" s="34">
        <v>380834</v>
      </c>
      <c r="E32" s="92" t="s">
        <v>4807</v>
      </c>
      <c r="F32" s="89">
        <v>211079</v>
      </c>
      <c r="G32" s="29">
        <v>14188900</v>
      </c>
    </row>
    <row r="33" spans="1:7">
      <c r="A33" s="33">
        <v>41942</v>
      </c>
      <c r="B33" s="34">
        <v>335709</v>
      </c>
      <c r="C33" s="34">
        <v>350913</v>
      </c>
      <c r="D33" s="34">
        <v>335072</v>
      </c>
      <c r="E33" s="92" t="s">
        <v>4808</v>
      </c>
      <c r="F33" s="89">
        <v>211315</v>
      </c>
      <c r="G33" s="29">
        <v>30177900</v>
      </c>
    </row>
    <row r="34" spans="1:7">
      <c r="A34" s="33">
        <v>41943</v>
      </c>
      <c r="B34" s="34">
        <v>345009</v>
      </c>
      <c r="C34" s="34">
        <v>348045</v>
      </c>
      <c r="D34" s="34">
        <v>337142</v>
      </c>
      <c r="E34" s="92" t="s">
        <v>4809</v>
      </c>
      <c r="F34" s="89">
        <v>214861</v>
      </c>
      <c r="G34" s="29" t="s">
        <v>4778</v>
      </c>
    </row>
    <row r="35" spans="1:7">
      <c r="A35" s="33">
        <v>41944</v>
      </c>
      <c r="B35" s="29" t="s">
        <v>4810</v>
      </c>
      <c r="C35" s="34">
        <v>340529</v>
      </c>
      <c r="D35" s="34">
        <v>321055</v>
      </c>
      <c r="E35" s="92" t="s">
        <v>4811</v>
      </c>
      <c r="F35" s="89">
        <v>217111</v>
      </c>
      <c r="G35" s="29">
        <v>16677200</v>
      </c>
    </row>
    <row r="36" spans="1:7">
      <c r="A36" s="33">
        <v>41945</v>
      </c>
      <c r="B36" s="34">
        <v>326075</v>
      </c>
      <c r="C36" s="29" t="s">
        <v>4812</v>
      </c>
      <c r="D36" s="34">
        <v>320626</v>
      </c>
      <c r="E36" s="92" t="s">
        <v>4813</v>
      </c>
      <c r="F36" s="89">
        <v>217464</v>
      </c>
      <c r="G36" s="29">
        <v>8603620</v>
      </c>
    </row>
    <row r="37" spans="1:7">
      <c r="A37" s="33">
        <v>41946</v>
      </c>
      <c r="B37" s="34">
        <v>325569</v>
      </c>
      <c r="C37" s="34">
        <v>334002</v>
      </c>
      <c r="D37" s="34">
        <v>325481</v>
      </c>
      <c r="E37" s="92" t="s">
        <v>4814</v>
      </c>
      <c r="F37" s="89">
        <v>219159</v>
      </c>
      <c r="G37" s="29">
        <v>12948500</v>
      </c>
    </row>
    <row r="38" spans="1:7">
      <c r="A38" s="33">
        <v>41947</v>
      </c>
      <c r="B38" s="34">
        <v>327161</v>
      </c>
      <c r="C38" s="34">
        <v>331767</v>
      </c>
      <c r="D38" s="34">
        <v>325077</v>
      </c>
      <c r="E38" s="92" t="s">
        <v>4815</v>
      </c>
      <c r="F38" s="89">
        <v>219185</v>
      </c>
      <c r="G38" s="29">
        <v>15655500</v>
      </c>
    </row>
    <row r="39" spans="1:7">
      <c r="A39" s="33">
        <v>41948</v>
      </c>
      <c r="B39" s="34">
        <v>330683</v>
      </c>
      <c r="C39" s="34">
        <v>343369</v>
      </c>
      <c r="D39" s="34">
        <v>330683</v>
      </c>
      <c r="E39" s="92" t="s">
        <v>4816</v>
      </c>
      <c r="F39" s="89">
        <v>219839</v>
      </c>
      <c r="G39" s="29">
        <v>19817200</v>
      </c>
    </row>
    <row r="40" spans="1:7">
      <c r="A40" s="33">
        <v>41949</v>
      </c>
      <c r="B40" s="34">
        <v>339458</v>
      </c>
      <c r="C40" s="34">
        <v>352966</v>
      </c>
      <c r="D40" s="34">
        <v>338424</v>
      </c>
      <c r="E40" s="92" t="s">
        <v>4817</v>
      </c>
      <c r="F40" s="89">
        <v>221609</v>
      </c>
      <c r="G40" s="29">
        <v>18797000</v>
      </c>
    </row>
    <row r="41" spans="1:7">
      <c r="A41" s="33">
        <v>41950</v>
      </c>
      <c r="B41" s="34">
        <v>349818</v>
      </c>
      <c r="C41" s="34">
        <v>352732</v>
      </c>
      <c r="D41" s="34">
        <v>341776</v>
      </c>
      <c r="E41" s="92" t="s">
        <v>4818</v>
      </c>
      <c r="F41" s="89">
        <v>221764</v>
      </c>
      <c r="G41" s="29">
        <v>16834200</v>
      </c>
    </row>
    <row r="42" spans="1:7">
      <c r="A42" s="33">
        <v>41951</v>
      </c>
      <c r="B42" s="34">
        <v>342154</v>
      </c>
      <c r="C42" s="34">
        <v>347032</v>
      </c>
      <c r="D42" s="34">
        <v>342154</v>
      </c>
      <c r="E42" s="92" t="s">
        <v>4819</v>
      </c>
      <c r="F42" s="89">
        <v>222266</v>
      </c>
      <c r="G42" s="29">
        <v>8535470</v>
      </c>
    </row>
    <row r="43" spans="1:7">
      <c r="A43" s="33">
        <v>41952</v>
      </c>
      <c r="B43" s="34">
        <v>345376</v>
      </c>
      <c r="C43" s="34">
        <v>363626</v>
      </c>
      <c r="D43" s="34">
        <v>344255</v>
      </c>
      <c r="E43" s="92" t="s">
        <v>4820</v>
      </c>
      <c r="F43" s="89">
        <v>222881</v>
      </c>
      <c r="G43" s="29">
        <v>24205600</v>
      </c>
    </row>
    <row r="44" spans="1:7">
      <c r="A44" s="33">
        <v>41953</v>
      </c>
      <c r="B44" s="34">
        <v>362265</v>
      </c>
      <c r="C44" s="34">
        <v>374816</v>
      </c>
      <c r="D44" s="34">
        <v>357561</v>
      </c>
      <c r="E44" s="92" t="s">
        <v>4821</v>
      </c>
      <c r="F44" s="89">
        <v>222882</v>
      </c>
      <c r="G44" s="29">
        <v>30450100</v>
      </c>
    </row>
    <row r="45" spans="1:7">
      <c r="A45" s="33">
        <v>41954</v>
      </c>
      <c r="B45" s="34">
        <v>365857</v>
      </c>
      <c r="C45" s="29" t="s">
        <v>4822</v>
      </c>
      <c r="D45" s="34">
        <v>363735</v>
      </c>
      <c r="E45" s="92" t="s">
        <v>4823</v>
      </c>
      <c r="F45" s="89">
        <v>222926</v>
      </c>
      <c r="G45" s="29">
        <v>15838900</v>
      </c>
    </row>
    <row r="46" spans="1:7">
      <c r="A46" s="33">
        <v>41955</v>
      </c>
      <c r="B46" s="34">
        <v>367985</v>
      </c>
      <c r="C46" s="34">
        <v>429718</v>
      </c>
      <c r="D46" s="34">
        <v>367985</v>
      </c>
      <c r="E46" s="92" t="s">
        <v>4824</v>
      </c>
      <c r="F46" s="89">
        <v>223356</v>
      </c>
      <c r="G46" s="29" t="s">
        <v>4778</v>
      </c>
    </row>
    <row r="47" spans="1:7">
      <c r="A47" s="33">
        <v>41956</v>
      </c>
      <c r="B47" s="34">
        <v>427273</v>
      </c>
      <c r="C47" s="34">
        <v>457093</v>
      </c>
      <c r="D47" s="34">
        <v>401123</v>
      </c>
      <c r="E47" s="92" t="s">
        <v>4825</v>
      </c>
      <c r="F47" s="89">
        <v>223412</v>
      </c>
      <c r="G47" s="29">
        <v>58945000</v>
      </c>
    </row>
    <row r="48" spans="1:7">
      <c r="A48" s="33">
        <v>41957</v>
      </c>
      <c r="B48" s="34">
        <v>418417</v>
      </c>
      <c r="C48" s="34">
        <v>419252</v>
      </c>
      <c r="D48" s="34">
        <v>384789</v>
      </c>
      <c r="E48" s="92" t="s">
        <v>4826</v>
      </c>
      <c r="F48" s="89">
        <v>223833</v>
      </c>
      <c r="G48" s="29">
        <v>29589200</v>
      </c>
    </row>
    <row r="49" spans="1:7">
      <c r="A49" s="33">
        <v>41958</v>
      </c>
      <c r="B49" s="29" t="s">
        <v>4827</v>
      </c>
      <c r="C49" s="34">
        <v>405528</v>
      </c>
      <c r="D49" s="34">
        <v>371008</v>
      </c>
      <c r="E49" s="92" t="s">
        <v>4828</v>
      </c>
      <c r="F49" s="89">
        <v>224324</v>
      </c>
      <c r="G49" s="29">
        <v>15727500</v>
      </c>
    </row>
    <row r="50" spans="1:7">
      <c r="A50" s="33">
        <v>41959</v>
      </c>
      <c r="B50" s="29" t="s">
        <v>4829</v>
      </c>
      <c r="C50" s="34">
        <v>390799</v>
      </c>
      <c r="D50" s="34">
        <v>374602</v>
      </c>
      <c r="E50" s="92" t="s">
        <v>4830</v>
      </c>
      <c r="F50" s="89">
        <v>224587</v>
      </c>
      <c r="G50" s="29">
        <v>11905600</v>
      </c>
    </row>
    <row r="51" spans="1:7">
      <c r="A51" s="33">
        <v>41960</v>
      </c>
      <c r="B51" s="34">
        <v>388349</v>
      </c>
      <c r="C51" s="34">
        <v>410199</v>
      </c>
      <c r="D51" s="34">
        <v>377502</v>
      </c>
      <c r="E51" s="92" t="s">
        <v>4831</v>
      </c>
      <c r="F51" s="89">
        <v>224626</v>
      </c>
      <c r="G51" s="29">
        <v>41518800</v>
      </c>
    </row>
    <row r="52" spans="1:7">
      <c r="A52" s="33">
        <v>41961</v>
      </c>
      <c r="B52" s="34">
        <v>387785</v>
      </c>
      <c r="C52" s="34">
        <v>392402</v>
      </c>
      <c r="D52" s="34">
        <v>371117</v>
      </c>
      <c r="E52" s="92" t="s">
        <v>4832</v>
      </c>
      <c r="F52" s="89">
        <v>224769</v>
      </c>
      <c r="G52" s="29">
        <v>32222500</v>
      </c>
    </row>
    <row r="53" spans="1:7">
      <c r="A53" s="33">
        <v>41962</v>
      </c>
      <c r="B53" s="34">
        <v>373896</v>
      </c>
      <c r="C53" s="34">
        <v>386481</v>
      </c>
      <c r="D53" s="34">
        <v>373896</v>
      </c>
      <c r="E53" s="92" t="s">
        <v>4833</v>
      </c>
      <c r="F53" s="89">
        <v>224952</v>
      </c>
      <c r="G53" s="29">
        <v>18931800</v>
      </c>
    </row>
    <row r="54" spans="1:7">
      <c r="A54" s="33">
        <v>41963</v>
      </c>
      <c r="B54" s="34">
        <v>380307</v>
      </c>
      <c r="C54" s="34">
        <v>382025</v>
      </c>
      <c r="D54" s="34">
        <v>356781</v>
      </c>
      <c r="E54" s="92" t="s">
        <v>4834</v>
      </c>
      <c r="F54" s="89">
        <v>225619</v>
      </c>
      <c r="G54" s="29">
        <v>25233200</v>
      </c>
    </row>
    <row r="55" spans="1:7">
      <c r="A55" s="33">
        <v>41964</v>
      </c>
      <c r="B55" s="34">
        <v>357879</v>
      </c>
      <c r="C55" s="34">
        <v>357879</v>
      </c>
      <c r="D55" s="34">
        <v>344112</v>
      </c>
      <c r="E55" s="92" t="s">
        <v>4835</v>
      </c>
      <c r="F55" s="89">
        <v>225803</v>
      </c>
      <c r="G55" s="29">
        <v>29850100</v>
      </c>
    </row>
    <row r="56" spans="1:7">
      <c r="A56" s="33">
        <v>41965</v>
      </c>
      <c r="B56" s="34">
        <v>351604</v>
      </c>
      <c r="C56" s="34">
        <v>364841</v>
      </c>
      <c r="D56" s="34">
        <v>350878</v>
      </c>
      <c r="E56" s="92" t="s">
        <v>4836</v>
      </c>
      <c r="F56" s="89">
        <v>225808</v>
      </c>
      <c r="G56" s="29">
        <v>15273000</v>
      </c>
    </row>
    <row r="57" spans="1:7">
      <c r="A57" s="33">
        <v>41966</v>
      </c>
      <c r="B57" s="34">
        <v>353175</v>
      </c>
      <c r="C57" s="34">
        <v>370845</v>
      </c>
      <c r="D57" s="34">
        <v>353175</v>
      </c>
      <c r="E57" s="92" t="s">
        <v>4837</v>
      </c>
      <c r="F57" s="89">
        <v>225861</v>
      </c>
      <c r="G57" s="29">
        <v>15151600</v>
      </c>
    </row>
    <row r="58" spans="1:7">
      <c r="A58" s="33">
        <v>41967</v>
      </c>
      <c r="B58" s="34">
        <v>366948</v>
      </c>
      <c r="C58" s="34">
        <v>387209</v>
      </c>
      <c r="D58" s="34">
        <v>366669</v>
      </c>
      <c r="E58" s="92" t="s">
        <v>4838</v>
      </c>
      <c r="F58" s="89">
        <v>225874</v>
      </c>
      <c r="G58" s="29">
        <v>30930100</v>
      </c>
    </row>
    <row r="59" spans="1:7">
      <c r="A59" s="33">
        <v>41968</v>
      </c>
      <c r="B59" s="34">
        <v>376886</v>
      </c>
      <c r="C59" s="34">
        <v>394701</v>
      </c>
      <c r="D59" s="34">
        <v>374784</v>
      </c>
      <c r="E59" s="92" t="s">
        <v>4839</v>
      </c>
      <c r="F59" s="89">
        <v>226425</v>
      </c>
      <c r="G59" s="29">
        <v>25442200</v>
      </c>
    </row>
    <row r="60" spans="1:7">
      <c r="A60" s="33">
        <v>41969</v>
      </c>
      <c r="B60" s="34">
        <v>376019</v>
      </c>
      <c r="C60" s="34">
        <v>377698</v>
      </c>
      <c r="D60" s="34">
        <v>365816</v>
      </c>
      <c r="E60" s="92" t="s">
        <v>4840</v>
      </c>
      <c r="F60" s="89">
        <v>226684</v>
      </c>
      <c r="G60" s="29">
        <v>18601700</v>
      </c>
    </row>
    <row r="61" spans="1:7">
      <c r="A61" s="33">
        <v>41970</v>
      </c>
      <c r="B61" s="34">
        <v>370502</v>
      </c>
      <c r="C61" s="34">
        <v>373992</v>
      </c>
      <c r="D61" s="34">
        <v>368282</v>
      </c>
      <c r="E61" s="92" t="s">
        <v>4841</v>
      </c>
      <c r="F61" s="89">
        <v>226853</v>
      </c>
      <c r="G61" s="29">
        <v>8748030</v>
      </c>
    </row>
    <row r="62" spans="1:7">
      <c r="A62" s="33">
        <v>41971</v>
      </c>
      <c r="B62" s="34">
        <v>369374</v>
      </c>
      <c r="C62" s="34">
        <v>382838</v>
      </c>
      <c r="D62" s="34">
        <v>358455</v>
      </c>
      <c r="E62" s="92" t="s">
        <v>4842</v>
      </c>
      <c r="F62" s="89">
        <v>226897</v>
      </c>
      <c r="G62" s="29">
        <v>22946500</v>
      </c>
    </row>
    <row r="63" spans="1:7">
      <c r="A63" s="33">
        <v>41972</v>
      </c>
      <c r="B63" s="34">
        <v>376152</v>
      </c>
      <c r="C63" s="34">
        <v>387601</v>
      </c>
      <c r="D63" s="34">
        <v>372145</v>
      </c>
      <c r="E63" s="92" t="s">
        <v>4843</v>
      </c>
      <c r="F63" s="89">
        <v>226972</v>
      </c>
      <c r="G63" s="29">
        <v>15375600</v>
      </c>
    </row>
    <row r="64" spans="1:7">
      <c r="A64" s="33">
        <v>41973</v>
      </c>
      <c r="B64" s="29" t="s">
        <v>4844</v>
      </c>
      <c r="C64" s="34">
        <v>382527</v>
      </c>
      <c r="D64" s="34">
        <v>373309</v>
      </c>
      <c r="E64" s="92" t="s">
        <v>4845</v>
      </c>
      <c r="F64" s="89">
        <v>227085</v>
      </c>
      <c r="G64" s="29">
        <v>9194440</v>
      </c>
    </row>
    <row r="65" spans="1:7">
      <c r="A65" s="33">
        <v>41974</v>
      </c>
      <c r="B65" s="34">
        <v>378249</v>
      </c>
      <c r="C65" s="34">
        <v>383662</v>
      </c>
      <c r="D65" s="34">
        <v>376669</v>
      </c>
      <c r="E65" s="92" t="s">
        <v>4846</v>
      </c>
      <c r="F65" s="89">
        <v>227183</v>
      </c>
      <c r="G65" s="29">
        <v>11763000</v>
      </c>
    </row>
    <row r="66" spans="1:7">
      <c r="A66" s="33">
        <v>41975</v>
      </c>
      <c r="B66" s="29" t="s">
        <v>4847</v>
      </c>
      <c r="C66" s="34">
        <v>384038</v>
      </c>
      <c r="D66" s="34">
        <v>377863</v>
      </c>
      <c r="E66" s="92" t="s">
        <v>4848</v>
      </c>
      <c r="F66" s="89">
        <v>227268</v>
      </c>
      <c r="G66" s="29">
        <v>12364100</v>
      </c>
    </row>
    <row r="67" spans="1:7">
      <c r="A67" s="33">
        <v>41976</v>
      </c>
      <c r="B67" s="34">
        <v>381722</v>
      </c>
      <c r="C67" s="34">
        <v>383026</v>
      </c>
      <c r="D67" s="34">
        <v>374346</v>
      </c>
      <c r="E67" s="92" t="s">
        <v>4849</v>
      </c>
      <c r="F67" s="89">
        <v>227754</v>
      </c>
      <c r="G67" s="29">
        <v>13340100</v>
      </c>
    </row>
    <row r="68" spans="1:7">
      <c r="A68" s="33">
        <v>41977</v>
      </c>
      <c r="B68" s="34">
        <v>375718</v>
      </c>
      <c r="C68" s="34">
        <v>378655</v>
      </c>
      <c r="D68" s="34">
        <v>367759</v>
      </c>
      <c r="E68" s="92" t="s">
        <v>4850</v>
      </c>
      <c r="F68" s="89">
        <v>228121</v>
      </c>
      <c r="G68" s="29">
        <v>14529600</v>
      </c>
    </row>
    <row r="69" spans="1:7">
      <c r="A69" s="33">
        <v>41978</v>
      </c>
      <c r="B69" s="34">
        <v>369442</v>
      </c>
      <c r="C69" s="34">
        <v>379192</v>
      </c>
      <c r="D69" s="34">
        <v>365756</v>
      </c>
      <c r="E69" s="92" t="s">
        <v>4851</v>
      </c>
      <c r="F69" s="89">
        <v>228169</v>
      </c>
      <c r="G69" s="29">
        <v>15181800</v>
      </c>
    </row>
    <row r="70" spans="1:7">
      <c r="A70" s="33">
        <v>41979</v>
      </c>
      <c r="B70" s="34">
        <v>376757</v>
      </c>
      <c r="C70" s="34">
        <v>378448</v>
      </c>
      <c r="D70" s="34">
        <v>370945</v>
      </c>
      <c r="E70" s="92" t="s">
        <v>4852</v>
      </c>
      <c r="F70" s="89">
        <v>228489</v>
      </c>
      <c r="G70" s="29">
        <v>7009320</v>
      </c>
    </row>
    <row r="71" spans="1:7">
      <c r="A71" s="33">
        <v>41980</v>
      </c>
      <c r="B71" s="34">
        <v>374836</v>
      </c>
      <c r="C71" s="34">
        <v>376292</v>
      </c>
      <c r="D71" s="34">
        <v>373275</v>
      </c>
      <c r="E71" s="92" t="s">
        <v>4853</v>
      </c>
      <c r="F71" s="89">
        <v>228573</v>
      </c>
      <c r="G71" s="29">
        <v>6491650</v>
      </c>
    </row>
    <row r="72" spans="1:7">
      <c r="A72" s="33">
        <v>41981</v>
      </c>
      <c r="B72" s="34">
        <v>374965</v>
      </c>
      <c r="C72" s="34">
        <v>376029</v>
      </c>
      <c r="D72" s="34">
        <v>361886</v>
      </c>
      <c r="E72" s="92" t="s">
        <v>4854</v>
      </c>
      <c r="F72" s="89">
        <v>228761</v>
      </c>
      <c r="G72" s="29">
        <v>18898700</v>
      </c>
    </row>
    <row r="73" spans="1:7">
      <c r="A73" s="33">
        <v>41982</v>
      </c>
      <c r="B73" s="34">
        <v>361895</v>
      </c>
      <c r="C73" s="34">
        <v>363067</v>
      </c>
      <c r="D73" s="34">
        <v>344951</v>
      </c>
      <c r="E73" s="92" t="s">
        <v>4855</v>
      </c>
      <c r="F73" s="89">
        <v>228803</v>
      </c>
      <c r="G73" s="29">
        <v>32915500</v>
      </c>
    </row>
    <row r="74" spans="1:7">
      <c r="A74" s="33">
        <v>41983</v>
      </c>
      <c r="B74" s="34">
        <v>352205</v>
      </c>
      <c r="C74" s="34">
        <v>352384</v>
      </c>
      <c r="D74" s="34">
        <v>346365</v>
      </c>
      <c r="E74" s="92" t="s">
        <v>4856</v>
      </c>
      <c r="F74" s="89">
        <v>229048</v>
      </c>
      <c r="G74" s="29">
        <v>16427700</v>
      </c>
    </row>
    <row r="75" spans="1:7">
      <c r="A75" s="33">
        <v>41984</v>
      </c>
      <c r="B75" s="29" t="s">
        <v>4857</v>
      </c>
      <c r="C75" s="34">
        <v>361357</v>
      </c>
      <c r="D75" s="34">
        <v>338763</v>
      </c>
      <c r="E75" s="92" t="s">
        <v>4858</v>
      </c>
      <c r="F75" s="89">
        <v>229091</v>
      </c>
      <c r="G75" s="29">
        <v>32431300</v>
      </c>
    </row>
    <row r="76" spans="1:7">
      <c r="A76" s="33">
        <v>41985</v>
      </c>
      <c r="B76" s="34">
        <v>350833</v>
      </c>
      <c r="C76" s="34">
        <v>352983</v>
      </c>
      <c r="D76" s="34">
        <v>349291</v>
      </c>
      <c r="E76" s="92" t="s">
        <v>4859</v>
      </c>
      <c r="F76" s="89">
        <v>229284</v>
      </c>
      <c r="G76" s="29">
        <v>16989800</v>
      </c>
    </row>
    <row r="77" spans="1:7">
      <c r="A77" s="33">
        <v>41986</v>
      </c>
      <c r="B77" s="34">
        <v>352381</v>
      </c>
      <c r="C77" s="34">
        <v>352381</v>
      </c>
      <c r="D77" s="34">
        <v>346588</v>
      </c>
      <c r="E77" s="92" t="s">
        <v>4860</v>
      </c>
      <c r="F77" s="89">
        <v>229286</v>
      </c>
      <c r="G77" s="29">
        <v>11675900</v>
      </c>
    </row>
    <row r="78" spans="1:7">
      <c r="A78" s="33">
        <v>41987</v>
      </c>
      <c r="B78" s="34">
        <v>346727</v>
      </c>
      <c r="C78" s="34">
        <v>353316</v>
      </c>
      <c r="D78" s="34">
        <v>345418</v>
      </c>
      <c r="E78" s="92" t="s">
        <v>4861</v>
      </c>
      <c r="F78" s="89">
        <v>229705</v>
      </c>
      <c r="G78" s="29" t="s">
        <v>4778</v>
      </c>
    </row>
    <row r="79" spans="1:7">
      <c r="A79" s="33">
        <v>41988</v>
      </c>
      <c r="B79" s="34">
        <v>351361</v>
      </c>
      <c r="C79" s="34">
        <v>351815</v>
      </c>
      <c r="D79" s="34">
        <v>344934</v>
      </c>
      <c r="E79" s="92" t="s">
        <v>4862</v>
      </c>
      <c r="F79" s="89">
        <v>229782</v>
      </c>
      <c r="G79" s="29">
        <v>17264200</v>
      </c>
    </row>
    <row r="80" spans="1:7">
      <c r="A80" s="33">
        <v>41989</v>
      </c>
      <c r="B80" s="34">
        <v>345673</v>
      </c>
      <c r="C80" s="34">
        <v>345859</v>
      </c>
      <c r="D80" s="34">
        <v>327062</v>
      </c>
      <c r="E80" s="92" t="s">
        <v>4863</v>
      </c>
      <c r="F80" s="89">
        <v>229982</v>
      </c>
      <c r="G80" s="29">
        <v>30864900</v>
      </c>
    </row>
    <row r="81" spans="1:7">
      <c r="A81" s="33">
        <v>41990</v>
      </c>
      <c r="B81" s="34">
        <v>326855</v>
      </c>
      <c r="C81" s="34">
        <v>333954</v>
      </c>
      <c r="D81" s="34">
        <v>315152</v>
      </c>
      <c r="E81" s="92" t="s">
        <v>4864</v>
      </c>
      <c r="F81" s="89">
        <v>230056</v>
      </c>
      <c r="G81" s="29">
        <v>37567900</v>
      </c>
    </row>
    <row r="82" spans="1:7">
      <c r="A82" s="33">
        <v>41991</v>
      </c>
      <c r="B82" s="34">
        <v>319785</v>
      </c>
      <c r="C82" s="34">
        <v>323709</v>
      </c>
      <c r="D82" s="34">
        <v>304232</v>
      </c>
      <c r="E82" s="92" t="s">
        <v>4865</v>
      </c>
      <c r="F82" s="89">
        <v>230283</v>
      </c>
      <c r="G82" s="29">
        <v>39173000</v>
      </c>
    </row>
    <row r="83" spans="1:7">
      <c r="A83" s="33">
        <v>41992</v>
      </c>
      <c r="B83" s="34">
        <v>311179</v>
      </c>
      <c r="C83" s="34">
        <v>318533</v>
      </c>
      <c r="D83" s="34">
        <v>306769</v>
      </c>
      <c r="E83" s="92" t="s">
        <v>4866</v>
      </c>
      <c r="F83" s="89">
        <v>230298</v>
      </c>
      <c r="G83" s="29">
        <v>23823100</v>
      </c>
    </row>
    <row r="84" spans="1:7">
      <c r="A84" s="33">
        <v>41993</v>
      </c>
      <c r="B84" s="34">
        <v>317619</v>
      </c>
      <c r="C84" s="34">
        <v>330325</v>
      </c>
      <c r="D84" s="34">
        <v>316044</v>
      </c>
      <c r="E84" s="92" t="s">
        <v>4867</v>
      </c>
      <c r="F84" s="89">
        <v>230304</v>
      </c>
      <c r="G84" s="29">
        <v>20856700</v>
      </c>
    </row>
    <row r="85" spans="1:7">
      <c r="A85" s="33">
        <v>41994</v>
      </c>
      <c r="B85" s="34">
        <v>329543</v>
      </c>
      <c r="C85" s="34">
        <v>329629</v>
      </c>
      <c r="D85" s="34">
        <v>318903</v>
      </c>
      <c r="E85" s="92" t="s">
        <v>4868</v>
      </c>
      <c r="F85" s="89">
        <v>230512</v>
      </c>
      <c r="G85" s="29">
        <v>15207600</v>
      </c>
    </row>
    <row r="86" spans="1:7">
      <c r="A86" s="33">
        <v>41995</v>
      </c>
      <c r="B86" s="34">
        <v>321068</v>
      </c>
      <c r="C86" s="34">
        <v>334117</v>
      </c>
      <c r="D86" s="34">
        <v>320425</v>
      </c>
      <c r="E86" s="92" t="s">
        <v>4869</v>
      </c>
      <c r="F86" s="89">
        <v>230618</v>
      </c>
      <c r="G86" s="29">
        <v>22315100</v>
      </c>
    </row>
    <row r="87" spans="1:7">
      <c r="A87" s="33">
        <v>41996</v>
      </c>
      <c r="B87" s="34">
        <v>332017</v>
      </c>
      <c r="C87" s="34">
        <v>336287</v>
      </c>
      <c r="D87" s="34">
        <v>329602</v>
      </c>
      <c r="E87" s="92" t="s">
        <v>4870</v>
      </c>
      <c r="F87" s="89">
        <v>230644</v>
      </c>
      <c r="G87" s="29">
        <v>16574200</v>
      </c>
    </row>
    <row r="88" spans="1:7">
      <c r="A88" s="33">
        <v>41997</v>
      </c>
      <c r="B88" s="34">
        <v>334385</v>
      </c>
      <c r="C88" s="34">
        <v>334741</v>
      </c>
      <c r="D88" s="34">
        <v>321357</v>
      </c>
      <c r="E88" s="92" t="s">
        <v>4871</v>
      </c>
      <c r="F88" s="89">
        <v>231268</v>
      </c>
      <c r="G88" s="29">
        <v>15092300</v>
      </c>
    </row>
    <row r="89" spans="1:7">
      <c r="A89" s="33">
        <v>41998</v>
      </c>
      <c r="B89" s="34">
        <v>322286</v>
      </c>
      <c r="C89" s="29" t="s">
        <v>4872</v>
      </c>
      <c r="D89" s="34">
        <v>316958</v>
      </c>
      <c r="E89" s="92" t="s">
        <v>4873</v>
      </c>
      <c r="F89" s="89">
        <v>231396</v>
      </c>
      <c r="G89" s="29">
        <v>9883640</v>
      </c>
    </row>
    <row r="90" spans="1:7">
      <c r="A90" s="33">
        <v>41999</v>
      </c>
      <c r="B90" s="34">
        <v>319152</v>
      </c>
      <c r="C90" s="34">
        <v>331424</v>
      </c>
      <c r="D90" s="34">
        <v>316627</v>
      </c>
      <c r="E90" s="92" t="s">
        <v>4874</v>
      </c>
      <c r="F90" s="89">
        <v>231493</v>
      </c>
      <c r="G90" s="29">
        <v>16410500</v>
      </c>
    </row>
    <row r="91" spans="1:7">
      <c r="A91" s="33">
        <v>42000</v>
      </c>
      <c r="B91" s="34">
        <v>327583</v>
      </c>
      <c r="C91" s="34">
        <v>328911</v>
      </c>
      <c r="D91" s="29" t="s">
        <v>4875</v>
      </c>
      <c r="E91" s="92" t="s">
        <v>4876</v>
      </c>
      <c r="F91" s="89">
        <v>231947</v>
      </c>
      <c r="G91" s="29">
        <v>15185200</v>
      </c>
    </row>
    <row r="92" spans="1:7">
      <c r="A92" s="33">
        <v>42001</v>
      </c>
      <c r="B92" s="29" t="s">
        <v>4877</v>
      </c>
      <c r="C92" s="34">
        <v>320028</v>
      </c>
      <c r="D92" s="34">
        <v>311078</v>
      </c>
      <c r="E92" s="92" t="s">
        <v>4878</v>
      </c>
      <c r="F92" s="89">
        <v>232079</v>
      </c>
      <c r="G92" s="29">
        <v>11676600</v>
      </c>
    </row>
    <row r="93" spans="1:7">
      <c r="A93" s="33">
        <v>42002</v>
      </c>
      <c r="B93" s="34">
        <v>317701</v>
      </c>
      <c r="C93" s="34">
        <v>320267</v>
      </c>
      <c r="D93" s="34">
        <v>312307</v>
      </c>
      <c r="E93" s="92" t="s">
        <v>4879</v>
      </c>
      <c r="F93" s="89">
        <v>232402</v>
      </c>
      <c r="G93" s="29">
        <v>12302500</v>
      </c>
    </row>
    <row r="94" spans="1:7">
      <c r="A94" s="33">
        <v>42003</v>
      </c>
      <c r="B94" s="34">
        <v>312719</v>
      </c>
      <c r="C94" s="34">
        <v>314809</v>
      </c>
      <c r="D94" s="34">
        <v>309373</v>
      </c>
      <c r="E94" s="92" t="s">
        <v>4880</v>
      </c>
      <c r="F94" s="89">
        <v>232569</v>
      </c>
      <c r="G94" s="29">
        <v>12528300</v>
      </c>
    </row>
    <row r="95" spans="1:7">
      <c r="A95" s="33">
        <v>42004</v>
      </c>
      <c r="B95" s="34">
        <v>310914</v>
      </c>
      <c r="C95" s="34">
        <v>320193</v>
      </c>
      <c r="D95" s="34">
        <v>310211</v>
      </c>
      <c r="E95" s="92" t="s">
        <v>4881</v>
      </c>
      <c r="F95" s="89">
        <v>232757</v>
      </c>
      <c r="G95" s="29">
        <v>13942900</v>
      </c>
    </row>
    <row r="96" spans="1:7">
      <c r="A96" s="33">
        <v>42005</v>
      </c>
      <c r="B96" s="34">
        <v>320435</v>
      </c>
      <c r="C96" s="34">
        <v>320435</v>
      </c>
      <c r="D96" s="34">
        <v>314003</v>
      </c>
      <c r="E96" s="92" t="s">
        <v>4882</v>
      </c>
      <c r="F96" s="89">
        <v>232879</v>
      </c>
      <c r="G96" s="29">
        <v>8036550</v>
      </c>
    </row>
    <row r="97" spans="1:7">
      <c r="A97" s="33">
        <v>42006</v>
      </c>
      <c r="B97" s="34">
        <v>314079</v>
      </c>
      <c r="C97" s="34">
        <v>315839</v>
      </c>
      <c r="D97" s="34">
        <v>313565</v>
      </c>
      <c r="E97" s="92" t="s">
        <v>4883</v>
      </c>
      <c r="F97" s="89">
        <v>232975</v>
      </c>
      <c r="G97" s="29">
        <v>7860650</v>
      </c>
    </row>
    <row r="98" spans="1:7">
      <c r="A98" s="33">
        <v>42007</v>
      </c>
      <c r="B98" s="34">
        <v>314846</v>
      </c>
      <c r="C98" s="29" t="s">
        <v>4884</v>
      </c>
      <c r="D98" s="34">
        <v>281082</v>
      </c>
      <c r="E98" s="92" t="s">
        <v>4885</v>
      </c>
      <c r="F98" s="89">
        <v>233128</v>
      </c>
      <c r="G98" s="29">
        <v>33054400</v>
      </c>
    </row>
    <row r="99" spans="1:7">
      <c r="A99" s="33">
        <v>42008</v>
      </c>
      <c r="B99" s="34">
        <v>281146</v>
      </c>
      <c r="C99" s="29" t="s">
        <v>4886</v>
      </c>
      <c r="D99" s="34">
        <v>257612</v>
      </c>
      <c r="E99" s="92" t="s">
        <v>4887</v>
      </c>
      <c r="F99" s="89">
        <v>233345</v>
      </c>
      <c r="G99" s="29">
        <v>55629100</v>
      </c>
    </row>
    <row r="100" spans="1:7">
      <c r="A100" s="33">
        <v>42009</v>
      </c>
      <c r="B100" s="34">
        <v>265084</v>
      </c>
      <c r="C100" s="34">
        <v>278341</v>
      </c>
      <c r="D100" s="34">
        <v>265084</v>
      </c>
      <c r="E100" s="92" t="s">
        <v>4888</v>
      </c>
      <c r="F100" s="89">
        <v>233406</v>
      </c>
      <c r="G100" s="29">
        <v>43962800</v>
      </c>
    </row>
    <row r="101" spans="1:7">
      <c r="A101" s="33">
        <v>42010</v>
      </c>
      <c r="B101" s="34">
        <v>274611</v>
      </c>
      <c r="C101" s="34">
        <v>287553</v>
      </c>
      <c r="D101" s="34">
        <v>272696</v>
      </c>
      <c r="E101" s="92" t="s">
        <v>4889</v>
      </c>
      <c r="F101" s="89">
        <v>233513</v>
      </c>
      <c r="G101" s="29">
        <v>23245700</v>
      </c>
    </row>
    <row r="102" spans="1:7">
      <c r="A102" s="33">
        <v>42011</v>
      </c>
      <c r="B102" s="34">
        <v>286077</v>
      </c>
      <c r="C102" s="34">
        <v>298754</v>
      </c>
      <c r="D102" s="34">
        <v>283079</v>
      </c>
      <c r="E102" s="92" t="s">
        <v>4890</v>
      </c>
      <c r="F102" s="89">
        <v>233543</v>
      </c>
      <c r="G102" s="29">
        <v>24866800</v>
      </c>
    </row>
    <row r="103" spans="1:7">
      <c r="A103" s="33">
        <v>42012</v>
      </c>
      <c r="B103" s="34">
        <v>294135</v>
      </c>
      <c r="C103" s="34">
        <v>294135</v>
      </c>
      <c r="D103" s="34">
        <v>282175</v>
      </c>
      <c r="E103" s="92" t="s">
        <v>4891</v>
      </c>
      <c r="F103" s="89">
        <v>233843</v>
      </c>
      <c r="G103" s="29">
        <v>19982500</v>
      </c>
    </row>
    <row r="104" spans="1:7">
      <c r="A104" s="33">
        <v>42013</v>
      </c>
      <c r="B104" s="34">
        <v>282383</v>
      </c>
      <c r="C104" s="34">
        <v>291114</v>
      </c>
      <c r="D104" s="34">
        <v>280533</v>
      </c>
      <c r="E104" s="92" t="s">
        <v>4892</v>
      </c>
      <c r="F104" s="89">
        <v>233915</v>
      </c>
      <c r="G104" s="29">
        <v>18718600</v>
      </c>
    </row>
    <row r="105" spans="1:7">
      <c r="A105" s="33">
        <v>42014</v>
      </c>
      <c r="B105" s="34">
        <v>287303</v>
      </c>
      <c r="C105" s="34">
        <v>288127</v>
      </c>
      <c r="D105" s="34">
        <v>273966</v>
      </c>
      <c r="E105" s="92" t="s">
        <v>4893</v>
      </c>
      <c r="F105" s="89">
        <v>234018</v>
      </c>
      <c r="G105" s="29">
        <v>15264300</v>
      </c>
    </row>
    <row r="106" spans="1:7">
      <c r="A106" s="33">
        <v>42015</v>
      </c>
      <c r="B106" s="34">
        <v>274608</v>
      </c>
      <c r="C106" s="34">
        <v>279638</v>
      </c>
      <c r="D106" s="34">
        <v>265039</v>
      </c>
      <c r="E106" s="92" t="s">
        <v>4894</v>
      </c>
      <c r="F106" s="89">
        <v>234176</v>
      </c>
      <c r="G106" s="29">
        <v>18200800</v>
      </c>
    </row>
    <row r="107" spans="1:7">
      <c r="A107" s="33">
        <v>42016</v>
      </c>
      <c r="B107" s="34">
        <v>266146</v>
      </c>
      <c r="C107" s="34">
        <v>272203</v>
      </c>
      <c r="D107" s="29" t="s">
        <v>4895</v>
      </c>
      <c r="E107" s="92" t="s">
        <v>4896</v>
      </c>
      <c r="F107" s="89">
        <v>234529</v>
      </c>
      <c r="G107" s="29">
        <v>18880300</v>
      </c>
    </row>
    <row r="108" spans="1:7">
      <c r="A108" s="33">
        <v>42017</v>
      </c>
      <c r="B108" s="34">
        <v>267394</v>
      </c>
      <c r="C108" s="34">
        <v>268277</v>
      </c>
      <c r="D108" s="34">
        <v>219906</v>
      </c>
      <c r="E108" s="92" t="s">
        <v>4897</v>
      </c>
      <c r="F108" s="89">
        <v>234825</v>
      </c>
      <c r="G108" s="29">
        <v>72843904</v>
      </c>
    </row>
    <row r="109" spans="1:7">
      <c r="A109" s="33">
        <v>42018</v>
      </c>
      <c r="B109" s="34">
        <v>223894</v>
      </c>
      <c r="C109" s="29" t="s">
        <v>4778</v>
      </c>
      <c r="D109" s="29" t="s">
        <v>4898</v>
      </c>
      <c r="E109" s="92" t="s">
        <v>4899</v>
      </c>
      <c r="F109" s="89">
        <v>235019</v>
      </c>
      <c r="G109" s="29">
        <v>97638704</v>
      </c>
    </row>
    <row r="110" spans="1:7">
      <c r="A110" s="33">
        <v>42019</v>
      </c>
      <c r="B110" s="34">
        <v>176897</v>
      </c>
      <c r="C110" s="34">
        <v>229067</v>
      </c>
      <c r="D110" s="34">
        <v>176897</v>
      </c>
      <c r="E110" s="92" t="s">
        <v>4900</v>
      </c>
      <c r="F110" s="89">
        <v>235144</v>
      </c>
      <c r="G110" s="29">
        <v>81773504</v>
      </c>
    </row>
    <row r="111" spans="1:7">
      <c r="A111" s="33">
        <v>42020</v>
      </c>
      <c r="B111" s="29" t="s">
        <v>4901</v>
      </c>
      <c r="C111" s="34">
        <v>221591</v>
      </c>
      <c r="D111" s="34">
        <v>199771</v>
      </c>
      <c r="E111" s="92" t="s">
        <v>4902</v>
      </c>
      <c r="F111" s="89">
        <v>235229</v>
      </c>
      <c r="G111" s="29" t="s">
        <v>4778</v>
      </c>
    </row>
    <row r="112" spans="1:7">
      <c r="A112" s="33">
        <v>42021</v>
      </c>
      <c r="B112" s="34">
        <v>207834</v>
      </c>
      <c r="C112" s="34">
        <v>211731</v>
      </c>
      <c r="D112" s="34">
        <v>194875</v>
      </c>
      <c r="E112" s="92" t="s">
        <v>4903</v>
      </c>
      <c r="F112" s="89">
        <v>235269</v>
      </c>
      <c r="G112" s="29">
        <v>23469700</v>
      </c>
    </row>
    <row r="113" spans="1:7">
      <c r="A113" s="33">
        <v>42022</v>
      </c>
      <c r="B113" s="29" t="s">
        <v>4904</v>
      </c>
      <c r="C113" s="34">
        <v>218695</v>
      </c>
      <c r="D113" s="34">
        <v>194506</v>
      </c>
      <c r="E113" s="92" t="s">
        <v>4905</v>
      </c>
      <c r="F113" s="89">
        <v>235344</v>
      </c>
      <c r="G113" s="29">
        <v>30085100</v>
      </c>
    </row>
    <row r="114" spans="1:7">
      <c r="A114" s="33">
        <v>42023</v>
      </c>
      <c r="B114" s="34">
        <v>211471</v>
      </c>
      <c r="C114" s="34">
        <v>216728</v>
      </c>
      <c r="D114" s="34">
        <v>207318</v>
      </c>
      <c r="E114" s="92" t="s">
        <v>4906</v>
      </c>
      <c r="F114" s="89">
        <v>235427</v>
      </c>
      <c r="G114" s="29">
        <v>18658300</v>
      </c>
    </row>
    <row r="115" spans="1:7">
      <c r="A115" s="33">
        <v>42024</v>
      </c>
      <c r="B115" s="34">
        <v>212907</v>
      </c>
      <c r="C115" s="34">
        <v>215241</v>
      </c>
      <c r="D115" s="34">
        <v>205153</v>
      </c>
      <c r="E115" s="92" t="s">
        <v>4907</v>
      </c>
      <c r="F115" s="89">
        <v>235977</v>
      </c>
      <c r="G115" s="29">
        <v>24051100</v>
      </c>
    </row>
    <row r="116" spans="1:7">
      <c r="A116" s="33">
        <v>42025</v>
      </c>
      <c r="B116" s="34">
        <v>211378</v>
      </c>
      <c r="C116" s="34">
        <v>227788</v>
      </c>
      <c r="D116" s="34">
        <v>211212</v>
      </c>
      <c r="E116" s="92" t="s">
        <v>4908</v>
      </c>
      <c r="F116" s="89">
        <v>236072</v>
      </c>
      <c r="G116" s="29">
        <v>29924600</v>
      </c>
    </row>
    <row r="117" spans="1:7">
      <c r="A117" s="33">
        <v>42026</v>
      </c>
      <c r="B117" s="34">
        <v>227322</v>
      </c>
      <c r="C117" s="34">
        <v>237019</v>
      </c>
      <c r="D117" s="34">
        <v>226434</v>
      </c>
      <c r="E117" s="92" t="s">
        <v>4909</v>
      </c>
      <c r="F117" s="89">
        <v>236121</v>
      </c>
      <c r="G117" s="29">
        <v>33544600</v>
      </c>
    </row>
    <row r="118" spans="1:7">
      <c r="A118" s="33">
        <v>42027</v>
      </c>
      <c r="B118" s="34">
        <v>233517</v>
      </c>
      <c r="C118" s="34">
        <v>234845</v>
      </c>
      <c r="D118" s="34">
        <v>225196</v>
      </c>
      <c r="E118" s="92" t="s">
        <v>4910</v>
      </c>
      <c r="F118" s="89">
        <v>236145</v>
      </c>
      <c r="G118" s="29">
        <v>24621700</v>
      </c>
    </row>
    <row r="119" spans="1:7">
      <c r="A119" s="33">
        <v>42028</v>
      </c>
      <c r="B119" s="29" t="s">
        <v>4911</v>
      </c>
      <c r="C119" s="29" t="s">
        <v>4912</v>
      </c>
      <c r="D119" s="34">
        <v>230022</v>
      </c>
      <c r="E119" s="92" t="s">
        <v>4913</v>
      </c>
      <c r="F119" s="89">
        <v>236153</v>
      </c>
      <c r="G119" s="29">
        <v>24782500</v>
      </c>
    </row>
    <row r="120" spans="1:7">
      <c r="A120" s="33">
        <v>42029</v>
      </c>
      <c r="B120" s="34">
        <v>247352</v>
      </c>
      <c r="C120" s="34">
        <v>255074</v>
      </c>
      <c r="D120" s="29" t="s">
        <v>4914</v>
      </c>
      <c r="E120" s="92" t="s">
        <v>4915</v>
      </c>
      <c r="F120" s="89">
        <v>236153</v>
      </c>
      <c r="G120" s="29">
        <v>33582700</v>
      </c>
    </row>
    <row r="121" spans="1:7">
      <c r="A121" s="33">
        <v>42030</v>
      </c>
      <c r="B121" s="34">
        <v>254079</v>
      </c>
      <c r="C121" s="34">
        <v>309384</v>
      </c>
      <c r="D121" s="34">
        <v>254079</v>
      </c>
      <c r="E121" s="92" t="s">
        <v>4916</v>
      </c>
      <c r="F121" s="89">
        <v>236326</v>
      </c>
      <c r="G121" s="29" t="s">
        <v>4917</v>
      </c>
    </row>
    <row r="122" spans="1:7">
      <c r="A122" s="33">
        <v>42031</v>
      </c>
      <c r="B122" s="34">
        <v>273167</v>
      </c>
      <c r="C122" s="29" t="s">
        <v>4918</v>
      </c>
      <c r="D122" s="34">
        <v>250653</v>
      </c>
      <c r="E122" s="92" t="s">
        <v>4919</v>
      </c>
      <c r="F122" s="89">
        <v>236377</v>
      </c>
      <c r="G122" s="29">
        <v>44399000</v>
      </c>
    </row>
    <row r="123" spans="1:7">
      <c r="A123" s="33">
        <v>42032</v>
      </c>
      <c r="B123" s="34">
        <v>263351</v>
      </c>
      <c r="C123" s="34">
        <v>266535</v>
      </c>
      <c r="D123" s="34">
        <v>227046</v>
      </c>
      <c r="E123" s="92" t="s">
        <v>4920</v>
      </c>
      <c r="F123" s="89">
        <v>236426</v>
      </c>
      <c r="G123" s="29">
        <v>44352200</v>
      </c>
    </row>
    <row r="124" spans="1:7">
      <c r="A124" s="33">
        <v>42033</v>
      </c>
      <c r="B124" s="34">
        <v>233348</v>
      </c>
      <c r="C124" s="34">
        <v>238706</v>
      </c>
      <c r="D124" s="34">
        <v>220712</v>
      </c>
      <c r="E124" s="92" t="s">
        <v>4921</v>
      </c>
      <c r="F124" s="89">
        <v>236462</v>
      </c>
      <c r="G124" s="29">
        <v>32213400</v>
      </c>
    </row>
    <row r="125" spans="1:7">
      <c r="A125" s="33">
        <v>42034</v>
      </c>
      <c r="B125" s="34">
        <v>232772</v>
      </c>
      <c r="C125" s="34">
        <v>242851</v>
      </c>
      <c r="D125" s="34">
        <v>225839</v>
      </c>
      <c r="E125" s="92" t="s">
        <v>4922</v>
      </c>
      <c r="F125" s="89">
        <v>236552</v>
      </c>
      <c r="G125" s="29">
        <v>26605200</v>
      </c>
    </row>
    <row r="126" spans="1:7">
      <c r="A126" s="33">
        <v>42035</v>
      </c>
      <c r="B126" s="34">
        <v>226441</v>
      </c>
      <c r="C126" s="34">
        <v>233504</v>
      </c>
      <c r="D126" s="34">
        <v>216309</v>
      </c>
      <c r="E126" s="92" t="s">
        <v>4923</v>
      </c>
      <c r="F126" s="89">
        <v>236687</v>
      </c>
      <c r="G126" s="29">
        <v>23348200</v>
      </c>
    </row>
    <row r="127" spans="1:7">
      <c r="A127" s="33">
        <v>42036</v>
      </c>
      <c r="B127" s="34">
        <v>216867</v>
      </c>
      <c r="C127" s="34">
        <v>231574</v>
      </c>
      <c r="D127" s="34">
        <v>212015</v>
      </c>
      <c r="E127" s="92" t="s">
        <v>4924</v>
      </c>
      <c r="F127" s="89">
        <v>236802</v>
      </c>
      <c r="G127" s="29">
        <v>29128500</v>
      </c>
    </row>
    <row r="128" spans="1:7">
      <c r="A128" s="33">
        <v>42037</v>
      </c>
      <c r="B128" s="34">
        <v>226491</v>
      </c>
      <c r="C128" s="34">
        <v>242175</v>
      </c>
      <c r="D128" s="34">
        <v>222659</v>
      </c>
      <c r="E128" s="92" t="s">
        <v>4925</v>
      </c>
      <c r="F128" s="89">
        <v>236823</v>
      </c>
      <c r="G128" s="29">
        <v>30612100</v>
      </c>
    </row>
    <row r="129" spans="1:7">
      <c r="A129" s="33">
        <v>42038</v>
      </c>
      <c r="B129" s="34">
        <v>237454</v>
      </c>
      <c r="C129" s="34">
        <v>245957</v>
      </c>
      <c r="D129" s="34">
        <v>224483</v>
      </c>
      <c r="E129" s="92" t="s">
        <v>4926</v>
      </c>
      <c r="F129" s="89">
        <v>236929</v>
      </c>
      <c r="G129" s="29">
        <v>40783700</v>
      </c>
    </row>
    <row r="130" spans="1:7">
      <c r="A130" s="33">
        <v>42039</v>
      </c>
      <c r="B130" s="34">
        <v>227511</v>
      </c>
      <c r="C130" s="34">
        <v>230058</v>
      </c>
      <c r="D130" s="34">
        <v>221113</v>
      </c>
      <c r="E130" s="92" t="s">
        <v>4927</v>
      </c>
      <c r="F130" s="89">
        <v>237096</v>
      </c>
      <c r="G130" s="29">
        <v>26594300</v>
      </c>
    </row>
    <row r="131" spans="1:7">
      <c r="A131" s="33">
        <v>42040</v>
      </c>
      <c r="B131" s="34">
        <v>227665</v>
      </c>
      <c r="C131" s="34">
        <v>239405</v>
      </c>
      <c r="D131" s="34">
        <v>214725</v>
      </c>
      <c r="E131" s="92" t="s">
        <v>4928</v>
      </c>
      <c r="F131" s="89">
        <v>237116</v>
      </c>
      <c r="G131" s="29">
        <v>22516400</v>
      </c>
    </row>
    <row r="132" spans="1:7">
      <c r="A132" s="33">
        <v>42041</v>
      </c>
      <c r="B132" s="34">
        <v>216923</v>
      </c>
      <c r="C132" s="29" t="s">
        <v>4929</v>
      </c>
      <c r="D132" s="34">
        <v>216232</v>
      </c>
      <c r="E132" s="92" t="s">
        <v>4930</v>
      </c>
      <c r="F132" s="89">
        <v>237283</v>
      </c>
      <c r="G132" s="29">
        <v>24435300</v>
      </c>
    </row>
    <row r="133" spans="1:7">
      <c r="A133" s="33">
        <v>42042</v>
      </c>
      <c r="B133" s="34">
        <v>222633</v>
      </c>
      <c r="C133" s="34">
        <v>230299</v>
      </c>
      <c r="D133" s="34">
        <v>222607</v>
      </c>
      <c r="E133" s="92" t="s">
        <v>4931</v>
      </c>
      <c r="F133" s="89">
        <v>237293</v>
      </c>
      <c r="G133" s="29">
        <v>21604200</v>
      </c>
    </row>
    <row r="134" spans="1:7">
      <c r="A134" s="33">
        <v>42043</v>
      </c>
      <c r="B134" s="34">
        <v>227693</v>
      </c>
      <c r="C134" s="34">
        <v>229438</v>
      </c>
      <c r="D134" s="34">
        <v>221077</v>
      </c>
      <c r="E134" s="92" t="s">
        <v>4932</v>
      </c>
      <c r="F134" s="89">
        <v>237334</v>
      </c>
      <c r="G134" s="29">
        <v>17145200</v>
      </c>
    </row>
    <row r="135" spans="1:7">
      <c r="A135" s="33">
        <v>42044</v>
      </c>
      <c r="B135" s="34">
        <v>223389</v>
      </c>
      <c r="C135" s="34">
        <v>223977</v>
      </c>
      <c r="D135" s="34">
        <v>217019</v>
      </c>
      <c r="E135" s="92" t="s">
        <v>4933</v>
      </c>
      <c r="F135" s="89">
        <v>237408</v>
      </c>
      <c r="G135" s="29">
        <v>27791300</v>
      </c>
    </row>
    <row r="136" spans="1:7">
      <c r="A136" s="33">
        <v>42045</v>
      </c>
      <c r="B136" s="34">
        <v>220282</v>
      </c>
      <c r="C136" s="34">
        <v>221807</v>
      </c>
      <c r="D136" s="34">
        <v>215332</v>
      </c>
      <c r="E136" s="92" t="s">
        <v>4934</v>
      </c>
      <c r="F136" s="89">
        <v>237549</v>
      </c>
      <c r="G136" s="29">
        <v>21115100</v>
      </c>
    </row>
    <row r="137" spans="1:7">
      <c r="A137" s="33">
        <v>42046</v>
      </c>
      <c r="B137" s="34">
        <v>219732</v>
      </c>
      <c r="C137" s="34">
        <v>223406</v>
      </c>
      <c r="D137" s="34">
        <v>218074</v>
      </c>
      <c r="E137" s="92" t="s">
        <v>4935</v>
      </c>
      <c r="F137" s="89">
        <v>238168</v>
      </c>
      <c r="G137" s="29">
        <v>17201900</v>
      </c>
    </row>
    <row r="138" spans="1:7">
      <c r="A138" s="33">
        <v>42047</v>
      </c>
      <c r="B138" s="34">
        <v>219208</v>
      </c>
      <c r="C138" s="34">
        <v>222199</v>
      </c>
      <c r="D138" s="34">
        <v>217614</v>
      </c>
      <c r="E138" s="92" t="s">
        <v>4936</v>
      </c>
      <c r="F138" s="89">
        <v>238229</v>
      </c>
      <c r="G138" s="29">
        <v>15206200</v>
      </c>
    </row>
    <row r="139" spans="1:7">
      <c r="A139" s="33">
        <v>42048</v>
      </c>
      <c r="B139" s="34">
        <v>221969</v>
      </c>
      <c r="C139" s="34">
        <v>240259</v>
      </c>
      <c r="D139" s="34">
        <v>221262</v>
      </c>
      <c r="E139" s="92" t="s">
        <v>4937</v>
      </c>
      <c r="F139" s="89">
        <v>238259</v>
      </c>
      <c r="G139" s="29">
        <v>42744400</v>
      </c>
    </row>
    <row r="140" spans="1:7">
      <c r="A140" s="33">
        <v>42049</v>
      </c>
      <c r="B140" s="34">
        <v>235528</v>
      </c>
      <c r="C140" s="34">
        <v>259808</v>
      </c>
      <c r="D140" s="34">
        <v>235528</v>
      </c>
      <c r="E140" s="92" t="s">
        <v>4938</v>
      </c>
      <c r="F140" s="89">
        <v>238477</v>
      </c>
      <c r="G140" s="29">
        <v>49732500</v>
      </c>
    </row>
    <row r="141" spans="1:7">
      <c r="A141" s="33">
        <v>42050</v>
      </c>
      <c r="B141" s="34">
        <v>257507</v>
      </c>
      <c r="C141" s="34">
        <v>265611</v>
      </c>
      <c r="D141" s="34">
        <v>227684</v>
      </c>
      <c r="E141" s="92" t="s">
        <v>4939</v>
      </c>
      <c r="F141" s="89">
        <v>238735</v>
      </c>
      <c r="G141" s="29">
        <v>56552400</v>
      </c>
    </row>
    <row r="142" spans="1:7">
      <c r="A142" s="33">
        <v>42051</v>
      </c>
      <c r="B142" s="34">
        <v>234825</v>
      </c>
      <c r="C142" s="34">
        <v>239521</v>
      </c>
      <c r="D142" s="34">
        <v>229022</v>
      </c>
      <c r="E142" s="92" t="s">
        <v>4940</v>
      </c>
      <c r="F142" s="89">
        <v>238872</v>
      </c>
      <c r="G142" s="29">
        <v>28153700</v>
      </c>
    </row>
    <row r="143" spans="1:7">
      <c r="A143" s="33">
        <v>42052</v>
      </c>
      <c r="B143" s="34">
        <v>233422</v>
      </c>
      <c r="C143" s="34">
        <v>245775</v>
      </c>
      <c r="D143" s="34">
        <v>232314</v>
      </c>
      <c r="E143" s="92" t="s">
        <v>4941</v>
      </c>
      <c r="F143" s="89">
        <v>238892</v>
      </c>
      <c r="G143" s="29">
        <v>27363100</v>
      </c>
    </row>
    <row r="144" spans="1:7">
      <c r="A144" s="33">
        <v>45072</v>
      </c>
      <c r="B144" s="29" t="s">
        <v>3512</v>
      </c>
      <c r="C144" s="29" t="s">
        <v>3513</v>
      </c>
      <c r="D144" s="29" t="s">
        <v>3514</v>
      </c>
      <c r="E144" s="92" t="s">
        <v>4942</v>
      </c>
      <c r="F144" s="89">
        <v>239018</v>
      </c>
      <c r="G144" s="29" t="s">
        <v>4943</v>
      </c>
    </row>
    <row r="145" spans="1:7">
      <c r="A145" s="33">
        <v>45073</v>
      </c>
      <c r="B145" s="29" t="s">
        <v>3516</v>
      </c>
      <c r="C145" s="29" t="s">
        <v>3517</v>
      </c>
      <c r="D145" s="29" t="s">
        <v>3518</v>
      </c>
      <c r="E145" s="92" t="s">
        <v>4944</v>
      </c>
      <c r="F145" s="89">
        <v>239142</v>
      </c>
      <c r="G145" s="29" t="s">
        <v>4945</v>
      </c>
    </row>
    <row r="146" spans="1:7">
      <c r="A146" s="33">
        <v>45074</v>
      </c>
      <c r="B146" s="29" t="s">
        <v>3520</v>
      </c>
      <c r="C146" s="29" t="s">
        <v>3521</v>
      </c>
      <c r="D146" s="29" t="s">
        <v>3522</v>
      </c>
      <c r="E146" s="92" t="s">
        <v>4946</v>
      </c>
      <c r="F146" s="89">
        <v>239847</v>
      </c>
      <c r="G146" s="29" t="s">
        <v>4947</v>
      </c>
    </row>
    <row r="147" spans="1:7">
      <c r="A147" s="33">
        <v>45075</v>
      </c>
      <c r="B147" s="29" t="s">
        <v>3524</v>
      </c>
      <c r="C147" s="29" t="s">
        <v>3525</v>
      </c>
      <c r="D147" s="29" t="s">
        <v>3526</v>
      </c>
      <c r="E147" s="92" t="s">
        <v>4948</v>
      </c>
      <c r="F147" s="89">
        <v>240107</v>
      </c>
      <c r="G147" s="29" t="s">
        <v>4949</v>
      </c>
    </row>
    <row r="148" spans="1:7">
      <c r="A148" s="33">
        <v>45076</v>
      </c>
      <c r="B148" s="29" t="s">
        <v>3528</v>
      </c>
      <c r="C148" s="29" t="s">
        <v>3529</v>
      </c>
      <c r="D148" s="29" t="s">
        <v>3530</v>
      </c>
      <c r="E148" s="92" t="s">
        <v>4950</v>
      </c>
      <c r="F148" s="89">
        <v>240283</v>
      </c>
      <c r="G148" s="29" t="s">
        <v>4951</v>
      </c>
    </row>
    <row r="149" spans="1:7">
      <c r="A149" s="33">
        <v>45077</v>
      </c>
      <c r="B149" s="29" t="s">
        <v>3532</v>
      </c>
      <c r="C149" s="29" t="s">
        <v>3533</v>
      </c>
      <c r="D149" s="29" t="s">
        <v>3534</v>
      </c>
      <c r="E149" s="92" t="s">
        <v>4952</v>
      </c>
      <c r="F149" s="89">
        <v>240296</v>
      </c>
      <c r="G149" s="29" t="s">
        <v>4953</v>
      </c>
    </row>
    <row r="150" spans="1:7">
      <c r="A150" s="33">
        <v>45078</v>
      </c>
      <c r="B150" s="29" t="s">
        <v>3536</v>
      </c>
      <c r="C150" s="29" t="s">
        <v>3537</v>
      </c>
      <c r="D150" s="29" t="s">
        <v>3538</v>
      </c>
      <c r="E150" s="92" t="s">
        <v>4954</v>
      </c>
      <c r="F150" s="89">
        <v>240348</v>
      </c>
      <c r="G150" s="29" t="s">
        <v>4955</v>
      </c>
    </row>
    <row r="151" spans="1:7">
      <c r="A151" s="33">
        <v>45079</v>
      </c>
      <c r="B151" s="29" t="s">
        <v>3540</v>
      </c>
      <c r="C151" s="29" t="s">
        <v>3541</v>
      </c>
      <c r="D151" s="29" t="s">
        <v>3542</v>
      </c>
      <c r="E151" s="92" t="s">
        <v>4956</v>
      </c>
      <c r="F151" s="89">
        <v>240358</v>
      </c>
      <c r="G151" s="29" t="s">
        <v>4957</v>
      </c>
    </row>
    <row r="152" spans="1:7">
      <c r="A152" s="33">
        <v>45080</v>
      </c>
      <c r="B152" s="29" t="s">
        <v>4958</v>
      </c>
      <c r="C152" s="29" t="s">
        <v>4959</v>
      </c>
      <c r="D152" s="29">
        <v>26958</v>
      </c>
      <c r="E152" s="92" t="s">
        <v>4960</v>
      </c>
      <c r="F152" s="89">
        <v>240515</v>
      </c>
      <c r="G152" s="29" t="s">
        <v>4961</v>
      </c>
    </row>
    <row r="153" spans="1:7">
      <c r="A153" s="33">
        <v>45081</v>
      </c>
      <c r="B153" s="29" t="s">
        <v>3544</v>
      </c>
      <c r="C153" s="29" t="s">
        <v>3545</v>
      </c>
      <c r="D153" s="29" t="s">
        <v>3546</v>
      </c>
      <c r="E153" s="92" t="s">
        <v>4962</v>
      </c>
      <c r="F153" s="89">
        <v>240953</v>
      </c>
      <c r="G153" s="29" t="s">
        <v>4963</v>
      </c>
    </row>
    <row r="154" spans="1:7">
      <c r="A154" s="33">
        <v>45082</v>
      </c>
      <c r="B154" s="29" t="s">
        <v>3548</v>
      </c>
      <c r="C154" s="29" t="s">
        <v>3549</v>
      </c>
      <c r="D154" s="29" t="s">
        <v>3550</v>
      </c>
      <c r="E154" s="92" t="s">
        <v>4964</v>
      </c>
      <c r="F154" s="89">
        <v>241112</v>
      </c>
      <c r="G154" s="29" t="s">
        <v>4965</v>
      </c>
    </row>
    <row r="155" spans="1:7">
      <c r="A155" s="33">
        <v>45083</v>
      </c>
      <c r="B155" s="29" t="s">
        <v>3552</v>
      </c>
      <c r="C155" s="29" t="s">
        <v>3553</v>
      </c>
      <c r="D155" s="29" t="s">
        <v>3554</v>
      </c>
      <c r="E155" s="92" t="s">
        <v>4966</v>
      </c>
      <c r="F155" s="89">
        <v>241832</v>
      </c>
      <c r="G155" s="29" t="s">
        <v>4967</v>
      </c>
    </row>
    <row r="156" spans="1:7">
      <c r="A156" s="33">
        <v>45084</v>
      </c>
      <c r="B156" s="29" t="s">
        <v>3556</v>
      </c>
      <c r="C156" s="29" t="s">
        <v>3557</v>
      </c>
      <c r="D156" s="29" t="s">
        <v>3558</v>
      </c>
      <c r="E156" s="92" t="s">
        <v>4968</v>
      </c>
      <c r="F156" s="89">
        <v>242158</v>
      </c>
      <c r="G156" s="29" t="s">
        <v>4969</v>
      </c>
    </row>
    <row r="157" spans="1:7">
      <c r="A157" s="33">
        <v>45085</v>
      </c>
      <c r="B157" s="29" t="s">
        <v>3560</v>
      </c>
      <c r="C157" s="29" t="s">
        <v>3561</v>
      </c>
      <c r="D157" s="29" t="s">
        <v>3562</v>
      </c>
      <c r="E157" s="92" t="s">
        <v>4970</v>
      </c>
      <c r="F157" s="89">
        <v>242304</v>
      </c>
      <c r="G157" s="29" t="s">
        <v>4971</v>
      </c>
    </row>
    <row r="158" spans="1:7">
      <c r="A158" s="33">
        <v>45086</v>
      </c>
      <c r="B158" s="29" t="s">
        <v>3564</v>
      </c>
      <c r="C158" s="29" t="s">
        <v>3565</v>
      </c>
      <c r="D158" s="29" t="s">
        <v>3566</v>
      </c>
      <c r="E158" s="92" t="s">
        <v>4972</v>
      </c>
      <c r="F158" s="89">
        <v>242713</v>
      </c>
      <c r="G158" s="29" t="s">
        <v>4973</v>
      </c>
    </row>
    <row r="159" spans="1:7">
      <c r="A159" s="33">
        <v>45087</v>
      </c>
      <c r="B159" s="29" t="s">
        <v>3568</v>
      </c>
      <c r="C159" s="29" t="s">
        <v>3569</v>
      </c>
      <c r="D159" s="29" t="s">
        <v>3570</v>
      </c>
      <c r="E159" s="92" t="s">
        <v>4974</v>
      </c>
      <c r="F159" s="89">
        <v>242799</v>
      </c>
      <c r="G159" s="29" t="s">
        <v>4975</v>
      </c>
    </row>
    <row r="160" spans="1:7">
      <c r="A160" s="33">
        <v>45088</v>
      </c>
      <c r="B160" s="29" t="s">
        <v>4976</v>
      </c>
      <c r="C160" s="29" t="s">
        <v>4977</v>
      </c>
      <c r="D160" s="29" t="s">
        <v>4978</v>
      </c>
      <c r="E160" s="92" t="s">
        <v>4979</v>
      </c>
      <c r="F160" s="89">
        <v>242969</v>
      </c>
      <c r="G160" s="29" t="s">
        <v>4980</v>
      </c>
    </row>
    <row r="161" spans="1:7">
      <c r="A161" s="33">
        <v>45089</v>
      </c>
      <c r="B161" s="29" t="s">
        <v>3572</v>
      </c>
      <c r="C161" s="29" t="s">
        <v>3573</v>
      </c>
      <c r="D161" s="29" t="s">
        <v>3574</v>
      </c>
      <c r="E161" s="92" t="s">
        <v>4981</v>
      </c>
      <c r="F161" s="89">
        <v>243594</v>
      </c>
      <c r="G161" s="29" t="s">
        <v>4982</v>
      </c>
    </row>
    <row r="162" spans="1:7">
      <c r="A162" s="33">
        <v>42077</v>
      </c>
      <c r="B162" s="34">
        <v>284442</v>
      </c>
      <c r="C162" s="34">
        <v>286342</v>
      </c>
      <c r="D162" s="34">
        <v>280976</v>
      </c>
      <c r="E162" s="92" t="s">
        <v>4983</v>
      </c>
      <c r="F162" s="89">
        <v>243607</v>
      </c>
      <c r="G162" s="29">
        <v>22612300</v>
      </c>
    </row>
    <row r="163" spans="1:7">
      <c r="A163" s="33">
        <v>42078</v>
      </c>
      <c r="B163" s="34">
        <v>281425</v>
      </c>
      <c r="C163" s="34">
        <v>286529</v>
      </c>
      <c r="D163" s="34">
        <v>280996</v>
      </c>
      <c r="E163" s="92" t="s">
        <v>4984</v>
      </c>
      <c r="F163" s="89">
        <v>243676</v>
      </c>
      <c r="G163" s="29">
        <v>11970100</v>
      </c>
    </row>
    <row r="164" spans="1:7">
      <c r="A164" s="33">
        <v>42079</v>
      </c>
      <c r="B164" s="34">
        <v>285685</v>
      </c>
      <c r="C164" s="34">
        <v>294112</v>
      </c>
      <c r="D164" s="34">
        <v>285685</v>
      </c>
      <c r="E164" s="92" t="s">
        <v>4985</v>
      </c>
      <c r="F164" s="89">
        <v>243779</v>
      </c>
      <c r="G164" s="29">
        <v>21516100</v>
      </c>
    </row>
    <row r="165" spans="1:7">
      <c r="A165" s="33">
        <v>42080</v>
      </c>
      <c r="B165" s="34">
        <v>290595</v>
      </c>
      <c r="C165" s="34">
        <v>292365</v>
      </c>
      <c r="D165" s="34">
        <v>284374</v>
      </c>
      <c r="E165" s="92" t="s">
        <v>4986</v>
      </c>
      <c r="F165" s="89">
        <v>243863</v>
      </c>
      <c r="G165" s="29">
        <v>21497200</v>
      </c>
    </row>
    <row r="166" spans="1:7">
      <c r="A166" s="33">
        <v>42081</v>
      </c>
      <c r="B166" s="34">
        <v>285067</v>
      </c>
      <c r="C166" s="34">
        <v>285336</v>
      </c>
      <c r="D166" s="29" t="s">
        <v>4987</v>
      </c>
      <c r="E166" s="92" t="s">
        <v>4988</v>
      </c>
      <c r="F166" s="89">
        <v>243931</v>
      </c>
      <c r="G166" s="29">
        <v>57008000</v>
      </c>
    </row>
    <row r="167" spans="1:7">
      <c r="A167" s="33">
        <v>42082</v>
      </c>
      <c r="B167" s="29" t="s">
        <v>4989</v>
      </c>
      <c r="C167" s="34">
        <v>264244</v>
      </c>
      <c r="D167" s="34">
        <v>248636</v>
      </c>
      <c r="E167" s="92" t="s">
        <v>4990</v>
      </c>
      <c r="F167" s="89">
        <v>243944</v>
      </c>
      <c r="G167" s="29">
        <v>52732000</v>
      </c>
    </row>
    <row r="168" spans="1:7">
      <c r="A168" s="33">
        <v>42083</v>
      </c>
      <c r="B168" s="34">
        <v>260956</v>
      </c>
      <c r="C168" s="34">
        <v>264848</v>
      </c>
      <c r="D168" s="34">
        <v>259162</v>
      </c>
      <c r="E168" s="92" t="s">
        <v>4991</v>
      </c>
      <c r="F168" s="89">
        <v>244224</v>
      </c>
      <c r="G168" s="29">
        <v>18456700</v>
      </c>
    </row>
    <row r="169" spans="1:7">
      <c r="A169" s="33">
        <v>42084</v>
      </c>
      <c r="B169" s="34">
        <v>261644</v>
      </c>
      <c r="C169" s="34">
        <v>262196</v>
      </c>
      <c r="D169" s="29" t="s">
        <v>4992</v>
      </c>
      <c r="E169" s="92" t="s">
        <v>4993</v>
      </c>
      <c r="F169" s="89">
        <v>244296</v>
      </c>
      <c r="G169" s="29">
        <v>17130100</v>
      </c>
    </row>
    <row r="170" spans="1:7">
      <c r="A170" s="33">
        <v>42085</v>
      </c>
      <c r="B170" s="34">
        <v>259917</v>
      </c>
      <c r="C170" s="34">
        <v>269747</v>
      </c>
      <c r="D170" s="29" t="s">
        <v>4994</v>
      </c>
      <c r="E170" s="92" t="s">
        <v>4995</v>
      </c>
      <c r="F170" s="89">
        <v>244534</v>
      </c>
      <c r="G170" s="29">
        <v>18438100</v>
      </c>
    </row>
    <row r="171" spans="1:7">
      <c r="A171" s="33">
        <v>42086</v>
      </c>
      <c r="B171" s="34">
        <v>267895</v>
      </c>
      <c r="C171" s="34">
        <v>277297</v>
      </c>
      <c r="D171" s="34">
        <v>261745</v>
      </c>
      <c r="E171" s="92" t="s">
        <v>4996</v>
      </c>
      <c r="F171" s="89">
        <v>244606</v>
      </c>
      <c r="G171" s="29">
        <v>22811900</v>
      </c>
    </row>
    <row r="172" spans="1:7">
      <c r="A172" s="33">
        <v>42087</v>
      </c>
      <c r="B172" s="34">
        <v>266577</v>
      </c>
      <c r="C172" s="34">
        <v>267003</v>
      </c>
      <c r="D172" s="34">
        <v>244155</v>
      </c>
      <c r="E172" s="92" t="s">
        <v>4997</v>
      </c>
      <c r="F172" s="89">
        <v>244941</v>
      </c>
      <c r="G172" s="29">
        <v>40073700</v>
      </c>
    </row>
    <row r="173" spans="1:7">
      <c r="A173" s="33">
        <v>42088</v>
      </c>
      <c r="B173" s="34">
        <v>247472</v>
      </c>
      <c r="C173" s="29" t="s">
        <v>4998</v>
      </c>
      <c r="D173" s="34">
        <v>236515</v>
      </c>
      <c r="E173" s="92" t="s">
        <v>4999</v>
      </c>
      <c r="F173" s="89">
        <v>245022</v>
      </c>
      <c r="G173" s="29">
        <v>35866900</v>
      </c>
    </row>
    <row r="174" spans="1:7">
      <c r="A174" s="33">
        <v>42089</v>
      </c>
      <c r="B174" s="34">
        <v>246276</v>
      </c>
      <c r="C174" s="34">
        <v>254354</v>
      </c>
      <c r="D174" s="34">
        <v>244905</v>
      </c>
      <c r="E174" s="92" t="s">
        <v>5000</v>
      </c>
      <c r="F174" s="89">
        <v>245212</v>
      </c>
      <c r="G174" s="29">
        <v>25730000</v>
      </c>
    </row>
    <row r="175" spans="1:7">
      <c r="A175" s="33">
        <v>42090</v>
      </c>
      <c r="B175" s="34">
        <v>248566</v>
      </c>
      <c r="C175" s="34">
        <v>256811</v>
      </c>
      <c r="D175" s="34">
        <v>245213</v>
      </c>
      <c r="E175" s="92" t="s">
        <v>5001</v>
      </c>
      <c r="F175" s="89">
        <v>245308</v>
      </c>
      <c r="G175" s="29">
        <v>17274900</v>
      </c>
    </row>
    <row r="176" spans="1:7">
      <c r="A176" s="33">
        <v>42091</v>
      </c>
      <c r="B176" s="34">
        <v>246975</v>
      </c>
      <c r="C176" s="34">
        <v>254205</v>
      </c>
      <c r="D176" s="34">
        <v>246975</v>
      </c>
      <c r="E176" s="92" t="s">
        <v>5002</v>
      </c>
      <c r="F176" s="89">
        <v>245595</v>
      </c>
      <c r="G176" s="29">
        <v>16040900</v>
      </c>
    </row>
    <row r="177" spans="1:7">
      <c r="A177" s="33">
        <v>42092</v>
      </c>
      <c r="B177" s="29" t="s">
        <v>5003</v>
      </c>
      <c r="C177" s="34">
        <v>253139</v>
      </c>
      <c r="D177" s="29" t="s">
        <v>5004</v>
      </c>
      <c r="E177" s="92" t="s">
        <v>5005</v>
      </c>
      <c r="F177" s="89">
        <v>246063</v>
      </c>
      <c r="G177" s="29">
        <v>21699400</v>
      </c>
    </row>
    <row r="178" spans="1:7">
      <c r="A178" s="33">
        <v>42093</v>
      </c>
      <c r="B178" s="34">
        <v>242879</v>
      </c>
      <c r="C178" s="34">
        <v>249242</v>
      </c>
      <c r="D178" s="34">
        <v>239214</v>
      </c>
      <c r="E178" s="92" t="s">
        <v>5006</v>
      </c>
      <c r="F178" s="89">
        <v>246197</v>
      </c>
      <c r="G178" s="29">
        <v>23009600</v>
      </c>
    </row>
    <row r="179" spans="1:7">
      <c r="A179" s="33">
        <v>42094</v>
      </c>
      <c r="B179" s="34">
        <v>247454</v>
      </c>
      <c r="C179" s="29" t="s">
        <v>5007</v>
      </c>
      <c r="D179" s="34">
        <v>242739</v>
      </c>
      <c r="E179" s="92" t="s">
        <v>5008</v>
      </c>
      <c r="F179" s="89">
        <v>247029</v>
      </c>
      <c r="G179" s="29">
        <v>22672000</v>
      </c>
    </row>
    <row r="180" spans="1:7">
      <c r="A180" s="33">
        <v>42095</v>
      </c>
      <c r="B180" s="34">
        <v>244223</v>
      </c>
      <c r="C180" s="34">
        <v>247541</v>
      </c>
      <c r="D180" s="29" t="s">
        <v>5009</v>
      </c>
      <c r="E180" s="92" t="s">
        <v>5010</v>
      </c>
      <c r="F180" s="89">
        <v>247272</v>
      </c>
      <c r="G180" s="29">
        <v>22877200</v>
      </c>
    </row>
    <row r="181" spans="1:7">
      <c r="A181" s="33">
        <v>42096</v>
      </c>
      <c r="B181" s="34">
        <v>247089</v>
      </c>
      <c r="C181" s="34">
        <v>254461</v>
      </c>
      <c r="D181" s="34">
        <v>245416</v>
      </c>
      <c r="E181" s="92" t="s">
        <v>5011</v>
      </c>
      <c r="F181" s="89">
        <v>247526</v>
      </c>
      <c r="G181" s="29">
        <v>26272600</v>
      </c>
    </row>
    <row r="182" spans="1:7">
      <c r="A182" s="33">
        <v>42097</v>
      </c>
      <c r="B182" s="34">
        <v>253074</v>
      </c>
      <c r="C182" s="34">
        <v>256043</v>
      </c>
      <c r="D182" s="34">
        <v>251879</v>
      </c>
      <c r="E182" s="92" t="s">
        <v>5012</v>
      </c>
      <c r="F182" s="89">
        <v>247847</v>
      </c>
      <c r="G182" s="29">
        <v>23146600</v>
      </c>
    </row>
    <row r="183" spans="1:7">
      <c r="A183" s="33">
        <v>42098</v>
      </c>
      <c r="B183" s="34">
        <v>254291</v>
      </c>
      <c r="C183" s="34">
        <v>255258</v>
      </c>
      <c r="D183" s="29" t="s">
        <v>5013</v>
      </c>
      <c r="E183" s="92" t="s">
        <v>5014</v>
      </c>
      <c r="F183" s="89">
        <v>248532</v>
      </c>
      <c r="G183" s="29">
        <v>12493500</v>
      </c>
    </row>
    <row r="184" spans="1:7">
      <c r="A184" s="33">
        <v>42099</v>
      </c>
      <c r="B184" s="34">
        <v>253761</v>
      </c>
      <c r="C184" s="34">
        <v>260675</v>
      </c>
      <c r="D184" s="34">
        <v>251942</v>
      </c>
      <c r="E184" s="92" t="s">
        <v>5015</v>
      </c>
      <c r="F184" s="89">
        <v>249007</v>
      </c>
      <c r="G184" s="29">
        <v>19649200</v>
      </c>
    </row>
    <row r="185" spans="1:7">
      <c r="A185" s="33">
        <v>42100</v>
      </c>
      <c r="B185" s="34">
        <v>260721</v>
      </c>
      <c r="C185" s="34">
        <v>261798</v>
      </c>
      <c r="D185" s="34">
        <v>254575</v>
      </c>
      <c r="E185" s="92" t="s">
        <v>5016</v>
      </c>
      <c r="F185" s="89">
        <v>249011</v>
      </c>
      <c r="G185" s="29">
        <v>20034200</v>
      </c>
    </row>
    <row r="186" spans="1:7">
      <c r="A186" s="33">
        <v>42101</v>
      </c>
      <c r="B186" s="34">
        <v>255274</v>
      </c>
      <c r="C186" s="34">
        <v>255805</v>
      </c>
      <c r="D186" s="34">
        <v>252205</v>
      </c>
      <c r="E186" s="92" t="s">
        <v>5017</v>
      </c>
      <c r="F186" s="89">
        <v>249284</v>
      </c>
      <c r="G186" s="29">
        <v>18467400</v>
      </c>
    </row>
    <row r="187" spans="1:7">
      <c r="A187" s="33">
        <v>42102</v>
      </c>
      <c r="B187" s="34">
        <v>253064</v>
      </c>
      <c r="C187" s="34">
        <v>253847</v>
      </c>
      <c r="D187" s="34">
        <v>244215</v>
      </c>
      <c r="E187" s="92" t="s">
        <v>5018</v>
      </c>
      <c r="F187" s="89">
        <v>249508</v>
      </c>
      <c r="G187" s="29">
        <v>30086400</v>
      </c>
    </row>
    <row r="188" spans="1:7">
      <c r="A188" s="33">
        <v>42103</v>
      </c>
      <c r="B188" s="34">
        <v>244751</v>
      </c>
      <c r="C188" s="34">
        <v>246118</v>
      </c>
      <c r="D188" s="29" t="s">
        <v>5019</v>
      </c>
      <c r="E188" s="92" t="s">
        <v>5020</v>
      </c>
      <c r="F188" s="89">
        <v>250895</v>
      </c>
      <c r="G188" s="29">
        <v>21643500</v>
      </c>
    </row>
    <row r="189" spans="1:7">
      <c r="A189" s="33">
        <v>42104</v>
      </c>
      <c r="B189" s="34">
        <v>243694</v>
      </c>
      <c r="C189" s="34">
        <v>243694</v>
      </c>
      <c r="D189" s="34">
        <v>232771</v>
      </c>
      <c r="E189" s="92" t="s">
        <v>5021</v>
      </c>
      <c r="F189" s="89">
        <v>251989</v>
      </c>
      <c r="G189" s="29">
        <v>28882000</v>
      </c>
    </row>
    <row r="190" spans="1:7">
      <c r="A190" s="33">
        <v>42105</v>
      </c>
      <c r="B190" s="34">
        <v>236016</v>
      </c>
      <c r="C190" s="34">
        <v>239537</v>
      </c>
      <c r="D190" s="34">
        <v>234175</v>
      </c>
      <c r="E190" s="92" t="s">
        <v>5022</v>
      </c>
      <c r="F190" s="89">
        <v>252798</v>
      </c>
      <c r="G190" s="29">
        <v>16365200</v>
      </c>
    </row>
    <row r="191" spans="1:7">
      <c r="A191" s="33">
        <v>42106</v>
      </c>
      <c r="B191" s="34">
        <v>236535</v>
      </c>
      <c r="C191" s="34">
        <v>237728</v>
      </c>
      <c r="D191" s="34">
        <v>233495</v>
      </c>
      <c r="E191" s="92" t="s">
        <v>5023</v>
      </c>
      <c r="F191" s="89">
        <v>253005</v>
      </c>
      <c r="G191" s="29">
        <v>12387900</v>
      </c>
    </row>
    <row r="192" spans="1:7">
      <c r="A192" s="33">
        <v>42107</v>
      </c>
      <c r="B192" s="29" t="s">
        <v>5024</v>
      </c>
      <c r="C192" s="34">
        <v>236935</v>
      </c>
      <c r="D192" s="34">
        <v>221996</v>
      </c>
      <c r="E192" s="92" t="s">
        <v>5025</v>
      </c>
      <c r="F192" s="89">
        <v>253697</v>
      </c>
      <c r="G192" s="29">
        <v>31181800</v>
      </c>
    </row>
    <row r="193" spans="1:7">
      <c r="A193" s="33">
        <v>42108</v>
      </c>
      <c r="B193" s="34">
        <v>224759</v>
      </c>
      <c r="C193" s="34">
        <v>224976</v>
      </c>
      <c r="D193" s="34">
        <v>216323</v>
      </c>
      <c r="E193" s="92" t="s">
        <v>5026</v>
      </c>
      <c r="F193" s="89">
        <v>253718</v>
      </c>
      <c r="G193" s="29">
        <v>31719000</v>
      </c>
    </row>
    <row r="194" spans="1:7">
      <c r="A194" s="33">
        <v>42109</v>
      </c>
      <c r="B194" s="34">
        <v>219073</v>
      </c>
      <c r="C194" s="34">
        <v>223833</v>
      </c>
      <c r="D194" s="34">
        <v>218649</v>
      </c>
      <c r="E194" s="92" t="s">
        <v>5027</v>
      </c>
      <c r="F194" s="89">
        <v>253828</v>
      </c>
      <c r="G194" s="29">
        <v>22562000</v>
      </c>
    </row>
    <row r="195" spans="1:7">
      <c r="A195" s="33">
        <v>42110</v>
      </c>
      <c r="B195" s="34">
        <v>223917</v>
      </c>
      <c r="C195" s="34">
        <v>229672</v>
      </c>
      <c r="D195" s="34">
        <v>223917</v>
      </c>
      <c r="E195" s="92" t="s">
        <v>5028</v>
      </c>
      <c r="F195" s="89">
        <v>254263</v>
      </c>
      <c r="G195" s="29">
        <v>24805400</v>
      </c>
    </row>
    <row r="196" spans="1:7">
      <c r="A196" s="33">
        <v>42111</v>
      </c>
      <c r="B196" s="34">
        <v>228575</v>
      </c>
      <c r="C196" s="34">
        <v>228906</v>
      </c>
      <c r="D196" s="34">
        <v>221942</v>
      </c>
      <c r="E196" s="92" t="s">
        <v>5029</v>
      </c>
      <c r="F196" s="89">
        <v>254322</v>
      </c>
      <c r="G196" s="29">
        <v>20429800</v>
      </c>
    </row>
    <row r="197" spans="1:7">
      <c r="A197" s="33">
        <v>42112</v>
      </c>
      <c r="B197" s="34">
        <v>222853</v>
      </c>
      <c r="C197" s="34">
        <v>224316</v>
      </c>
      <c r="D197" s="34">
        <v>220876</v>
      </c>
      <c r="E197" s="92" t="s">
        <v>5030</v>
      </c>
      <c r="F197" s="89">
        <v>255412</v>
      </c>
      <c r="G197" s="29">
        <v>12939000</v>
      </c>
    </row>
    <row r="198" spans="1:7">
      <c r="A198" s="33">
        <v>42113</v>
      </c>
      <c r="B198" s="34">
        <v>223456</v>
      </c>
      <c r="C198" s="34">
        <v>226353</v>
      </c>
      <c r="D198" s="34">
        <v>222373</v>
      </c>
      <c r="E198" s="92" t="s">
        <v>5031</v>
      </c>
      <c r="F198" s="89">
        <v>255492</v>
      </c>
      <c r="G198" s="29">
        <v>15021500</v>
      </c>
    </row>
    <row r="199" spans="1:7">
      <c r="A199" s="33">
        <v>42114</v>
      </c>
      <c r="B199" s="34">
        <v>222612</v>
      </c>
      <c r="C199" s="34">
        <v>226351</v>
      </c>
      <c r="D199" s="34">
        <v>221977</v>
      </c>
      <c r="E199" s="92" t="s">
        <v>5032</v>
      </c>
      <c r="F199" s="89">
        <v>256299</v>
      </c>
      <c r="G199" s="29">
        <v>18364700</v>
      </c>
    </row>
    <row r="200" spans="1:7">
      <c r="A200" s="33">
        <v>42115</v>
      </c>
      <c r="B200" s="29" t="s">
        <v>5033</v>
      </c>
      <c r="C200" s="34">
        <v>235269</v>
      </c>
      <c r="D200" s="34">
        <v>224301</v>
      </c>
      <c r="E200" s="92" t="s">
        <v>5034</v>
      </c>
      <c r="F200" s="89">
        <v>256336</v>
      </c>
      <c r="G200" s="29">
        <v>24978000</v>
      </c>
    </row>
    <row r="201" spans="1:7">
      <c r="A201" s="33">
        <v>42116</v>
      </c>
      <c r="B201" s="34">
        <v>235602</v>
      </c>
      <c r="C201" s="34">
        <v>237909</v>
      </c>
      <c r="D201" s="34">
        <v>233476</v>
      </c>
      <c r="E201" s="92" t="s">
        <v>1474</v>
      </c>
      <c r="F201" s="89">
        <v>257064</v>
      </c>
      <c r="G201" s="29">
        <v>23847900</v>
      </c>
    </row>
    <row r="202" spans="1:7">
      <c r="A202" s="33">
        <v>42117</v>
      </c>
      <c r="B202" s="34">
        <v>234053</v>
      </c>
      <c r="C202" s="34">
        <v>236475</v>
      </c>
      <c r="D202" s="34">
        <v>233199</v>
      </c>
      <c r="E202" s="92" t="s">
        <v>5035</v>
      </c>
      <c r="F202" s="89">
        <v>257321</v>
      </c>
      <c r="G202" s="29">
        <v>17036000</v>
      </c>
    </row>
    <row r="203" spans="1:7">
      <c r="A203" s="33">
        <v>42118</v>
      </c>
      <c r="B203" s="29" t="s">
        <v>5036</v>
      </c>
      <c r="C203" s="34">
        <v>236305</v>
      </c>
      <c r="D203" s="34">
        <v>229933</v>
      </c>
      <c r="E203" s="92" t="s">
        <v>5037</v>
      </c>
      <c r="F203" s="89">
        <v>257976</v>
      </c>
      <c r="G203" s="29">
        <v>21448700</v>
      </c>
    </row>
    <row r="204" spans="1:7">
      <c r="A204" s="33">
        <v>42119</v>
      </c>
      <c r="B204" s="34">
        <v>231235</v>
      </c>
      <c r="C204" s="34">
        <v>232561</v>
      </c>
      <c r="D204" s="34">
        <v>226337</v>
      </c>
      <c r="E204" s="92" t="s">
        <v>5037</v>
      </c>
      <c r="F204" s="89">
        <v>258507</v>
      </c>
      <c r="G204" s="29">
        <v>13957200</v>
      </c>
    </row>
    <row r="205" spans="1:7">
      <c r="A205" s="33">
        <v>42120</v>
      </c>
      <c r="B205" s="29" t="s">
        <v>5038</v>
      </c>
      <c r="C205" s="34">
        <v>226944</v>
      </c>
      <c r="D205" s="34">
        <v>214874</v>
      </c>
      <c r="E205" s="92" t="s">
        <v>5039</v>
      </c>
      <c r="F205" s="89">
        <v>258621</v>
      </c>
      <c r="G205" s="29">
        <v>28943700</v>
      </c>
    </row>
    <row r="206" spans="1:7">
      <c r="A206" s="33">
        <v>42121</v>
      </c>
      <c r="B206" s="34">
        <v>219429</v>
      </c>
      <c r="C206" s="34">
        <v>233305</v>
      </c>
      <c r="D206" s="34">
        <v>218023</v>
      </c>
      <c r="E206" s="92" t="s">
        <v>5040</v>
      </c>
      <c r="F206" s="89">
        <v>260025</v>
      </c>
      <c r="G206" s="29">
        <v>38574000</v>
      </c>
    </row>
    <row r="207" spans="1:7">
      <c r="A207" s="33">
        <v>42122</v>
      </c>
      <c r="B207" s="34">
        <v>228969</v>
      </c>
      <c r="C207" s="34">
        <v>229495</v>
      </c>
      <c r="D207" s="34">
        <v>223069</v>
      </c>
      <c r="E207" s="92" t="s">
        <v>5041</v>
      </c>
      <c r="F207" s="89">
        <v>260202</v>
      </c>
      <c r="G207" s="29">
        <v>21469200</v>
      </c>
    </row>
    <row r="208" spans="1:7">
      <c r="A208" s="33">
        <v>42123</v>
      </c>
      <c r="B208" s="34">
        <v>225591</v>
      </c>
      <c r="C208" s="29" t="s">
        <v>5042</v>
      </c>
      <c r="D208" s="29" t="s">
        <v>5043</v>
      </c>
      <c r="E208" s="92" t="s">
        <v>5044</v>
      </c>
      <c r="F208" s="89">
        <v>260598</v>
      </c>
      <c r="G208" s="29" t="s">
        <v>4778</v>
      </c>
    </row>
    <row r="209" spans="1:7">
      <c r="A209" s="33">
        <v>42124</v>
      </c>
      <c r="B209" s="34">
        <v>225693</v>
      </c>
      <c r="C209" s="34">
        <v>239563</v>
      </c>
      <c r="D209" s="34">
        <v>224993</v>
      </c>
      <c r="E209" s="92" t="s">
        <v>5045</v>
      </c>
      <c r="F209" s="89">
        <v>260886</v>
      </c>
      <c r="G209" s="29" t="s">
        <v>4778</v>
      </c>
    </row>
    <row r="210" spans="1:7">
      <c r="A210" s="33">
        <v>42125</v>
      </c>
      <c r="B210" s="34">
        <v>235939</v>
      </c>
      <c r="C210" s="34">
        <v>238966</v>
      </c>
      <c r="D210" s="34">
        <v>232079</v>
      </c>
      <c r="E210" s="92" t="s">
        <v>5046</v>
      </c>
      <c r="F210" s="89">
        <v>260928</v>
      </c>
      <c r="G210" s="29">
        <v>18815300</v>
      </c>
    </row>
    <row r="211" spans="1:7">
      <c r="A211" s="33">
        <v>42126</v>
      </c>
      <c r="B211" s="34">
        <v>232341</v>
      </c>
      <c r="C211" s="34">
        <v>235727</v>
      </c>
      <c r="D211" s="34">
        <v>232341</v>
      </c>
      <c r="E211" s="92" t="s">
        <v>5047</v>
      </c>
      <c r="F211" s="89">
        <v>260997</v>
      </c>
      <c r="G211" s="29">
        <v>12535500</v>
      </c>
    </row>
    <row r="212" spans="1:7">
      <c r="A212" s="33">
        <v>42127</v>
      </c>
      <c r="B212" s="29" t="s">
        <v>5048</v>
      </c>
      <c r="C212" s="29" t="s">
        <v>5049</v>
      </c>
      <c r="D212" s="34">
        <v>234083</v>
      </c>
      <c r="E212" s="92" t="s">
        <v>5050</v>
      </c>
      <c r="F212" s="89">
        <v>261551</v>
      </c>
      <c r="G212" s="29">
        <v>18494100</v>
      </c>
    </row>
    <row r="213" spans="1:7">
      <c r="A213" s="33">
        <v>42128</v>
      </c>
      <c r="B213" s="34">
        <v>240356</v>
      </c>
      <c r="C213" s="34">
        <v>242638</v>
      </c>
      <c r="D213" s="29" t="s">
        <v>5051</v>
      </c>
      <c r="E213" s="92" t="s">
        <v>1478</v>
      </c>
      <c r="F213" s="89">
        <v>261643</v>
      </c>
      <c r="G213" s="29">
        <v>21223400</v>
      </c>
    </row>
    <row r="214" spans="1:7">
      <c r="A214" s="33">
        <v>42129</v>
      </c>
      <c r="B214" s="34">
        <v>238852</v>
      </c>
      <c r="C214" s="34">
        <v>239204</v>
      </c>
      <c r="D214" s="34">
        <v>232054</v>
      </c>
      <c r="E214" s="92" t="s">
        <v>5052</v>
      </c>
      <c r="F214" s="89">
        <v>261749</v>
      </c>
      <c r="G214" s="29">
        <v>23929100</v>
      </c>
    </row>
    <row r="215" spans="1:7">
      <c r="A215" s="33">
        <v>42130</v>
      </c>
      <c r="B215" s="34">
        <v>236249</v>
      </c>
      <c r="C215" s="34">
        <v>236454</v>
      </c>
      <c r="D215" s="34">
        <v>229231</v>
      </c>
      <c r="E215" s="92" t="s">
        <v>5053</v>
      </c>
      <c r="F215" s="89">
        <v>262869</v>
      </c>
      <c r="G215" s="29">
        <v>29587200</v>
      </c>
    </row>
    <row r="216" spans="1:7">
      <c r="A216" s="33">
        <v>42131</v>
      </c>
      <c r="B216" s="34">
        <v>229662</v>
      </c>
      <c r="C216" s="34">
        <v>239105</v>
      </c>
      <c r="D216" s="34">
        <v>228573</v>
      </c>
      <c r="E216" s="92" t="s">
        <v>5054</v>
      </c>
      <c r="F216" s="89">
        <v>263072</v>
      </c>
      <c r="G216" s="29">
        <v>29064400</v>
      </c>
    </row>
    <row r="217" spans="1:7">
      <c r="A217" s="33">
        <v>42132</v>
      </c>
      <c r="B217" s="34">
        <v>237204</v>
      </c>
      <c r="C217" s="34">
        <v>246275</v>
      </c>
      <c r="D217" s="34">
        <v>236274</v>
      </c>
      <c r="E217" s="92" t="s">
        <v>5055</v>
      </c>
      <c r="F217" s="89">
        <v>263437</v>
      </c>
      <c r="G217" s="29">
        <v>27445500</v>
      </c>
    </row>
    <row r="218" spans="1:7">
      <c r="A218" s="33">
        <v>42133</v>
      </c>
      <c r="B218" s="34">
        <v>243769</v>
      </c>
      <c r="C218" s="34">
        <v>247804</v>
      </c>
      <c r="D218" s="34">
        <v>239639</v>
      </c>
      <c r="E218" s="92" t="s">
        <v>5056</v>
      </c>
      <c r="F218" s="89">
        <v>263475</v>
      </c>
      <c r="G218" s="29">
        <v>19790500</v>
      </c>
    </row>
    <row r="219" spans="1:7">
      <c r="A219" s="33">
        <v>42134</v>
      </c>
      <c r="B219" s="34">
        <v>241729</v>
      </c>
      <c r="C219" s="34">
        <v>244068</v>
      </c>
      <c r="D219" s="34">
        <v>238849</v>
      </c>
      <c r="E219" s="92" t="s">
        <v>5057</v>
      </c>
      <c r="F219" s="89">
        <v>264195</v>
      </c>
      <c r="G219" s="29" t="s">
        <v>4778</v>
      </c>
    </row>
    <row r="220" spans="1:7">
      <c r="A220" s="33">
        <v>42135</v>
      </c>
      <c r="B220" s="34">
        <v>240299</v>
      </c>
      <c r="C220" s="29" t="s">
        <v>5058</v>
      </c>
      <c r="D220" s="34">
        <v>239376</v>
      </c>
      <c r="E220" s="92" t="s">
        <v>5059</v>
      </c>
      <c r="F220" s="89">
        <v>265083</v>
      </c>
      <c r="G220" s="29">
        <v>20892300</v>
      </c>
    </row>
    <row r="221" spans="1:7">
      <c r="A221" s="33">
        <v>42136</v>
      </c>
      <c r="B221" s="34">
        <v>242145</v>
      </c>
      <c r="C221" s="34">
        <v>242881</v>
      </c>
      <c r="D221" s="34">
        <v>240099</v>
      </c>
      <c r="E221" s="92" t="s">
        <v>5060</v>
      </c>
      <c r="F221" s="89">
        <v>266207</v>
      </c>
      <c r="G221" s="29">
        <v>19282600</v>
      </c>
    </row>
    <row r="222" spans="1:7">
      <c r="A222" s="33">
        <v>42137</v>
      </c>
      <c r="B222" s="34">
        <v>241398</v>
      </c>
      <c r="C222" s="34">
        <v>243704</v>
      </c>
      <c r="D222" s="34">
        <v>235045</v>
      </c>
      <c r="E222" s="92" t="s">
        <v>5061</v>
      </c>
      <c r="F222" s="89">
        <v>266272</v>
      </c>
      <c r="G222" s="29">
        <v>27180100</v>
      </c>
    </row>
    <row r="223" spans="1:7">
      <c r="A223" s="33">
        <v>42138</v>
      </c>
      <c r="B223" s="34">
        <v>236214</v>
      </c>
      <c r="C223" s="34">
        <v>237799</v>
      </c>
      <c r="D223" s="34">
        <v>234057</v>
      </c>
      <c r="E223" s="92" t="s">
        <v>5062</v>
      </c>
      <c r="F223" s="89">
        <v>266376</v>
      </c>
      <c r="G223" s="29" t="s">
        <v>4778</v>
      </c>
    </row>
    <row r="224" spans="1:7">
      <c r="A224" s="33">
        <v>42139</v>
      </c>
      <c r="B224" s="34">
        <v>236955</v>
      </c>
      <c r="C224" s="34">
        <v>238753</v>
      </c>
      <c r="D224" s="34">
        <v>236795</v>
      </c>
      <c r="E224" s="92" t="s">
        <v>5063</v>
      </c>
      <c r="F224" s="89">
        <v>267796</v>
      </c>
      <c r="G224" s="29">
        <v>16329400</v>
      </c>
    </row>
    <row r="225" spans="1:7">
      <c r="A225" s="33">
        <v>42140</v>
      </c>
      <c r="B225" s="34">
        <v>237644</v>
      </c>
      <c r="C225" s="34">
        <v>237697</v>
      </c>
      <c r="D225" s="34">
        <v>235295</v>
      </c>
      <c r="E225" s="92" t="s">
        <v>5064</v>
      </c>
      <c r="F225" s="89">
        <v>269228</v>
      </c>
      <c r="G225" s="29">
        <v>11089700</v>
      </c>
    </row>
    <row r="226" spans="1:7">
      <c r="A226" s="33">
        <v>42141</v>
      </c>
      <c r="B226" s="29" t="s">
        <v>5065</v>
      </c>
      <c r="C226" s="34">
        <v>238025</v>
      </c>
      <c r="D226" s="29" t="s">
        <v>5065</v>
      </c>
      <c r="E226" s="92" t="s">
        <v>5066</v>
      </c>
      <c r="F226" s="89">
        <v>269463</v>
      </c>
      <c r="G226" s="29">
        <v>11134300</v>
      </c>
    </row>
    <row r="227" spans="1:7">
      <c r="A227" s="33">
        <v>42142</v>
      </c>
      <c r="B227" s="34">
        <v>236887</v>
      </c>
      <c r="C227" s="29" t="s">
        <v>5067</v>
      </c>
      <c r="D227" s="29" t="s">
        <v>5068</v>
      </c>
      <c r="E227" s="92" t="s">
        <v>5069</v>
      </c>
      <c r="F227" s="89">
        <v>270386</v>
      </c>
      <c r="G227" s="29">
        <v>16780300</v>
      </c>
    </row>
    <row r="228" spans="1:7">
      <c r="A228" s="33">
        <v>42143</v>
      </c>
      <c r="B228" s="34">
        <v>233037</v>
      </c>
      <c r="C228" s="34">
        <v>234151</v>
      </c>
      <c r="D228" s="34">
        <v>231817</v>
      </c>
      <c r="E228" s="92" t="s">
        <v>5070</v>
      </c>
      <c r="F228" s="89">
        <v>270785</v>
      </c>
      <c r="G228" s="29">
        <v>14241900</v>
      </c>
    </row>
    <row r="229" spans="1:7">
      <c r="A229" s="33">
        <v>42144</v>
      </c>
      <c r="B229" s="29" t="s">
        <v>5071</v>
      </c>
      <c r="C229" s="34">
        <v>234683</v>
      </c>
      <c r="D229" s="34">
        <v>231842</v>
      </c>
      <c r="E229" s="92" t="s">
        <v>5072</v>
      </c>
      <c r="F229" s="89">
        <v>271913</v>
      </c>
      <c r="G229" s="29">
        <v>15499400</v>
      </c>
    </row>
    <row r="230" spans="1:7">
      <c r="A230" s="33">
        <v>42145</v>
      </c>
      <c r="B230" s="34">
        <v>234016</v>
      </c>
      <c r="C230" s="34">
        <v>236242</v>
      </c>
      <c r="D230" s="34">
        <v>233835</v>
      </c>
      <c r="E230" s="92" t="s">
        <v>1416</v>
      </c>
      <c r="F230" s="89">
        <v>272723</v>
      </c>
      <c r="G230" s="29">
        <v>15108900</v>
      </c>
    </row>
    <row r="231" spans="1:7">
      <c r="A231" s="33">
        <v>42146</v>
      </c>
      <c r="B231" s="34">
        <v>235321</v>
      </c>
      <c r="C231" s="34">
        <v>240969</v>
      </c>
      <c r="D231" s="29" t="s">
        <v>5073</v>
      </c>
      <c r="E231" s="92" t="s">
        <v>5074</v>
      </c>
      <c r="F231" s="89">
        <v>273092</v>
      </c>
      <c r="G231" s="29">
        <v>27003000</v>
      </c>
    </row>
    <row r="232" spans="1:7">
      <c r="A232" s="33">
        <v>42147</v>
      </c>
      <c r="B232" s="34">
        <v>240286</v>
      </c>
      <c r="C232" s="34">
        <v>241025</v>
      </c>
      <c r="D232" s="34">
        <v>238691</v>
      </c>
      <c r="E232" s="92" t="s">
        <v>5075</v>
      </c>
      <c r="F232" s="89">
        <v>273473</v>
      </c>
      <c r="G232" s="29">
        <v>14605000</v>
      </c>
    </row>
    <row r="233" spans="1:7">
      <c r="A233" s="33">
        <v>42148</v>
      </c>
      <c r="B233" s="34">
        <v>238976</v>
      </c>
      <c r="C233" s="34">
        <v>241978</v>
      </c>
      <c r="D233" s="34">
        <v>238811</v>
      </c>
      <c r="E233" s="92" t="s">
        <v>5076</v>
      </c>
      <c r="F233" s="89">
        <v>273614</v>
      </c>
      <c r="G233" s="29">
        <v>11508000</v>
      </c>
    </row>
    <row r="234" spans="1:7">
      <c r="A234" s="33">
        <v>42149</v>
      </c>
      <c r="B234" s="34">
        <v>240927</v>
      </c>
      <c r="C234" s="34">
        <v>241021</v>
      </c>
      <c r="D234" s="34">
        <v>236637</v>
      </c>
      <c r="E234" s="92" t="s">
        <v>5077</v>
      </c>
      <c r="F234" s="89">
        <v>274023</v>
      </c>
      <c r="G234" s="29">
        <v>14423900</v>
      </c>
    </row>
    <row r="235" spans="1:7">
      <c r="A235" s="33">
        <v>42150</v>
      </c>
      <c r="B235" s="34">
        <v>237104</v>
      </c>
      <c r="C235" s="34">
        <v>238242</v>
      </c>
      <c r="D235" s="34">
        <v>235692</v>
      </c>
      <c r="E235" s="92" t="s">
        <v>5078</v>
      </c>
      <c r="F235" s="89">
        <v>274354</v>
      </c>
      <c r="G235" s="29">
        <v>16425000</v>
      </c>
    </row>
    <row r="236" spans="1:7">
      <c r="A236" s="33">
        <v>42151</v>
      </c>
      <c r="B236" s="34">
        <v>237065</v>
      </c>
      <c r="C236" s="34">
        <v>238636</v>
      </c>
      <c r="D236" s="34">
        <v>236695</v>
      </c>
      <c r="E236" s="92" t="s">
        <v>5079</v>
      </c>
      <c r="F236" s="89">
        <v>274474</v>
      </c>
      <c r="G236" s="29">
        <v>18837000</v>
      </c>
    </row>
    <row r="237" spans="1:7">
      <c r="A237" s="33">
        <v>42152</v>
      </c>
      <c r="B237" s="34">
        <v>237257</v>
      </c>
      <c r="C237" s="34">
        <v>237824</v>
      </c>
      <c r="D237" s="34">
        <v>236652</v>
      </c>
      <c r="E237" s="92" t="s">
        <v>5080</v>
      </c>
      <c r="F237" s="89">
        <v>274796</v>
      </c>
      <c r="G237" s="29">
        <v>13829600</v>
      </c>
    </row>
    <row r="238" spans="1:7">
      <c r="A238" s="33">
        <v>42153</v>
      </c>
      <c r="B238" s="34">
        <v>237377</v>
      </c>
      <c r="C238" s="34">
        <v>237522</v>
      </c>
      <c r="D238" s="34">
        <v>235731</v>
      </c>
      <c r="E238" s="92" t="s">
        <v>5081</v>
      </c>
      <c r="F238" s="89">
        <v>274901</v>
      </c>
      <c r="G238" s="29">
        <v>14805000</v>
      </c>
    </row>
    <row r="239" spans="1:7">
      <c r="A239" s="33">
        <v>42154</v>
      </c>
      <c r="B239" s="34">
        <v>237092</v>
      </c>
      <c r="C239" s="34">
        <v>237093</v>
      </c>
      <c r="D239" s="34">
        <v>232046</v>
      </c>
      <c r="E239" s="92" t="s">
        <v>5082</v>
      </c>
      <c r="F239" s="89">
        <v>275833</v>
      </c>
      <c r="G239" s="29">
        <v>14098600</v>
      </c>
    </row>
    <row r="240" spans="1:7">
      <c r="A240" s="33">
        <v>42155</v>
      </c>
      <c r="B240" s="34">
        <v>233135</v>
      </c>
      <c r="C240" s="34">
        <v>233252</v>
      </c>
      <c r="D240" s="34">
        <v>229542</v>
      </c>
      <c r="E240" s="92" t="s">
        <v>5083</v>
      </c>
      <c r="F240" s="89">
        <v>276049</v>
      </c>
      <c r="G240" s="29">
        <v>14730800</v>
      </c>
    </row>
    <row r="241" spans="1:7">
      <c r="A241" s="33">
        <v>42156</v>
      </c>
      <c r="B241" s="34">
        <v>230233</v>
      </c>
      <c r="C241" s="34">
        <v>231713</v>
      </c>
      <c r="D241" s="34">
        <v>221296</v>
      </c>
      <c r="E241" s="92" t="s">
        <v>5084</v>
      </c>
      <c r="F241" s="89">
        <v>276178</v>
      </c>
      <c r="G241" s="29">
        <v>26090500</v>
      </c>
    </row>
    <row r="242" spans="1:7">
      <c r="A242" s="33">
        <v>42157</v>
      </c>
      <c r="B242" s="34">
        <v>222894</v>
      </c>
      <c r="C242" s="34">
        <v>226416</v>
      </c>
      <c r="D242" s="34">
        <v>222419</v>
      </c>
      <c r="E242" s="92" t="s">
        <v>5085</v>
      </c>
      <c r="F242" s="89">
        <v>276261</v>
      </c>
      <c r="G242" s="29">
        <v>20459000</v>
      </c>
    </row>
    <row r="243" spans="1:7">
      <c r="A243" s="33">
        <v>42158</v>
      </c>
      <c r="B243" s="34">
        <v>225736</v>
      </c>
      <c r="C243" s="34">
        <v>227404</v>
      </c>
      <c r="D243" s="29" t="s">
        <v>5086</v>
      </c>
      <c r="E243" s="92" t="s">
        <v>5087</v>
      </c>
      <c r="F243" s="89">
        <v>276496</v>
      </c>
      <c r="G243" s="29">
        <v>17752400</v>
      </c>
    </row>
    <row r="244" spans="1:7">
      <c r="A244" s="33">
        <v>42159</v>
      </c>
      <c r="B244" s="34">
        <v>225772</v>
      </c>
      <c r="C244" s="34">
        <v>226581</v>
      </c>
      <c r="D244" s="34">
        <v>224054</v>
      </c>
      <c r="E244" s="92" t="s">
        <v>1494</v>
      </c>
      <c r="F244" s="89">
        <v>277222</v>
      </c>
      <c r="G244" s="29" t="s">
        <v>4778</v>
      </c>
    </row>
    <row r="245" spans="1:7">
      <c r="A245" s="33">
        <v>42160</v>
      </c>
      <c r="B245" s="34">
        <v>224154</v>
      </c>
      <c r="C245" s="34">
        <v>225968</v>
      </c>
      <c r="D245" s="34">
        <v>223179</v>
      </c>
      <c r="E245" s="92" t="s">
        <v>5088</v>
      </c>
      <c r="F245" s="89">
        <v>278089</v>
      </c>
      <c r="G245" s="29">
        <v>18056500</v>
      </c>
    </row>
    <row r="246" spans="1:7">
      <c r="A246" s="33">
        <v>42161</v>
      </c>
      <c r="B246" s="34">
        <v>225005</v>
      </c>
      <c r="C246" s="34">
        <v>225719</v>
      </c>
      <c r="D246" s="34">
        <v>224379</v>
      </c>
      <c r="E246" s="92" t="s">
        <v>5089</v>
      </c>
      <c r="F246" s="89">
        <v>278577</v>
      </c>
      <c r="G246" s="29">
        <v>11131500</v>
      </c>
    </row>
    <row r="247" spans="1:7">
      <c r="A247" s="33">
        <v>42162</v>
      </c>
      <c r="B247" s="34">
        <v>225596</v>
      </c>
      <c r="C247" s="34">
        <v>226194</v>
      </c>
      <c r="D247" s="34">
        <v>222652</v>
      </c>
      <c r="E247" s="92" t="s">
        <v>5090</v>
      </c>
      <c r="F247" s="89">
        <v>278981</v>
      </c>
      <c r="G247" s="29">
        <v>13318400</v>
      </c>
    </row>
    <row r="248" spans="1:7">
      <c r="A248" s="33">
        <v>42163</v>
      </c>
      <c r="B248" s="34">
        <v>222879</v>
      </c>
      <c r="C248" s="34">
        <v>229464</v>
      </c>
      <c r="D248" s="34">
        <v>222839</v>
      </c>
      <c r="E248" s="92" t="s">
        <v>5091</v>
      </c>
      <c r="F248" s="89">
        <v>279472</v>
      </c>
      <c r="G248" s="29">
        <v>23378400</v>
      </c>
    </row>
    <row r="249" spans="1:7">
      <c r="A249" s="33">
        <v>42164</v>
      </c>
      <c r="B249" s="34">
        <v>228538</v>
      </c>
      <c r="C249" s="34">
        <v>230954</v>
      </c>
      <c r="D249" s="34">
        <v>227929</v>
      </c>
      <c r="E249" s="92" t="s">
        <v>5092</v>
      </c>
      <c r="F249" s="89">
        <v>279585</v>
      </c>
      <c r="G249" s="29">
        <v>28353100</v>
      </c>
    </row>
    <row r="250" spans="1:7">
      <c r="A250" s="33">
        <v>42165</v>
      </c>
      <c r="B250" s="34">
        <v>228995</v>
      </c>
      <c r="C250" s="34">
        <v>229782</v>
      </c>
      <c r="D250" s="29" t="s">
        <v>5093</v>
      </c>
      <c r="E250" s="92" t="s">
        <v>5094</v>
      </c>
      <c r="F250" s="89">
        <v>281082</v>
      </c>
      <c r="G250" s="29">
        <v>15904800</v>
      </c>
    </row>
    <row r="251" spans="1:7">
      <c r="A251" s="33">
        <v>42166</v>
      </c>
      <c r="B251" s="34">
        <v>228855</v>
      </c>
      <c r="C251" s="34">
        <v>230287</v>
      </c>
      <c r="D251" s="34">
        <v>228767</v>
      </c>
      <c r="E251" s="92" t="s">
        <v>5095</v>
      </c>
      <c r="F251" s="89">
        <v>281227</v>
      </c>
      <c r="G251" s="29">
        <v>14416000</v>
      </c>
    </row>
    <row r="252" spans="1:7">
      <c r="A252" s="33">
        <v>42167</v>
      </c>
      <c r="B252" s="34">
        <v>229705</v>
      </c>
      <c r="C252" s="34">
        <v>231057</v>
      </c>
      <c r="D252" s="34">
        <v>229313</v>
      </c>
      <c r="E252" s="92" t="s">
        <v>5096</v>
      </c>
      <c r="F252" s="89">
        <v>281601</v>
      </c>
      <c r="G252" s="29">
        <v>14017700</v>
      </c>
    </row>
    <row r="253" spans="1:7">
      <c r="A253" s="33">
        <v>42168</v>
      </c>
      <c r="B253" s="29" t="s">
        <v>5097</v>
      </c>
      <c r="C253" s="34">
        <v>232652</v>
      </c>
      <c r="D253" s="29" t="s">
        <v>5098</v>
      </c>
      <c r="E253" s="92" t="s">
        <v>5099</v>
      </c>
      <c r="F253" s="89">
        <v>281654</v>
      </c>
      <c r="G253" s="29">
        <v>13305300</v>
      </c>
    </row>
    <row r="254" spans="1:7">
      <c r="A254" s="33">
        <v>42169</v>
      </c>
      <c r="B254" s="34">
        <v>232442</v>
      </c>
      <c r="C254" s="34">
        <v>234858</v>
      </c>
      <c r="D254" s="34">
        <v>232004</v>
      </c>
      <c r="E254" s="92" t="s">
        <v>5100</v>
      </c>
      <c r="F254" s="89">
        <v>281702</v>
      </c>
      <c r="G254" s="29">
        <v>12165900</v>
      </c>
    </row>
    <row r="255" spans="1:7">
      <c r="A255" s="33">
        <v>42170</v>
      </c>
      <c r="B255" s="34">
        <v>233422</v>
      </c>
      <c r="C255" s="34">
        <v>237836</v>
      </c>
      <c r="D255" s="34">
        <v>233422</v>
      </c>
      <c r="E255" s="92" t="s">
        <v>5101</v>
      </c>
      <c r="F255" s="89">
        <v>281882</v>
      </c>
      <c r="G255" s="29">
        <v>19912100</v>
      </c>
    </row>
    <row r="256" spans="1:7">
      <c r="A256" s="33">
        <v>42171</v>
      </c>
      <c r="B256" s="34">
        <v>236765</v>
      </c>
      <c r="C256" s="34">
        <v>251742</v>
      </c>
      <c r="D256" s="34">
        <v>236122</v>
      </c>
      <c r="E256" s="92" t="s">
        <v>5102</v>
      </c>
      <c r="F256" s="89">
        <v>281885</v>
      </c>
      <c r="G256" s="29">
        <v>41612000</v>
      </c>
    </row>
    <row r="257" spans="1:7">
      <c r="A257" s="33">
        <v>42172</v>
      </c>
      <c r="B257" s="34">
        <v>250823</v>
      </c>
      <c r="C257" s="34">
        <v>256853</v>
      </c>
      <c r="D257" s="34">
        <v>246476</v>
      </c>
      <c r="E257" s="92" t="s">
        <v>1482</v>
      </c>
      <c r="F257" s="89">
        <v>282614</v>
      </c>
      <c r="G257" s="29">
        <v>43858400</v>
      </c>
    </row>
    <row r="258" spans="1:7">
      <c r="A258" s="33">
        <v>42173</v>
      </c>
      <c r="B258" s="34">
        <v>249428</v>
      </c>
      <c r="C258" s="34">
        <v>252108</v>
      </c>
      <c r="D258" s="34">
        <v>244127</v>
      </c>
      <c r="E258" s="92" t="s">
        <v>5103</v>
      </c>
      <c r="F258" s="89">
        <v>283349</v>
      </c>
      <c r="G258" s="29">
        <v>30980200</v>
      </c>
    </row>
    <row r="259" spans="1:7">
      <c r="A259" s="33">
        <v>42174</v>
      </c>
      <c r="B259" s="34">
        <v>249043</v>
      </c>
      <c r="C259" s="34">
        <v>250977</v>
      </c>
      <c r="D259" s="34">
        <v>243787</v>
      </c>
      <c r="E259" s="92" t="s">
        <v>5104</v>
      </c>
      <c r="F259" s="89">
        <v>284894</v>
      </c>
      <c r="G259" s="29">
        <v>23965300</v>
      </c>
    </row>
    <row r="260" spans="1:7">
      <c r="A260" s="33">
        <v>42175</v>
      </c>
      <c r="B260" s="29" t="s">
        <v>5105</v>
      </c>
      <c r="C260" s="34">
        <v>245828</v>
      </c>
      <c r="D260" s="34">
        <v>240627</v>
      </c>
      <c r="E260" s="92" t="s">
        <v>5106</v>
      </c>
      <c r="F260" s="89">
        <v>285218</v>
      </c>
      <c r="G260" s="29">
        <v>20608100</v>
      </c>
    </row>
    <row r="261" spans="1:7">
      <c r="A261" s="33">
        <v>42176</v>
      </c>
      <c r="B261" s="29" t="s">
        <v>5107</v>
      </c>
      <c r="C261" s="34">
        <v>245224</v>
      </c>
      <c r="D261" s="34">
        <v>241882</v>
      </c>
      <c r="E261" s="92" t="s">
        <v>5108</v>
      </c>
      <c r="F261" s="89">
        <v>285337</v>
      </c>
      <c r="G261" s="29">
        <v>10600900</v>
      </c>
    </row>
    <row r="262" spans="1:7">
      <c r="A262" s="33">
        <v>42177</v>
      </c>
      <c r="B262" s="34">
        <v>243969</v>
      </c>
      <c r="C262" s="34">
        <v>247917</v>
      </c>
      <c r="D262" s="34">
        <v>243779</v>
      </c>
      <c r="E262" s="92" t="s">
        <v>5109</v>
      </c>
      <c r="F262" s="89">
        <v>285505</v>
      </c>
      <c r="G262" s="29">
        <v>17692500</v>
      </c>
    </row>
    <row r="263" spans="1:7">
      <c r="A263" s="33">
        <v>42178</v>
      </c>
      <c r="B263" s="34">
        <v>246927</v>
      </c>
      <c r="C263" s="34">
        <v>247304</v>
      </c>
      <c r="D263" s="34">
        <v>243133</v>
      </c>
      <c r="E263" s="92" t="s">
        <v>5110</v>
      </c>
      <c r="F263" s="89">
        <v>285829</v>
      </c>
      <c r="G263" s="29">
        <v>15108700</v>
      </c>
    </row>
    <row r="264" spans="1:7">
      <c r="A264" s="33">
        <v>42179</v>
      </c>
      <c r="B264" s="34">
        <v>244282</v>
      </c>
      <c r="C264" s="34">
        <v>244341</v>
      </c>
      <c r="D264" s="34">
        <v>240515</v>
      </c>
      <c r="E264" s="92" t="s">
        <v>5111</v>
      </c>
      <c r="F264" s="89">
        <v>286189</v>
      </c>
      <c r="G264" s="29">
        <v>17344900</v>
      </c>
    </row>
    <row r="265" spans="1:7">
      <c r="A265" s="33">
        <v>42180</v>
      </c>
      <c r="B265" s="34">
        <v>240365</v>
      </c>
      <c r="C265" s="34">
        <v>243332</v>
      </c>
      <c r="D265" s="34">
        <v>240365</v>
      </c>
      <c r="E265" s="92" t="s">
        <v>5112</v>
      </c>
      <c r="F265" s="89">
        <v>286393</v>
      </c>
      <c r="G265" s="29">
        <v>16133100</v>
      </c>
    </row>
    <row r="266" spans="1:7">
      <c r="A266" s="33">
        <v>42181</v>
      </c>
      <c r="B266" s="34">
        <v>242604</v>
      </c>
      <c r="C266" s="34">
        <v>243749</v>
      </c>
      <c r="D266" s="34">
        <v>241553</v>
      </c>
      <c r="E266" s="92" t="s">
        <v>5113</v>
      </c>
      <c r="F266" s="89">
        <v>287464</v>
      </c>
      <c r="G266" s="29" t="s">
        <v>4778</v>
      </c>
    </row>
    <row r="267" spans="1:7">
      <c r="A267" s="33">
        <v>42182</v>
      </c>
      <c r="B267" s="34">
        <v>243549</v>
      </c>
      <c r="C267" s="34">
        <v>251339</v>
      </c>
      <c r="D267" s="34">
        <v>243117</v>
      </c>
      <c r="E267" s="92" t="s">
        <v>5114</v>
      </c>
      <c r="F267" s="89">
        <v>287722</v>
      </c>
      <c r="G267" s="29">
        <v>20488600</v>
      </c>
    </row>
    <row r="268" spans="1:7">
      <c r="A268" s="33">
        <v>42183</v>
      </c>
      <c r="B268" s="34">
        <v>250955</v>
      </c>
      <c r="C268" s="34">
        <v>251172</v>
      </c>
      <c r="D268" s="34">
        <v>247434</v>
      </c>
      <c r="E268" s="92" t="s">
        <v>5115</v>
      </c>
      <c r="F268" s="89">
        <v>288278</v>
      </c>
      <c r="G268" s="29">
        <v>15137600</v>
      </c>
    </row>
    <row r="269" spans="1:7">
      <c r="A269" s="33">
        <v>42184</v>
      </c>
      <c r="B269" s="34">
        <v>248721</v>
      </c>
      <c r="C269" s="34">
        <v>257173</v>
      </c>
      <c r="D269" s="34">
        <v>248581</v>
      </c>
      <c r="E269" s="92" t="s">
        <v>5116</v>
      </c>
      <c r="F269" s="89">
        <v>288697</v>
      </c>
      <c r="G269" s="29">
        <v>34742900</v>
      </c>
    </row>
    <row r="270" spans="1:7">
      <c r="A270" s="33">
        <v>42185</v>
      </c>
      <c r="B270" s="34">
        <v>257036</v>
      </c>
      <c r="C270" s="34">
        <v>267867</v>
      </c>
      <c r="D270" s="34">
        <v>255946</v>
      </c>
      <c r="E270" s="92" t="s">
        <v>5117</v>
      </c>
      <c r="F270" s="89">
        <v>289607</v>
      </c>
      <c r="G270" s="29">
        <v>44533800</v>
      </c>
    </row>
    <row r="271" spans="1:7">
      <c r="A271" s="33">
        <v>42186</v>
      </c>
      <c r="B271" s="34">
        <v>263345</v>
      </c>
      <c r="C271" s="34">
        <v>265172</v>
      </c>
      <c r="D271" s="34">
        <v>255774</v>
      </c>
      <c r="E271" s="92" t="s">
        <v>5118</v>
      </c>
      <c r="F271" s="89">
        <v>290408</v>
      </c>
      <c r="G271" s="29">
        <v>27029800</v>
      </c>
    </row>
    <row r="272" spans="1:7">
      <c r="A272" s="33">
        <v>42187</v>
      </c>
      <c r="B272" s="34">
        <v>258552</v>
      </c>
      <c r="C272" s="34">
        <v>261631</v>
      </c>
      <c r="D272" s="34">
        <v>254116</v>
      </c>
      <c r="E272" s="92" t="s">
        <v>5119</v>
      </c>
      <c r="F272" s="89">
        <v>290593</v>
      </c>
      <c r="G272" s="29">
        <v>21551900</v>
      </c>
    </row>
    <row r="273" spans="1:7">
      <c r="A273" s="33">
        <v>42188</v>
      </c>
      <c r="B273" s="34">
        <v>255459</v>
      </c>
      <c r="C273" s="34">
        <v>257077</v>
      </c>
      <c r="D273" s="34">
        <v>253505</v>
      </c>
      <c r="E273" s="92" t="s">
        <v>5120</v>
      </c>
      <c r="F273" s="89">
        <v>292054</v>
      </c>
      <c r="G273" s="29">
        <v>19033800</v>
      </c>
    </row>
    <row r="274" spans="1:7">
      <c r="A274" s="33">
        <v>42189</v>
      </c>
      <c r="B274" s="34">
        <v>256491</v>
      </c>
      <c r="C274" s="34">
        <v>261457</v>
      </c>
      <c r="D274" s="29" t="s">
        <v>5121</v>
      </c>
      <c r="E274" s="92" t="s">
        <v>5122</v>
      </c>
      <c r="F274" s="89">
        <v>292686</v>
      </c>
      <c r="G274" s="29">
        <v>15620400</v>
      </c>
    </row>
    <row r="275" spans="1:7">
      <c r="A275" s="33">
        <v>42190</v>
      </c>
      <c r="B275" s="34">
        <v>260805</v>
      </c>
      <c r="C275" s="34">
        <v>274506</v>
      </c>
      <c r="D275" s="34">
        <v>258701</v>
      </c>
      <c r="E275" s="92" t="s">
        <v>5123</v>
      </c>
      <c r="F275" s="89">
        <v>293115</v>
      </c>
      <c r="G275" s="29">
        <v>44156100</v>
      </c>
    </row>
    <row r="276" spans="1:7">
      <c r="A276" s="33">
        <v>42191</v>
      </c>
      <c r="B276" s="34">
        <v>271108</v>
      </c>
      <c r="C276" s="34">
        <v>277422</v>
      </c>
      <c r="D276" s="29" t="s">
        <v>5124</v>
      </c>
      <c r="E276" s="92" t="s">
        <v>5125</v>
      </c>
      <c r="F276" s="89">
        <v>293624</v>
      </c>
      <c r="G276" s="29">
        <v>49154800</v>
      </c>
    </row>
    <row r="277" spans="1:7">
      <c r="A277" s="33">
        <v>42192</v>
      </c>
      <c r="B277" s="34">
        <v>269963</v>
      </c>
      <c r="C277" s="34">
        <v>271341</v>
      </c>
      <c r="D277" s="34">
        <v>264832</v>
      </c>
      <c r="E277" s="92" t="s">
        <v>5126</v>
      </c>
      <c r="F277" s="89">
        <v>293788</v>
      </c>
      <c r="G277" s="29">
        <v>28857600</v>
      </c>
    </row>
    <row r="278" spans="1:7">
      <c r="A278" s="33">
        <v>42193</v>
      </c>
      <c r="B278" s="34">
        <v>265982</v>
      </c>
      <c r="C278" s="34">
        <v>272971</v>
      </c>
      <c r="D278" s="34">
        <v>264386</v>
      </c>
      <c r="E278" s="92" t="s">
        <v>1490</v>
      </c>
      <c r="F278" s="89">
        <v>294337</v>
      </c>
      <c r="G278" s="29">
        <v>36980200</v>
      </c>
    </row>
    <row r="279" spans="1:7">
      <c r="A279" s="33">
        <v>42194</v>
      </c>
      <c r="B279" s="34">
        <v>270827</v>
      </c>
      <c r="C279" s="34">
        <v>272335</v>
      </c>
      <c r="D279" s="34">
        <v>267086</v>
      </c>
      <c r="E279" s="92" t="s">
        <v>5127</v>
      </c>
      <c r="F279" s="89">
        <v>294354</v>
      </c>
      <c r="G279" s="29">
        <v>40301200</v>
      </c>
    </row>
    <row r="280" spans="1:7">
      <c r="A280" s="33">
        <v>42195</v>
      </c>
      <c r="B280" s="34">
        <v>269156</v>
      </c>
      <c r="C280" s="34">
        <v>294591</v>
      </c>
      <c r="D280" s="34">
        <v>268802</v>
      </c>
      <c r="E280" s="92" t="s">
        <v>1412</v>
      </c>
      <c r="F280" s="89">
        <v>296379</v>
      </c>
      <c r="G280" s="35">
        <v>100000000</v>
      </c>
    </row>
    <row r="281" spans="1:7">
      <c r="A281" s="33">
        <v>42196</v>
      </c>
      <c r="B281" s="29" t="s">
        <v>5128</v>
      </c>
      <c r="C281" s="34">
        <v>298506</v>
      </c>
      <c r="D281" s="29" t="s">
        <v>5129</v>
      </c>
      <c r="E281" s="92" t="s">
        <v>5130</v>
      </c>
      <c r="F281" s="89">
        <v>304618</v>
      </c>
      <c r="G281" s="29">
        <v>41109900</v>
      </c>
    </row>
    <row r="282" spans="1:7">
      <c r="A282" s="33">
        <v>42197</v>
      </c>
      <c r="B282" s="29" t="s">
        <v>5131</v>
      </c>
      <c r="C282" s="34">
        <v>314394</v>
      </c>
      <c r="D282" s="34">
        <v>292505</v>
      </c>
      <c r="E282" s="92" t="s">
        <v>5132</v>
      </c>
      <c r="F282" s="89">
        <v>310737</v>
      </c>
      <c r="G282" s="29">
        <v>56405000</v>
      </c>
    </row>
    <row r="283" spans="1:7">
      <c r="A283" s="33">
        <v>42198</v>
      </c>
      <c r="B283" s="34">
        <v>310827</v>
      </c>
      <c r="C283" s="34">
        <v>310948</v>
      </c>
      <c r="D283" s="34">
        <v>281011</v>
      </c>
      <c r="E283" s="92" t="s">
        <v>1486</v>
      </c>
      <c r="F283" s="89">
        <v>310867</v>
      </c>
      <c r="G283" s="29">
        <v>62053900</v>
      </c>
    </row>
    <row r="284" spans="1:7">
      <c r="A284" s="33">
        <v>42199</v>
      </c>
      <c r="B284" s="34">
        <v>292034</v>
      </c>
      <c r="C284" s="34">
        <v>296147</v>
      </c>
      <c r="D284" s="34">
        <v>286638</v>
      </c>
      <c r="E284" s="92" t="s">
        <v>5133</v>
      </c>
      <c r="F284" s="89">
        <v>311084</v>
      </c>
      <c r="G284" s="29">
        <v>28727200</v>
      </c>
    </row>
    <row r="285" spans="1:7">
      <c r="A285" s="33">
        <v>42200</v>
      </c>
      <c r="B285" s="34">
        <v>288045</v>
      </c>
      <c r="C285" s="34">
        <v>293248</v>
      </c>
      <c r="D285" s="34">
        <v>285367</v>
      </c>
      <c r="E285" s="92" t="s">
        <v>5134</v>
      </c>
      <c r="F285" s="89">
        <v>311396</v>
      </c>
      <c r="G285" s="29">
        <v>27486600</v>
      </c>
    </row>
    <row r="286" spans="1:7">
      <c r="A286" s="33">
        <v>42201</v>
      </c>
      <c r="B286" s="34">
        <v>286042</v>
      </c>
      <c r="C286" s="34">
        <v>291183</v>
      </c>
      <c r="D286" s="29" t="s">
        <v>5135</v>
      </c>
      <c r="E286" s="92" t="s">
        <v>5136</v>
      </c>
      <c r="F286" s="89">
        <v>313855</v>
      </c>
      <c r="G286" s="29">
        <v>49482600</v>
      </c>
    </row>
    <row r="287" spans="1:7">
      <c r="A287" s="33">
        <v>42202</v>
      </c>
      <c r="B287" s="34">
        <v>278091</v>
      </c>
      <c r="C287" s="29" t="s">
        <v>5137</v>
      </c>
      <c r="D287" s="34">
        <v>272043</v>
      </c>
      <c r="E287" s="92" t="s">
        <v>5138</v>
      </c>
      <c r="F287" s="89">
        <v>314166</v>
      </c>
      <c r="G287" s="29">
        <v>27591400</v>
      </c>
    </row>
    <row r="288" spans="1:7">
      <c r="A288" s="33">
        <v>42203</v>
      </c>
      <c r="B288" s="34">
        <v>279331</v>
      </c>
      <c r="C288" s="34">
        <v>282527</v>
      </c>
      <c r="D288" s="34">
        <v>274075</v>
      </c>
      <c r="E288" s="92" t="s">
        <v>5139</v>
      </c>
      <c r="F288" s="89">
        <v>314249</v>
      </c>
      <c r="G288" s="29">
        <v>25187100</v>
      </c>
    </row>
    <row r="289" spans="1:7">
      <c r="A289" s="33">
        <v>42204</v>
      </c>
      <c r="B289" s="34">
        <v>274767</v>
      </c>
      <c r="C289" s="29" t="s">
        <v>5140</v>
      </c>
      <c r="D289" s="34">
        <v>272513</v>
      </c>
      <c r="E289" s="92" t="s">
        <v>5141</v>
      </c>
      <c r="F289" s="89">
        <v>315032</v>
      </c>
      <c r="G289" s="29">
        <v>15332500</v>
      </c>
    </row>
    <row r="290" spans="1:7">
      <c r="A290" s="33">
        <v>42205</v>
      </c>
      <c r="B290" s="34">
        <v>273499</v>
      </c>
      <c r="C290" s="34">
        <v>278981</v>
      </c>
      <c r="D290" s="29" t="s">
        <v>5142</v>
      </c>
      <c r="E290" s="92" t="s">
        <v>5143</v>
      </c>
      <c r="F290" s="89">
        <v>315863</v>
      </c>
      <c r="G290" s="29">
        <v>22711400</v>
      </c>
    </row>
    <row r="291" spans="1:7">
      <c r="A291" s="33">
        <v>42206</v>
      </c>
      <c r="B291" s="34">
        <v>278882</v>
      </c>
      <c r="C291" s="34">
        <v>280547</v>
      </c>
      <c r="D291" s="34">
        <v>275419</v>
      </c>
      <c r="E291" s="92" t="s">
        <v>5144</v>
      </c>
      <c r="F291" s="89">
        <v>317239</v>
      </c>
      <c r="G291" s="29">
        <v>22930700</v>
      </c>
    </row>
    <row r="292" spans="1:7">
      <c r="A292" s="33">
        <v>42207</v>
      </c>
      <c r="B292" s="34">
        <v>275657</v>
      </c>
      <c r="C292" s="34">
        <v>277666</v>
      </c>
      <c r="D292" s="34">
        <v>274381</v>
      </c>
      <c r="E292" s="92" t="s">
        <v>5145</v>
      </c>
      <c r="F292" s="89">
        <v>317843</v>
      </c>
      <c r="G292" s="29">
        <v>19389800</v>
      </c>
    </row>
    <row r="293" spans="1:7">
      <c r="A293" s="33">
        <v>42208</v>
      </c>
      <c r="B293" s="34">
        <v>277341</v>
      </c>
      <c r="C293" s="34">
        <v>278111</v>
      </c>
      <c r="D293" s="34">
        <v>275716</v>
      </c>
      <c r="E293" s="92" t="s">
        <v>5146</v>
      </c>
      <c r="F293" s="89">
        <v>319008</v>
      </c>
      <c r="G293" s="29">
        <v>18531300</v>
      </c>
    </row>
    <row r="294" spans="1:7">
      <c r="A294" s="33">
        <v>42209</v>
      </c>
      <c r="B294" s="34">
        <v>276005</v>
      </c>
      <c r="C294" s="34">
        <v>289253</v>
      </c>
      <c r="D294" s="34">
        <v>275254</v>
      </c>
      <c r="E294" s="92" t="s">
        <v>5147</v>
      </c>
      <c r="F294" s="89">
        <v>319776</v>
      </c>
      <c r="G294" s="29">
        <v>37199400</v>
      </c>
    </row>
    <row r="295" spans="1:7">
      <c r="A295" s="33">
        <v>42210</v>
      </c>
      <c r="B295" s="34">
        <v>288164</v>
      </c>
      <c r="C295" s="34">
        <v>290733</v>
      </c>
      <c r="D295" s="34">
        <v>286002</v>
      </c>
      <c r="E295" s="92" t="s">
        <v>5148</v>
      </c>
      <c r="F295" s="89">
        <v>320046</v>
      </c>
      <c r="G295" s="29">
        <v>20662200</v>
      </c>
    </row>
    <row r="296" spans="1:7">
      <c r="A296" s="33">
        <v>42211</v>
      </c>
      <c r="B296" s="29" t="s">
        <v>5149</v>
      </c>
      <c r="C296" s="34">
        <v>293052</v>
      </c>
      <c r="D296" s="34">
        <v>287706</v>
      </c>
      <c r="E296" s="92" t="s">
        <v>5150</v>
      </c>
      <c r="F296" s="89">
        <v>320166</v>
      </c>
      <c r="G296" s="29">
        <v>16032300</v>
      </c>
    </row>
    <row r="297" spans="1:7">
      <c r="A297" s="33">
        <v>42212</v>
      </c>
      <c r="B297" s="34">
        <v>292639</v>
      </c>
      <c r="C297" s="34">
        <v>297774</v>
      </c>
      <c r="D297" s="29" t="s">
        <v>5151</v>
      </c>
      <c r="E297" s="92" t="s">
        <v>5152</v>
      </c>
      <c r="F297" s="89">
        <v>320193</v>
      </c>
      <c r="G297" s="29">
        <v>30592000</v>
      </c>
    </row>
    <row r="298" spans="1:7">
      <c r="A298" s="33">
        <v>42213</v>
      </c>
      <c r="B298" s="34">
        <v>293633</v>
      </c>
      <c r="C298" s="34">
        <v>296649</v>
      </c>
      <c r="D298" s="34">
        <v>293423</v>
      </c>
      <c r="E298" s="92" t="s">
        <v>5153</v>
      </c>
      <c r="F298" s="89">
        <v>320843</v>
      </c>
      <c r="G298" s="29">
        <v>25453600</v>
      </c>
    </row>
    <row r="299" spans="1:7">
      <c r="A299" s="33">
        <v>42214</v>
      </c>
      <c r="B299" s="34">
        <v>294484</v>
      </c>
      <c r="C299" s="34">
        <v>294536</v>
      </c>
      <c r="D299" s="34">
        <v>288777</v>
      </c>
      <c r="E299" s="92" t="s">
        <v>5154</v>
      </c>
      <c r="F299" s="89">
        <v>322534</v>
      </c>
      <c r="G299" s="29">
        <v>24672600</v>
      </c>
    </row>
    <row r="300" spans="1:7">
      <c r="A300" s="33">
        <v>42215</v>
      </c>
      <c r="B300" s="34">
        <v>289103</v>
      </c>
      <c r="C300" s="34">
        <v>290126</v>
      </c>
      <c r="D300" s="34">
        <v>286568</v>
      </c>
      <c r="E300" s="92" t="s">
        <v>5155</v>
      </c>
      <c r="F300" s="89">
        <v>323046</v>
      </c>
      <c r="G300" s="29">
        <v>21635800</v>
      </c>
    </row>
    <row r="301" spans="1:7">
      <c r="A301" s="33">
        <v>42216</v>
      </c>
      <c r="B301" s="34">
        <v>287696</v>
      </c>
      <c r="C301" s="34">
        <v>288959</v>
      </c>
      <c r="D301" s="34">
        <v>282344</v>
      </c>
      <c r="E301" s="92" t="s">
        <v>5156</v>
      </c>
      <c r="F301" s="89">
        <v>324536</v>
      </c>
      <c r="G301" s="29">
        <v>23629100</v>
      </c>
    </row>
    <row r="302" spans="1:7">
      <c r="A302" s="33">
        <v>42217</v>
      </c>
      <c r="B302" s="34">
        <v>284686</v>
      </c>
      <c r="C302" s="34">
        <v>284932</v>
      </c>
      <c r="D302" s="34">
        <v>278112</v>
      </c>
      <c r="E302" s="92" t="s">
        <v>1498</v>
      </c>
      <c r="F302" s="89">
        <v>325431</v>
      </c>
      <c r="G302" s="29" t="s">
        <v>4778</v>
      </c>
    </row>
    <row r="303" spans="1:7">
      <c r="A303" s="33">
        <v>42218</v>
      </c>
      <c r="B303" s="34">
        <v>280449</v>
      </c>
      <c r="C303" s="34">
        <v>283032</v>
      </c>
      <c r="D303" s="34">
        <v>277529</v>
      </c>
      <c r="E303" s="92" t="s">
        <v>5157</v>
      </c>
      <c r="F303" s="89">
        <v>325749</v>
      </c>
      <c r="G303" s="29">
        <v>17722200</v>
      </c>
    </row>
    <row r="304" spans="1:7">
      <c r="A304" s="33">
        <v>42219</v>
      </c>
      <c r="B304" s="34">
        <v>282806</v>
      </c>
      <c r="C304" s="34">
        <v>285471</v>
      </c>
      <c r="D304" s="34">
        <v>280233</v>
      </c>
      <c r="E304" s="92" t="s">
        <v>727</v>
      </c>
      <c r="F304" s="89">
        <v>325892</v>
      </c>
      <c r="G304" s="29">
        <v>21474100</v>
      </c>
    </row>
    <row r="305" spans="1:7">
      <c r="A305" s="33">
        <v>42220</v>
      </c>
      <c r="B305" s="34">
        <v>281225</v>
      </c>
      <c r="C305" s="34">
        <v>285715</v>
      </c>
      <c r="D305" s="34">
        <v>281225</v>
      </c>
      <c r="E305" s="92" t="s">
        <v>5158</v>
      </c>
      <c r="F305" s="89">
        <v>326149</v>
      </c>
      <c r="G305" s="29">
        <v>21908700</v>
      </c>
    </row>
    <row r="306" spans="1:7">
      <c r="A306" s="33">
        <v>42221</v>
      </c>
      <c r="B306" s="34">
        <v>284847</v>
      </c>
      <c r="C306" s="34">
        <v>285501</v>
      </c>
      <c r="D306" s="34">
        <v>281488</v>
      </c>
      <c r="E306" s="92" t="s">
        <v>5159</v>
      </c>
      <c r="F306" s="89">
        <v>326927</v>
      </c>
      <c r="G306" s="29">
        <v>20128000</v>
      </c>
    </row>
    <row r="307" spans="1:7">
      <c r="A307" s="33">
        <v>42222</v>
      </c>
      <c r="B307" s="34">
        <v>281906</v>
      </c>
      <c r="C307" s="34">
        <v>281906</v>
      </c>
      <c r="D307" s="34">
        <v>278403</v>
      </c>
      <c r="E307" s="92" t="s">
        <v>5160</v>
      </c>
      <c r="F307" s="89">
        <v>327062</v>
      </c>
      <c r="G307" s="29" t="s">
        <v>4778</v>
      </c>
    </row>
    <row r="308" spans="1:7">
      <c r="A308" s="33">
        <v>42223</v>
      </c>
      <c r="B308" s="34">
        <v>278741</v>
      </c>
      <c r="C308" s="34">
        <v>280392</v>
      </c>
      <c r="D308" s="34">
        <v>276366</v>
      </c>
      <c r="E308" s="92" t="s">
        <v>1470</v>
      </c>
      <c r="F308" s="89">
        <v>327554</v>
      </c>
      <c r="G308" s="29">
        <v>42484800</v>
      </c>
    </row>
    <row r="309" spans="1:7">
      <c r="A309" s="33">
        <v>42224</v>
      </c>
      <c r="B309" s="34">
        <v>279742</v>
      </c>
      <c r="C309" s="34">
        <v>279928</v>
      </c>
      <c r="D309" s="29" t="s">
        <v>5161</v>
      </c>
      <c r="E309" s="92" t="s">
        <v>5162</v>
      </c>
      <c r="F309" s="89">
        <v>327924</v>
      </c>
      <c r="G309" s="29">
        <v>58533000</v>
      </c>
    </row>
    <row r="310" spans="1:7">
      <c r="A310" s="33">
        <v>42225</v>
      </c>
      <c r="B310" s="34">
        <v>261116</v>
      </c>
      <c r="C310" s="34">
        <v>267003</v>
      </c>
      <c r="D310" s="34">
        <v>260468</v>
      </c>
      <c r="E310" s="92" t="s">
        <v>731</v>
      </c>
      <c r="F310" s="89">
        <v>328015</v>
      </c>
      <c r="G310" s="29">
        <v>23789600</v>
      </c>
    </row>
    <row r="311" spans="1:7">
      <c r="A311" s="33">
        <v>42226</v>
      </c>
      <c r="B311" s="34">
        <v>265478</v>
      </c>
      <c r="C311" s="34">
        <v>267032</v>
      </c>
      <c r="D311" s="34">
        <v>262596</v>
      </c>
      <c r="E311" s="92" t="s">
        <v>5163</v>
      </c>
      <c r="F311" s="89">
        <v>328206</v>
      </c>
      <c r="G311" s="29">
        <v>20979400</v>
      </c>
    </row>
    <row r="312" spans="1:7">
      <c r="A312" s="33">
        <v>42227</v>
      </c>
      <c r="B312" s="34">
        <v>264342</v>
      </c>
      <c r="C312" s="34">
        <v>270386</v>
      </c>
      <c r="D312" s="34">
        <v>264094</v>
      </c>
      <c r="E312" s="92" t="s">
        <v>5164</v>
      </c>
      <c r="F312" s="89">
        <v>329956</v>
      </c>
      <c r="G312" s="29">
        <v>25433900</v>
      </c>
    </row>
    <row r="313" spans="1:7">
      <c r="A313" s="33">
        <v>42228</v>
      </c>
      <c r="B313" s="34">
        <v>270598</v>
      </c>
      <c r="C313" s="34">
        <v>270673</v>
      </c>
      <c r="D313" s="34">
        <v>265469</v>
      </c>
      <c r="E313" s="92" t="s">
        <v>1460</v>
      </c>
      <c r="F313" s="89">
        <v>330079</v>
      </c>
      <c r="G313" s="29">
        <v>26815400</v>
      </c>
    </row>
    <row r="314" spans="1:7">
      <c r="A314" s="33">
        <v>42229</v>
      </c>
      <c r="B314" s="34">
        <v>266183</v>
      </c>
      <c r="C314" s="34">
        <v>266232</v>
      </c>
      <c r="D314" s="34">
        <v>262841</v>
      </c>
      <c r="E314" s="92" t="s">
        <v>5165</v>
      </c>
      <c r="F314" s="89">
        <v>330492</v>
      </c>
      <c r="G314" s="29">
        <v>27685500</v>
      </c>
    </row>
    <row r="315" spans="1:7">
      <c r="A315" s="33">
        <v>42230</v>
      </c>
      <c r="B315" s="34">
        <v>264132</v>
      </c>
      <c r="C315" s="34">
        <v>267466</v>
      </c>
      <c r="D315" s="34">
        <v>261478</v>
      </c>
      <c r="E315" s="92" t="s">
        <v>5166</v>
      </c>
      <c r="F315" s="89">
        <v>330751</v>
      </c>
      <c r="G315" s="29" t="s">
        <v>4778</v>
      </c>
    </row>
    <row r="316" spans="1:7">
      <c r="A316" s="33">
        <v>42231</v>
      </c>
      <c r="B316" s="34">
        <v>265529</v>
      </c>
      <c r="C316" s="34">
        <v>266667</v>
      </c>
      <c r="D316" s="34">
        <v>261296</v>
      </c>
      <c r="E316" s="92" t="s">
        <v>5167</v>
      </c>
      <c r="F316" s="89">
        <v>331886</v>
      </c>
      <c r="G316" s="29">
        <v>19321100</v>
      </c>
    </row>
    <row r="317" spans="1:7">
      <c r="A317" s="33">
        <v>42232</v>
      </c>
      <c r="B317" s="34">
        <v>261866</v>
      </c>
      <c r="C317" s="29" t="s">
        <v>5168</v>
      </c>
      <c r="D317" s="34">
        <v>257041</v>
      </c>
      <c r="E317" s="92" t="s">
        <v>5169</v>
      </c>
      <c r="F317" s="89">
        <v>332906</v>
      </c>
      <c r="G317" s="29">
        <v>29717000</v>
      </c>
    </row>
    <row r="318" spans="1:7">
      <c r="A318" s="33">
        <v>42233</v>
      </c>
      <c r="B318" s="29" t="s">
        <v>5170</v>
      </c>
      <c r="C318" s="34">
        <v>260505</v>
      </c>
      <c r="D318" s="34">
        <v>257117</v>
      </c>
      <c r="E318" s="92" t="s">
        <v>5171</v>
      </c>
      <c r="F318" s="89">
        <v>334572</v>
      </c>
      <c r="G318" s="29">
        <v>21617900</v>
      </c>
    </row>
    <row r="319" spans="1:7">
      <c r="A319" s="33">
        <v>42234</v>
      </c>
      <c r="B319" s="34">
        <v>257926</v>
      </c>
      <c r="C319" s="34">
        <v>257993</v>
      </c>
      <c r="D319" s="34">
        <v>211079</v>
      </c>
      <c r="E319" s="92" t="s">
        <v>5172</v>
      </c>
      <c r="F319" s="89">
        <v>335094</v>
      </c>
      <c r="G319" s="29">
        <v>42147200</v>
      </c>
    </row>
    <row r="320" spans="1:7">
      <c r="A320" s="33">
        <v>42235</v>
      </c>
      <c r="B320" s="34">
        <v>225671</v>
      </c>
      <c r="C320" s="34">
        <v>237409</v>
      </c>
      <c r="D320" s="34">
        <v>222766</v>
      </c>
      <c r="E320" s="92" t="s">
        <v>5173</v>
      </c>
      <c r="F320" s="89">
        <v>335591</v>
      </c>
      <c r="G320" s="29">
        <v>60869200</v>
      </c>
    </row>
    <row r="321" spans="1:7">
      <c r="A321" s="33">
        <v>42236</v>
      </c>
      <c r="B321" s="34">
        <v>226899</v>
      </c>
      <c r="C321" s="34">
        <v>237365</v>
      </c>
      <c r="D321" s="34">
        <v>226899</v>
      </c>
      <c r="E321" s="92" t="s">
        <v>1432</v>
      </c>
      <c r="F321" s="89">
        <v>336187</v>
      </c>
      <c r="G321" s="29">
        <v>32275000</v>
      </c>
    </row>
    <row r="322" spans="1:7">
      <c r="A322" s="33">
        <v>42237</v>
      </c>
      <c r="B322" s="34">
        <v>235355</v>
      </c>
      <c r="C322" s="34">
        <v>236432</v>
      </c>
      <c r="D322" s="34">
        <v>231724</v>
      </c>
      <c r="E322" s="92" t="s">
        <v>5174</v>
      </c>
      <c r="F322" s="89">
        <v>336753</v>
      </c>
      <c r="G322" s="29">
        <v>23173800</v>
      </c>
    </row>
    <row r="323" spans="1:7">
      <c r="A323" s="33">
        <v>42238</v>
      </c>
      <c r="B323" s="34">
        <v>232662</v>
      </c>
      <c r="C323" s="34">
        <v>234957</v>
      </c>
      <c r="D323" s="34">
        <v>222704</v>
      </c>
      <c r="E323" s="92" t="s">
        <v>5175</v>
      </c>
      <c r="F323" s="89">
        <v>336819</v>
      </c>
      <c r="G323" s="29">
        <v>23205900</v>
      </c>
    </row>
    <row r="324" spans="1:7">
      <c r="A324" s="33">
        <v>42239</v>
      </c>
      <c r="B324" s="34">
        <v>230376</v>
      </c>
      <c r="C324" s="34">
        <v>232705</v>
      </c>
      <c r="D324" s="29" t="s">
        <v>5176</v>
      </c>
      <c r="E324" s="92" t="s">
        <v>1464</v>
      </c>
      <c r="F324" s="89">
        <v>338152</v>
      </c>
      <c r="G324" s="29">
        <v>18406600</v>
      </c>
    </row>
    <row r="325" spans="1:7">
      <c r="A325" s="33">
        <v>42240</v>
      </c>
      <c r="B325" s="34">
        <v>228112</v>
      </c>
      <c r="C325" s="34">
        <v>228139</v>
      </c>
      <c r="D325" s="34">
        <v>210443</v>
      </c>
      <c r="E325" s="92" t="s">
        <v>5177</v>
      </c>
      <c r="F325" s="89">
        <v>338321</v>
      </c>
      <c r="G325" s="29">
        <v>59220700</v>
      </c>
    </row>
    <row r="326" spans="1:7">
      <c r="A326" s="33">
        <v>42241</v>
      </c>
      <c r="B326" s="34">
        <v>210068</v>
      </c>
      <c r="C326" s="34">
        <v>226321</v>
      </c>
      <c r="D326" s="34">
        <v>199567</v>
      </c>
      <c r="E326" s="92" t="s">
        <v>5178</v>
      </c>
      <c r="F326" s="89">
        <v>339486</v>
      </c>
      <c r="G326" s="29">
        <v>61089200</v>
      </c>
    </row>
    <row r="327" spans="1:7">
      <c r="A327" s="33">
        <v>42242</v>
      </c>
      <c r="B327" s="34">
        <v>222076</v>
      </c>
      <c r="C327" s="34">
        <v>231183</v>
      </c>
      <c r="D327" s="34">
        <v>220204</v>
      </c>
      <c r="E327" s="92" t="s">
        <v>5179</v>
      </c>
      <c r="F327" s="89">
        <v>342415</v>
      </c>
      <c r="G327" s="29">
        <v>31808000</v>
      </c>
    </row>
    <row r="328" spans="1:7">
      <c r="A328" s="33">
        <v>42243</v>
      </c>
      <c r="B328" s="29" t="s">
        <v>5180</v>
      </c>
      <c r="C328" s="29" t="s">
        <v>4778</v>
      </c>
      <c r="D328" s="34">
        <v>223684</v>
      </c>
      <c r="E328" s="92" t="s">
        <v>5181</v>
      </c>
      <c r="F328" s="89">
        <v>345305</v>
      </c>
      <c r="G328" s="29">
        <v>21905400</v>
      </c>
    </row>
    <row r="329" spans="1:7">
      <c r="A329" s="33">
        <v>42244</v>
      </c>
      <c r="B329" s="34">
        <v>224701</v>
      </c>
      <c r="C329" s="34">
        <v>235219</v>
      </c>
      <c r="D329" s="34">
        <v>220926</v>
      </c>
      <c r="E329" s="92" t="s">
        <v>5182</v>
      </c>
      <c r="F329" s="89">
        <v>345345</v>
      </c>
      <c r="G329" s="29">
        <v>31336600</v>
      </c>
    </row>
    <row r="330" spans="1:7">
      <c r="A330" s="33">
        <v>42245</v>
      </c>
      <c r="B330" s="34">
        <v>231549</v>
      </c>
      <c r="C330" s="34">
        <v>233222</v>
      </c>
      <c r="D330" s="29" t="s">
        <v>5183</v>
      </c>
      <c r="E330" s="92" t="s">
        <v>5184</v>
      </c>
      <c r="F330" s="89">
        <v>345488</v>
      </c>
      <c r="G330" s="29">
        <v>17142500</v>
      </c>
    </row>
    <row r="331" spans="1:7">
      <c r="A331" s="33">
        <v>42246</v>
      </c>
      <c r="B331" s="34">
        <v>229895</v>
      </c>
      <c r="C331" s="34">
        <v>232068</v>
      </c>
      <c r="D331" s="34">
        <v>226247</v>
      </c>
      <c r="E331" s="92" t="s">
        <v>5185</v>
      </c>
      <c r="F331" s="89">
        <v>346365</v>
      </c>
      <c r="G331" s="29">
        <v>19412600</v>
      </c>
    </row>
    <row r="332" spans="1:7">
      <c r="A332" s="33">
        <v>42247</v>
      </c>
      <c r="B332" s="34">
        <v>229114</v>
      </c>
      <c r="C332" s="34">
        <v>231956</v>
      </c>
      <c r="D332" s="34">
        <v>225915</v>
      </c>
      <c r="E332" s="92" t="s">
        <v>5186</v>
      </c>
      <c r="F332" s="89">
        <v>347271</v>
      </c>
      <c r="G332" s="29">
        <v>20710700</v>
      </c>
    </row>
    <row r="333" spans="1:7">
      <c r="A333" s="33">
        <v>42248</v>
      </c>
      <c r="B333" s="34">
        <v>230256</v>
      </c>
      <c r="C333" s="34">
        <v>231216</v>
      </c>
      <c r="D333" s="29" t="s">
        <v>5187</v>
      </c>
      <c r="E333" s="92" t="s">
        <v>5188</v>
      </c>
      <c r="F333" s="89">
        <v>347376</v>
      </c>
      <c r="G333" s="29">
        <v>20575200</v>
      </c>
    </row>
    <row r="334" spans="1:7">
      <c r="A334" s="33">
        <v>42249</v>
      </c>
      <c r="B334" s="34">
        <v>228027</v>
      </c>
      <c r="C334" s="34">
        <v>230577</v>
      </c>
      <c r="D334" s="34">
        <v>226475</v>
      </c>
      <c r="E334" s="92" t="s">
        <v>5189</v>
      </c>
      <c r="F334" s="89">
        <v>350506</v>
      </c>
      <c r="G334" s="29">
        <v>18760400</v>
      </c>
    </row>
    <row r="335" spans="1:7">
      <c r="A335" s="33">
        <v>42250</v>
      </c>
      <c r="B335" s="34">
        <v>229324</v>
      </c>
      <c r="C335" s="29" t="s">
        <v>4778</v>
      </c>
      <c r="D335" s="34">
        <v>226667</v>
      </c>
      <c r="E335" s="92" t="s">
        <v>5190</v>
      </c>
      <c r="F335" s="89">
        <v>350848</v>
      </c>
      <c r="G335" s="29">
        <v>17482000</v>
      </c>
    </row>
    <row r="336" spans="1:7">
      <c r="A336" s="33">
        <v>42251</v>
      </c>
      <c r="B336" s="34">
        <v>227215</v>
      </c>
      <c r="C336" s="29" t="s">
        <v>5191</v>
      </c>
      <c r="D336" s="34">
        <v>227051</v>
      </c>
      <c r="E336" s="92" t="s">
        <v>1448</v>
      </c>
      <c r="F336" s="89">
        <v>351632</v>
      </c>
      <c r="G336" s="29">
        <v>20962400</v>
      </c>
    </row>
    <row r="337" spans="1:7">
      <c r="A337" s="33">
        <v>42252</v>
      </c>
      <c r="B337" s="34">
        <v>230199</v>
      </c>
      <c r="C337" s="34">
        <v>236143</v>
      </c>
      <c r="D337" s="34">
        <v>229443</v>
      </c>
      <c r="E337" s="92" t="s">
        <v>1420</v>
      </c>
      <c r="F337" s="89">
        <v>352219</v>
      </c>
      <c r="G337" s="29">
        <v>20671400</v>
      </c>
    </row>
    <row r="338" spans="1:7">
      <c r="A338" s="33">
        <v>42253</v>
      </c>
      <c r="B338" s="29" t="s">
        <v>5192</v>
      </c>
      <c r="C338" s="34">
        <v>242912</v>
      </c>
      <c r="D338" s="34">
        <v>234681</v>
      </c>
      <c r="E338" s="92" t="s">
        <v>5193</v>
      </c>
      <c r="F338" s="89">
        <v>352542</v>
      </c>
      <c r="G338" s="29">
        <v>25473700</v>
      </c>
    </row>
    <row r="339" spans="1:7">
      <c r="A339" s="33">
        <v>42254</v>
      </c>
      <c r="B339" s="34">
        <v>239934</v>
      </c>
      <c r="C339" s="34">
        <v>242106</v>
      </c>
      <c r="D339" s="34">
        <v>238722</v>
      </c>
      <c r="E339" s="92" t="s">
        <v>1408</v>
      </c>
      <c r="F339" s="89">
        <v>352684</v>
      </c>
      <c r="G339" s="29">
        <v>21192200</v>
      </c>
    </row>
    <row r="340" spans="1:7">
      <c r="A340" s="33">
        <v>42255</v>
      </c>
      <c r="B340" s="34">
        <v>239846</v>
      </c>
      <c r="C340" s="34">
        <v>245781</v>
      </c>
      <c r="D340" s="34">
        <v>239678</v>
      </c>
      <c r="E340" s="92" t="s">
        <v>5194</v>
      </c>
      <c r="F340" s="89">
        <v>352989</v>
      </c>
      <c r="G340" s="29">
        <v>26879200</v>
      </c>
    </row>
    <row r="341" spans="1:7">
      <c r="A341" s="33">
        <v>42256</v>
      </c>
      <c r="B341" s="34">
        <v>243415</v>
      </c>
      <c r="C341" s="34">
        <v>244416</v>
      </c>
      <c r="D341" s="34">
        <v>237821</v>
      </c>
      <c r="E341" s="92" t="s">
        <v>5195</v>
      </c>
      <c r="F341" s="89">
        <v>354704</v>
      </c>
      <c r="G341" s="29">
        <v>23635700</v>
      </c>
    </row>
    <row r="342" spans="1:7">
      <c r="A342" s="33">
        <v>42257</v>
      </c>
      <c r="B342" s="34">
        <v>238336</v>
      </c>
      <c r="C342" s="34">
        <v>241293</v>
      </c>
      <c r="D342" s="34">
        <v>235791</v>
      </c>
      <c r="E342" s="92" t="s">
        <v>5196</v>
      </c>
      <c r="F342" s="89">
        <v>357381</v>
      </c>
      <c r="G342" s="29">
        <v>21215500</v>
      </c>
    </row>
    <row r="343" spans="1:7">
      <c r="A343" s="33">
        <v>42258</v>
      </c>
      <c r="B343" s="34">
        <v>238329</v>
      </c>
      <c r="C343" s="34">
        <v>241169</v>
      </c>
      <c r="D343" s="34">
        <v>238329</v>
      </c>
      <c r="E343" s="92" t="s">
        <v>5197</v>
      </c>
      <c r="F343" s="89">
        <v>357618</v>
      </c>
      <c r="G343" s="29">
        <v>19224700</v>
      </c>
    </row>
    <row r="344" spans="1:7">
      <c r="A344" s="33">
        <v>42259</v>
      </c>
      <c r="B344" s="34">
        <v>239855</v>
      </c>
      <c r="C344" s="34">
        <v>240124</v>
      </c>
      <c r="D344" s="34">
        <v>234754</v>
      </c>
      <c r="E344" s="92" t="s">
        <v>1396</v>
      </c>
      <c r="F344" s="89">
        <v>358042</v>
      </c>
      <c r="G344" s="29">
        <v>17962600</v>
      </c>
    </row>
    <row r="345" spans="1:7">
      <c r="A345" s="33">
        <v>42260</v>
      </c>
      <c r="B345" s="34">
        <v>235242</v>
      </c>
      <c r="C345" s="34">
        <v>235935</v>
      </c>
      <c r="D345" s="34">
        <v>229332</v>
      </c>
      <c r="E345" s="92" t="s">
        <v>735</v>
      </c>
      <c r="F345" s="89">
        <v>358345</v>
      </c>
      <c r="G345" s="29">
        <v>18478800</v>
      </c>
    </row>
    <row r="346" spans="1:7">
      <c r="A346" s="33">
        <v>42261</v>
      </c>
      <c r="B346" s="34">
        <v>230609</v>
      </c>
      <c r="C346" s="29" t="s">
        <v>5198</v>
      </c>
      <c r="D346" s="34">
        <v>227961</v>
      </c>
      <c r="E346" s="92" t="s">
        <v>5199</v>
      </c>
      <c r="F346" s="89">
        <v>358417</v>
      </c>
      <c r="G346" s="29">
        <v>20997800</v>
      </c>
    </row>
    <row r="347" spans="1:7">
      <c r="A347" s="33">
        <v>42262</v>
      </c>
      <c r="B347" s="34">
        <v>230492</v>
      </c>
      <c r="C347" s="34">
        <v>259182</v>
      </c>
      <c r="D347" s="34">
        <v>229822</v>
      </c>
      <c r="E347" s="92" t="s">
        <v>1404</v>
      </c>
      <c r="F347" s="89">
        <v>359187</v>
      </c>
      <c r="G347" s="29">
        <v>19177800</v>
      </c>
    </row>
    <row r="348" spans="1:7">
      <c r="A348" s="33">
        <v>42263</v>
      </c>
      <c r="B348" s="29" t="s">
        <v>5200</v>
      </c>
      <c r="C348" s="34">
        <v>231215</v>
      </c>
      <c r="D348" s="34">
        <v>227402</v>
      </c>
      <c r="E348" s="92" t="s">
        <v>5201</v>
      </c>
      <c r="F348" s="89">
        <v>359512</v>
      </c>
      <c r="G348" s="29">
        <v>20144200</v>
      </c>
    </row>
    <row r="349" spans="1:7">
      <c r="A349" s="33">
        <v>42264</v>
      </c>
      <c r="B349" s="34">
        <v>229076</v>
      </c>
      <c r="C349" s="34">
        <v>230285</v>
      </c>
      <c r="D349" s="34">
        <v>228926</v>
      </c>
      <c r="E349" s="92" t="s">
        <v>1468</v>
      </c>
      <c r="F349" s="89">
        <v>361046</v>
      </c>
      <c r="G349" s="29">
        <v>18935400</v>
      </c>
    </row>
    <row r="350" spans="1:7">
      <c r="A350" s="33">
        <v>42265</v>
      </c>
      <c r="B350" s="34">
        <v>233521</v>
      </c>
      <c r="C350" s="34">
        <v>234353</v>
      </c>
      <c r="D350" s="34">
        <v>232185</v>
      </c>
      <c r="E350" s="92" t="s">
        <v>5202</v>
      </c>
      <c r="F350" s="89">
        <v>361189</v>
      </c>
      <c r="G350" s="29">
        <v>20242200</v>
      </c>
    </row>
    <row r="351" spans="1:7">
      <c r="A351" s="33">
        <v>42266</v>
      </c>
      <c r="B351" s="34">
        <v>232858</v>
      </c>
      <c r="C351" s="34">
        <v>233205</v>
      </c>
      <c r="D351" s="34">
        <v>231089</v>
      </c>
      <c r="E351" s="92" t="s">
        <v>1424</v>
      </c>
      <c r="F351" s="89">
        <v>361562</v>
      </c>
      <c r="G351" s="29">
        <v>12712600</v>
      </c>
    </row>
    <row r="352" spans="1:7">
      <c r="A352" s="33">
        <v>42267</v>
      </c>
      <c r="B352" s="34">
        <v>231399</v>
      </c>
      <c r="C352" s="34">
        <v>232365</v>
      </c>
      <c r="D352" s="29" t="s">
        <v>5203</v>
      </c>
      <c r="E352" s="92" t="s">
        <v>1452</v>
      </c>
      <c r="F352" s="89">
        <v>361909</v>
      </c>
      <c r="G352" s="29">
        <v>14444700</v>
      </c>
    </row>
    <row r="353" spans="1:7">
      <c r="A353" s="33">
        <v>42268</v>
      </c>
      <c r="B353" s="34">
        <v>231217</v>
      </c>
      <c r="C353" s="34">
        <v>231217</v>
      </c>
      <c r="D353" s="34">
        <v>226521</v>
      </c>
      <c r="E353" s="92" t="s">
        <v>5204</v>
      </c>
      <c r="F353" s="89">
        <v>362299</v>
      </c>
      <c r="G353" s="29">
        <v>19678800</v>
      </c>
    </row>
    <row r="354" spans="1:7">
      <c r="A354" s="33">
        <v>42269</v>
      </c>
      <c r="B354" s="34">
        <v>226969</v>
      </c>
      <c r="C354" s="34">
        <v>232386</v>
      </c>
      <c r="D354" s="34">
        <v>225117</v>
      </c>
      <c r="E354" s="92" t="s">
        <v>610</v>
      </c>
      <c r="F354" s="89">
        <v>362488</v>
      </c>
      <c r="G354" s="29">
        <v>25009300</v>
      </c>
    </row>
    <row r="355" spans="1:7">
      <c r="A355" s="33">
        <v>42270</v>
      </c>
      <c r="B355" s="34">
        <v>230936</v>
      </c>
      <c r="C355" s="34">
        <v>231835</v>
      </c>
      <c r="D355" s="34">
        <v>229591</v>
      </c>
      <c r="E355" s="92" t="s">
        <v>5205</v>
      </c>
      <c r="F355" s="89">
        <v>363183</v>
      </c>
      <c r="G355" s="29">
        <v>17254100</v>
      </c>
    </row>
    <row r="356" spans="1:7">
      <c r="A356" s="33">
        <v>42271</v>
      </c>
      <c r="B356" s="34">
        <v>230358</v>
      </c>
      <c r="C356" s="34">
        <v>235649</v>
      </c>
      <c r="D356" s="34">
        <v>230295</v>
      </c>
      <c r="E356" s="92" t="s">
        <v>1456</v>
      </c>
      <c r="F356" s="89">
        <v>363264</v>
      </c>
      <c r="G356" s="29">
        <v>25097800</v>
      </c>
    </row>
    <row r="357" spans="1:7">
      <c r="A357" s="33">
        <v>42272</v>
      </c>
      <c r="B357" s="34">
        <v>234362</v>
      </c>
      <c r="C357" s="34">
        <v>237427</v>
      </c>
      <c r="D357" s="34">
        <v>233684</v>
      </c>
      <c r="E357" s="92" t="s">
        <v>1428</v>
      </c>
      <c r="F357" s="89">
        <v>364331</v>
      </c>
      <c r="G357" s="29">
        <v>22363600</v>
      </c>
    </row>
    <row r="358" spans="1:7">
      <c r="A358" s="33">
        <v>42273</v>
      </c>
      <c r="B358" s="34">
        <v>235076</v>
      </c>
      <c r="C358" s="34">
        <v>235403</v>
      </c>
      <c r="D358" s="34">
        <v>233358</v>
      </c>
      <c r="E358" s="92" t="s">
        <v>5206</v>
      </c>
      <c r="F358" s="89">
        <v>365026</v>
      </c>
      <c r="G358" s="29">
        <v>13724100</v>
      </c>
    </row>
    <row r="359" spans="1:7">
      <c r="A359" s="33">
        <v>42274</v>
      </c>
      <c r="B359" s="34">
        <v>234139</v>
      </c>
      <c r="C359" s="34">
        <v>234526</v>
      </c>
      <c r="D359" s="34">
        <v>232476</v>
      </c>
      <c r="E359" s="92" t="s">
        <v>1400</v>
      </c>
      <c r="F359" s="89">
        <v>366924</v>
      </c>
      <c r="G359" s="29">
        <v>14179900</v>
      </c>
    </row>
    <row r="360" spans="1:7">
      <c r="A360" s="33">
        <v>42275</v>
      </c>
      <c r="B360" s="34">
        <v>232836</v>
      </c>
      <c r="C360" s="34">
        <v>239339</v>
      </c>
      <c r="D360" s="34">
        <v>232467</v>
      </c>
      <c r="E360" s="92" t="s">
        <v>5207</v>
      </c>
      <c r="F360" s="89">
        <v>367573</v>
      </c>
      <c r="G360" s="29">
        <v>24713000</v>
      </c>
    </row>
    <row r="361" spans="1:7">
      <c r="A361" s="33">
        <v>42276</v>
      </c>
      <c r="B361" s="34">
        <v>239016</v>
      </c>
      <c r="C361" s="34">
        <v>239802</v>
      </c>
      <c r="D361" s="34">
        <v>235928</v>
      </c>
      <c r="E361" s="92" t="s">
        <v>5208</v>
      </c>
      <c r="F361" s="89">
        <v>367695</v>
      </c>
      <c r="G361" s="29">
        <v>22691300</v>
      </c>
    </row>
    <row r="362" spans="1:7">
      <c r="A362" s="33">
        <v>42277</v>
      </c>
      <c r="B362" s="29" t="s">
        <v>5209</v>
      </c>
      <c r="C362" s="34">
        <v>237734</v>
      </c>
      <c r="D362" s="34">
        <v>235629</v>
      </c>
      <c r="E362" s="92" t="s">
        <v>739</v>
      </c>
      <c r="F362" s="89">
        <v>368767</v>
      </c>
      <c r="G362" s="29">
        <v>19743500</v>
      </c>
    </row>
    <row r="363" spans="1:7">
      <c r="A363" s="33">
        <v>42278</v>
      </c>
      <c r="B363" s="34">
        <v>236004</v>
      </c>
      <c r="C363" s="34">
        <v>238445</v>
      </c>
      <c r="D363" s="34">
        <v>235616</v>
      </c>
      <c r="E363" s="92" t="s">
        <v>1444</v>
      </c>
      <c r="F363" s="89">
        <v>369604</v>
      </c>
      <c r="G363" s="29">
        <v>20488800</v>
      </c>
    </row>
    <row r="364" spans="1:7">
      <c r="A364" s="33">
        <v>42279</v>
      </c>
      <c r="B364" s="34">
        <v>237264</v>
      </c>
      <c r="C364" s="34">
        <v>238541</v>
      </c>
      <c r="D364" s="34">
        <v>236603</v>
      </c>
      <c r="E364" s="92" t="s">
        <v>5210</v>
      </c>
      <c r="F364" s="89">
        <v>369949</v>
      </c>
      <c r="G364" s="29">
        <v>19677900</v>
      </c>
    </row>
    <row r="365" spans="1:7">
      <c r="A365" s="33">
        <v>42280</v>
      </c>
      <c r="B365" s="34">
        <v>237202</v>
      </c>
      <c r="C365" s="34">
        <v>239315</v>
      </c>
      <c r="D365" s="34">
        <v>236944</v>
      </c>
      <c r="E365" s="92" t="s">
        <v>1505</v>
      </c>
      <c r="F365" s="89">
        <v>371294</v>
      </c>
      <c r="G365" s="29">
        <v>16482700</v>
      </c>
    </row>
    <row r="366" spans="1:7">
      <c r="A366" s="33">
        <v>42281</v>
      </c>
      <c r="B366" s="34">
        <v>238531</v>
      </c>
      <c r="C366" s="34">
        <v>238968</v>
      </c>
      <c r="D366" s="29" t="s">
        <v>5211</v>
      </c>
      <c r="E366" s="92" t="s">
        <v>1436</v>
      </c>
      <c r="F366" s="89">
        <v>373056</v>
      </c>
      <c r="G366" s="29">
        <v>12999000</v>
      </c>
    </row>
    <row r="367" spans="1:7">
      <c r="A367" s="33">
        <v>42282</v>
      </c>
      <c r="B367" s="34">
        <v>238147</v>
      </c>
      <c r="C367" s="34">
        <v>240383</v>
      </c>
      <c r="D367" s="34">
        <v>237035</v>
      </c>
      <c r="E367" s="92" t="s">
        <v>5212</v>
      </c>
      <c r="F367" s="89">
        <v>373368</v>
      </c>
      <c r="G367" s="29">
        <v>23335900</v>
      </c>
    </row>
    <row r="368" spans="1:7">
      <c r="A368" s="33">
        <v>42283</v>
      </c>
      <c r="B368" s="34">
        <v>240364</v>
      </c>
      <c r="C368" s="34">
        <v>246935</v>
      </c>
      <c r="D368" s="34">
        <v>240136</v>
      </c>
      <c r="E368" s="92" t="s">
        <v>5213</v>
      </c>
      <c r="F368" s="89">
        <v>373447</v>
      </c>
      <c r="G368" s="29">
        <v>27535100</v>
      </c>
    </row>
    <row r="369" spans="1:7">
      <c r="A369" s="33">
        <v>42284</v>
      </c>
      <c r="B369" s="29" t="s">
        <v>5214</v>
      </c>
      <c r="C369" s="34">
        <v>246681</v>
      </c>
      <c r="D369" s="34">
        <v>242585</v>
      </c>
      <c r="E369" s="92" t="s">
        <v>1501</v>
      </c>
      <c r="F369" s="89">
        <v>374448</v>
      </c>
      <c r="G369" s="29">
        <v>22999200</v>
      </c>
    </row>
    <row r="370" spans="1:7">
      <c r="A370" s="33">
        <v>42285</v>
      </c>
      <c r="B370" s="34">
        <v>243075</v>
      </c>
      <c r="C370" s="34">
        <v>244251</v>
      </c>
      <c r="D370" s="34">
        <v>242179</v>
      </c>
      <c r="E370" s="92" t="s">
        <v>5215</v>
      </c>
      <c r="F370" s="89">
        <v>374785</v>
      </c>
      <c r="G370" s="29">
        <v>18515300</v>
      </c>
    </row>
    <row r="371" spans="1:7">
      <c r="A371" s="33">
        <v>42286</v>
      </c>
      <c r="B371" s="34">
        <v>242498</v>
      </c>
      <c r="C371" s="34">
        <v>244228</v>
      </c>
      <c r="D371" s="34">
        <v>242122</v>
      </c>
      <c r="E371" s="92" t="s">
        <v>5216</v>
      </c>
      <c r="F371" s="89">
        <v>375072</v>
      </c>
      <c r="G371" s="29">
        <v>17353100</v>
      </c>
    </row>
    <row r="372" spans="1:7">
      <c r="A372" s="33">
        <v>42287</v>
      </c>
      <c r="B372" s="29" t="s">
        <v>5217</v>
      </c>
      <c r="C372" s="34">
        <v>245319</v>
      </c>
      <c r="D372" s="34">
        <v>243074</v>
      </c>
      <c r="E372" s="92" t="s">
        <v>723</v>
      </c>
      <c r="F372" s="89">
        <v>375095</v>
      </c>
      <c r="G372" s="29">
        <v>15912700</v>
      </c>
    </row>
    <row r="373" spans="1:7">
      <c r="A373" s="33">
        <v>42288</v>
      </c>
      <c r="B373" s="34">
        <v>244742</v>
      </c>
      <c r="C373" s="34">
        <v>247243</v>
      </c>
      <c r="D373" s="34">
        <v>244152</v>
      </c>
      <c r="E373" s="92" t="s">
        <v>719</v>
      </c>
      <c r="F373" s="89">
        <v>375198</v>
      </c>
      <c r="G373" s="29">
        <v>16827300</v>
      </c>
    </row>
    <row r="374" spans="1:7">
      <c r="A374" s="33">
        <v>42289</v>
      </c>
      <c r="B374" s="34">
        <v>246875</v>
      </c>
      <c r="C374" s="34">
        <v>247454</v>
      </c>
      <c r="D374" s="34">
        <v>245179</v>
      </c>
      <c r="E374" s="92" t="s">
        <v>1517</v>
      </c>
      <c r="F374" s="89">
        <v>375348</v>
      </c>
      <c r="G374" s="29">
        <v>17388300</v>
      </c>
    </row>
    <row r="375" spans="1:7">
      <c r="A375" s="33">
        <v>42290</v>
      </c>
      <c r="B375" s="29" t="s">
        <v>5218</v>
      </c>
      <c r="C375" s="34">
        <v>250236</v>
      </c>
      <c r="D375" s="34">
        <v>243757</v>
      </c>
      <c r="E375" s="92" t="s">
        <v>688</v>
      </c>
      <c r="F375" s="89">
        <v>375467</v>
      </c>
      <c r="G375" s="29">
        <v>28198500</v>
      </c>
    </row>
    <row r="376" spans="1:7">
      <c r="A376" s="33">
        <v>42291</v>
      </c>
      <c r="B376" s="34">
        <v>249493</v>
      </c>
      <c r="C376" s="34">
        <v>254275</v>
      </c>
      <c r="D376" s="34">
        <v>248903</v>
      </c>
      <c r="E376" s="92" t="s">
        <v>613</v>
      </c>
      <c r="F376" s="89">
        <v>375491</v>
      </c>
      <c r="G376" s="29">
        <v>27462600</v>
      </c>
    </row>
    <row r="377" spans="1:7">
      <c r="A377" s="33">
        <v>42292</v>
      </c>
      <c r="B377" s="34">
        <v>252107</v>
      </c>
      <c r="C377" s="34">
        <v>255962</v>
      </c>
      <c r="D377" s="34">
        <v>252046</v>
      </c>
      <c r="E377" s="92" t="s">
        <v>5219</v>
      </c>
      <c r="F377" s="89">
        <v>376029</v>
      </c>
      <c r="G377" s="29">
        <v>25223500</v>
      </c>
    </row>
    <row r="378" spans="1:7">
      <c r="A378" s="33">
        <v>42293</v>
      </c>
      <c r="B378" s="34">
        <v>254296</v>
      </c>
      <c r="C378" s="34">
        <v>266135</v>
      </c>
      <c r="D378" s="34">
        <v>253926</v>
      </c>
      <c r="E378" s="92" t="s">
        <v>5220</v>
      </c>
      <c r="F378" s="89">
        <v>376133</v>
      </c>
      <c r="G378" s="29">
        <v>35901500</v>
      </c>
    </row>
    <row r="379" spans="1:7">
      <c r="A379" s="33">
        <v>42294</v>
      </c>
      <c r="B379" s="34">
        <v>262747</v>
      </c>
      <c r="C379" s="34">
        <v>273578</v>
      </c>
      <c r="D379" s="34">
        <v>262367</v>
      </c>
      <c r="E379" s="92" t="s">
        <v>684</v>
      </c>
      <c r="F379" s="89">
        <v>376447</v>
      </c>
      <c r="G379" s="29">
        <v>43199600</v>
      </c>
    </row>
    <row r="380" spans="1:7">
      <c r="A380" s="33">
        <v>42295</v>
      </c>
      <c r="B380" s="34">
        <v>270907</v>
      </c>
      <c r="C380" s="34">
        <v>271668</v>
      </c>
      <c r="D380" s="34">
        <v>260777</v>
      </c>
      <c r="E380" s="92" t="s">
        <v>699</v>
      </c>
      <c r="F380" s="89">
        <v>376522</v>
      </c>
      <c r="G380" s="29">
        <v>22434300</v>
      </c>
    </row>
    <row r="381" spans="1:7">
      <c r="A381" s="33">
        <v>42296</v>
      </c>
      <c r="B381" s="34">
        <v>261861</v>
      </c>
      <c r="C381" s="29" t="s">
        <v>5221</v>
      </c>
      <c r="D381" s="34">
        <v>260951</v>
      </c>
      <c r="E381" s="92" t="s">
        <v>5222</v>
      </c>
      <c r="F381" s="89">
        <v>376854</v>
      </c>
      <c r="G381" s="29">
        <v>25258800</v>
      </c>
    </row>
    <row r="382" spans="1:7">
      <c r="A382" s="33">
        <v>42297</v>
      </c>
      <c r="B382" s="34">
        <v>263572</v>
      </c>
      <c r="C382" s="34">
        <v>270835</v>
      </c>
      <c r="D382" s="34">
        <v>263227</v>
      </c>
      <c r="E382" s="92" t="s">
        <v>5223</v>
      </c>
      <c r="F382" s="89">
        <v>376901</v>
      </c>
      <c r="G382" s="29">
        <v>30889800</v>
      </c>
    </row>
    <row r="383" spans="1:7">
      <c r="A383" s="33">
        <v>42298</v>
      </c>
      <c r="B383" s="34">
        <v>269306</v>
      </c>
      <c r="C383" s="29" t="s">
        <v>5224</v>
      </c>
      <c r="D383" s="34">
        <v>263839</v>
      </c>
      <c r="E383" s="92" t="s">
        <v>680</v>
      </c>
      <c r="F383" s="89">
        <v>377181</v>
      </c>
      <c r="G383" s="29">
        <v>25637300</v>
      </c>
    </row>
    <row r="384" spans="1:7">
      <c r="A384" s="33">
        <v>42299</v>
      </c>
      <c r="B384" s="34">
        <v>266496</v>
      </c>
      <c r="C384" s="29" t="s">
        <v>4778</v>
      </c>
      <c r="D384" s="34">
        <v>266135</v>
      </c>
      <c r="E384" s="92" t="s">
        <v>676</v>
      </c>
      <c r="F384" s="89">
        <v>377321</v>
      </c>
      <c r="G384" s="29">
        <v>37808600</v>
      </c>
    </row>
    <row r="385" spans="1:7">
      <c r="A385" s="33">
        <v>42300</v>
      </c>
      <c r="B385" s="34">
        <v>273649</v>
      </c>
      <c r="C385" s="34">
        <v>278684</v>
      </c>
      <c r="D385" s="34">
        <v>273543</v>
      </c>
      <c r="E385" s="92" t="s">
        <v>5225</v>
      </c>
      <c r="F385" s="89">
        <v>378047</v>
      </c>
      <c r="G385" s="29">
        <v>29442500</v>
      </c>
    </row>
    <row r="386" spans="1:7">
      <c r="A386" s="33">
        <v>42301</v>
      </c>
      <c r="B386" s="34">
        <v>276504</v>
      </c>
      <c r="C386" s="34">
        <v>281706</v>
      </c>
      <c r="D386" s="34">
        <v>276504</v>
      </c>
      <c r="E386" s="92" t="s">
        <v>625</v>
      </c>
      <c r="F386" s="89">
        <v>378255</v>
      </c>
      <c r="G386" s="29">
        <v>25942400</v>
      </c>
    </row>
    <row r="387" spans="1:7">
      <c r="A387" s="33">
        <v>42302</v>
      </c>
      <c r="B387" s="34">
        <v>281445</v>
      </c>
      <c r="C387" s="34">
        <v>294059</v>
      </c>
      <c r="D387" s="34">
        <v>281445</v>
      </c>
      <c r="E387" s="92" t="s">
        <v>818</v>
      </c>
      <c r="F387" s="89">
        <v>378549</v>
      </c>
      <c r="G387" s="29">
        <v>45717100</v>
      </c>
    </row>
    <row r="388" spans="1:7">
      <c r="A388" s="33">
        <v>42303</v>
      </c>
      <c r="B388" s="34">
        <v>283628</v>
      </c>
      <c r="C388" s="29" t="s">
        <v>5226</v>
      </c>
      <c r="D388" s="29" t="s">
        <v>5227</v>
      </c>
      <c r="E388" s="92" t="s">
        <v>695</v>
      </c>
      <c r="F388" s="89">
        <v>379245</v>
      </c>
      <c r="G388" s="29">
        <v>32108800</v>
      </c>
    </row>
    <row r="389" spans="1:7">
      <c r="A389" s="33">
        <v>42304</v>
      </c>
      <c r="B389" s="34">
        <v>285181</v>
      </c>
      <c r="C389" s="34">
        <v>296212</v>
      </c>
      <c r="D389" s="34">
        <v>285008</v>
      </c>
      <c r="E389" s="92" t="s">
        <v>1521</v>
      </c>
      <c r="F389" s="89">
        <v>379474</v>
      </c>
      <c r="G389" s="29">
        <v>46331800</v>
      </c>
    </row>
    <row r="390" spans="1:7">
      <c r="A390" s="33">
        <v>42305</v>
      </c>
      <c r="B390" s="34">
        <v>293703</v>
      </c>
      <c r="C390" s="34">
        <v>306331</v>
      </c>
      <c r="D390" s="34">
        <v>293703</v>
      </c>
      <c r="E390" s="92" t="s">
        <v>1440</v>
      </c>
      <c r="F390" s="89">
        <v>379654</v>
      </c>
      <c r="G390" s="29">
        <v>50808100</v>
      </c>
    </row>
    <row r="391" spans="1:7">
      <c r="A391" s="33">
        <v>42306</v>
      </c>
      <c r="B391" s="34">
        <v>304324</v>
      </c>
      <c r="C391" s="29" t="s">
        <v>5228</v>
      </c>
      <c r="D391" s="34">
        <v>301823</v>
      </c>
      <c r="E391" s="92" t="s">
        <v>633</v>
      </c>
      <c r="F391" s="89">
        <v>380149</v>
      </c>
      <c r="G391" s="29">
        <v>64495900</v>
      </c>
    </row>
    <row r="392" spans="1:7">
      <c r="A392" s="33">
        <v>42307</v>
      </c>
      <c r="B392" s="34">
        <v>313943</v>
      </c>
      <c r="C392" s="34">
        <v>334169</v>
      </c>
      <c r="D392" s="29" t="s">
        <v>5229</v>
      </c>
      <c r="E392" s="92" t="s">
        <v>711</v>
      </c>
      <c r="F392" s="89">
        <v>380257</v>
      </c>
      <c r="G392" s="29">
        <v>78305000</v>
      </c>
    </row>
    <row r="393" spans="1:7">
      <c r="A393" s="33">
        <v>42308</v>
      </c>
      <c r="B393" s="34">
        <v>328512</v>
      </c>
      <c r="C393" s="34">
        <v>332777</v>
      </c>
      <c r="D393" s="34">
        <v>309251</v>
      </c>
      <c r="E393" s="92" t="s">
        <v>637</v>
      </c>
      <c r="F393" s="89">
        <v>380289</v>
      </c>
      <c r="G393" s="29">
        <v>48598100</v>
      </c>
    </row>
    <row r="394" spans="1:7">
      <c r="A394" s="33">
        <v>42309</v>
      </c>
      <c r="B394" s="34">
        <v>315005</v>
      </c>
      <c r="C394" s="34">
        <v>327472</v>
      </c>
      <c r="D394" s="34">
        <v>311881</v>
      </c>
      <c r="E394" s="92" t="s">
        <v>5230</v>
      </c>
      <c r="F394" s="89">
        <v>380555</v>
      </c>
      <c r="G394" s="29">
        <v>37001100</v>
      </c>
    </row>
    <row r="395" spans="1:7">
      <c r="A395" s="33">
        <v>42310</v>
      </c>
      <c r="B395" s="34">
        <v>325942</v>
      </c>
      <c r="C395" s="29" t="s">
        <v>5231</v>
      </c>
      <c r="D395" s="34">
        <v>323209</v>
      </c>
      <c r="E395" s="92" t="s">
        <v>822</v>
      </c>
      <c r="F395" s="89">
        <v>381315</v>
      </c>
      <c r="G395" s="29" t="s">
        <v>5232</v>
      </c>
    </row>
    <row r="396" spans="1:7">
      <c r="A396" s="33">
        <v>42311</v>
      </c>
      <c r="B396" s="34">
        <v>361873</v>
      </c>
      <c r="C396" s="29" t="s">
        <v>5233</v>
      </c>
      <c r="D396" s="34">
        <v>357647</v>
      </c>
      <c r="E396" s="92" t="s">
        <v>703</v>
      </c>
      <c r="F396" s="89">
        <v>382299</v>
      </c>
      <c r="G396" s="29" t="s">
        <v>5234</v>
      </c>
    </row>
    <row r="397" spans="1:7">
      <c r="A397" s="33">
        <v>42312</v>
      </c>
      <c r="B397" s="34">
        <v>403664</v>
      </c>
      <c r="C397" s="29" t="s">
        <v>4778</v>
      </c>
      <c r="D397" s="34">
        <v>380548</v>
      </c>
      <c r="E397" s="92" t="s">
        <v>1513</v>
      </c>
      <c r="F397" s="89">
        <v>382492</v>
      </c>
      <c r="G397" s="29" t="s">
        <v>5235</v>
      </c>
    </row>
    <row r="398" spans="1:7">
      <c r="A398" s="33">
        <v>42313</v>
      </c>
      <c r="B398" s="34">
        <v>408077</v>
      </c>
      <c r="C398" s="34">
        <v>447561</v>
      </c>
      <c r="D398" s="34">
        <v>374581</v>
      </c>
      <c r="E398" s="92" t="s">
        <v>629</v>
      </c>
      <c r="F398" s="89">
        <v>382556</v>
      </c>
      <c r="G398" s="29" t="s">
        <v>5236</v>
      </c>
    </row>
    <row r="399" spans="1:7">
      <c r="A399" s="33">
        <v>42314</v>
      </c>
      <c r="B399" s="34">
        <v>388047</v>
      </c>
      <c r="C399" s="34">
        <v>395836</v>
      </c>
      <c r="D399" s="34">
        <v>354025</v>
      </c>
      <c r="E399" s="92" t="s">
        <v>791</v>
      </c>
      <c r="F399" s="89">
        <v>382845</v>
      </c>
      <c r="G399" s="29" t="s">
        <v>5237</v>
      </c>
    </row>
    <row r="400" spans="1:7">
      <c r="A400" s="33">
        <v>42315</v>
      </c>
      <c r="B400" s="34">
        <v>374269</v>
      </c>
      <c r="C400" s="34">
        <v>390586</v>
      </c>
      <c r="D400" s="34">
        <v>372433</v>
      </c>
      <c r="E400" s="92" t="s">
        <v>1552</v>
      </c>
      <c r="F400" s="89">
        <v>383158</v>
      </c>
      <c r="G400" s="29">
        <v>56625100</v>
      </c>
    </row>
    <row r="401" spans="1:7">
      <c r="A401" s="33">
        <v>42316</v>
      </c>
      <c r="B401" s="34">
        <v>384278</v>
      </c>
      <c r="C401" s="34">
        <v>389895</v>
      </c>
      <c r="D401" s="29" t="s">
        <v>5238</v>
      </c>
      <c r="E401" s="92" t="s">
        <v>606</v>
      </c>
      <c r="F401" s="89">
        <v>383615</v>
      </c>
      <c r="G401" s="29">
        <v>51817600</v>
      </c>
    </row>
    <row r="402" spans="1:7">
      <c r="A402" s="33">
        <v>42317</v>
      </c>
      <c r="B402" s="34">
        <v>374324</v>
      </c>
      <c r="C402" s="34">
        <v>385278</v>
      </c>
      <c r="D402" s="34">
        <v>362895</v>
      </c>
      <c r="E402" s="92" t="s">
        <v>5239</v>
      </c>
      <c r="F402" s="89">
        <v>383758</v>
      </c>
      <c r="G402" s="29">
        <v>68224400</v>
      </c>
    </row>
    <row r="403" spans="1:7">
      <c r="A403" s="33">
        <v>42318</v>
      </c>
      <c r="B403" s="34">
        <v>379984</v>
      </c>
      <c r="C403" s="29" t="s">
        <v>4778</v>
      </c>
      <c r="D403" s="34">
        <v>329108</v>
      </c>
      <c r="E403" s="92" t="s">
        <v>672</v>
      </c>
      <c r="F403" s="89">
        <v>384263</v>
      </c>
      <c r="G403" s="29">
        <v>95797904</v>
      </c>
    </row>
    <row r="404" spans="1:7">
      <c r="A404" s="33">
        <v>42319</v>
      </c>
      <c r="B404" s="29" t="s">
        <v>5240</v>
      </c>
      <c r="C404" s="34">
        <v>340585</v>
      </c>
      <c r="D404" s="34">
        <v>300997</v>
      </c>
      <c r="E404" s="92" t="s">
        <v>5241</v>
      </c>
      <c r="F404" s="89">
        <v>386354</v>
      </c>
      <c r="G404" s="29" t="s">
        <v>4917</v>
      </c>
    </row>
    <row r="405" spans="1:7">
      <c r="A405" s="33">
        <v>42320</v>
      </c>
      <c r="B405" s="34">
        <v>314079</v>
      </c>
      <c r="C405" s="34">
        <v>345081</v>
      </c>
      <c r="D405" s="34">
        <v>313356</v>
      </c>
      <c r="E405" s="92" t="s">
        <v>5242</v>
      </c>
      <c r="F405" s="89">
        <v>386475</v>
      </c>
      <c r="G405" s="29">
        <v>78477800</v>
      </c>
    </row>
    <row r="406" spans="1:7">
      <c r="A406" s="33">
        <v>42321</v>
      </c>
      <c r="B406" s="34">
        <v>338498</v>
      </c>
      <c r="C406" s="34">
        <v>340914</v>
      </c>
      <c r="D406" s="34">
        <v>326075</v>
      </c>
      <c r="E406" s="92" t="s">
        <v>5243</v>
      </c>
      <c r="F406" s="89">
        <v>386482</v>
      </c>
      <c r="G406" s="29">
        <v>52003000</v>
      </c>
    </row>
    <row r="407" spans="1:7">
      <c r="A407" s="33">
        <v>42322</v>
      </c>
      <c r="B407" s="34">
        <v>336624</v>
      </c>
      <c r="C407" s="34">
        <v>338181</v>
      </c>
      <c r="D407" s="29" t="s">
        <v>5244</v>
      </c>
      <c r="E407" s="92" t="s">
        <v>691</v>
      </c>
      <c r="F407" s="89">
        <v>386549</v>
      </c>
      <c r="G407" s="29">
        <v>38612000</v>
      </c>
    </row>
    <row r="408" spans="1:7">
      <c r="A408" s="33">
        <v>42323</v>
      </c>
      <c r="B408" s="34">
        <v>333051</v>
      </c>
      <c r="C408" s="34">
        <v>334662</v>
      </c>
      <c r="D408" s="29" t="s">
        <v>5245</v>
      </c>
      <c r="E408" s="92" t="s">
        <v>1529</v>
      </c>
      <c r="F408" s="89">
        <v>386944</v>
      </c>
      <c r="G408" s="29">
        <v>44213100</v>
      </c>
    </row>
    <row r="409" spans="1:7">
      <c r="A409" s="33">
        <v>42324</v>
      </c>
      <c r="B409" s="34">
        <v>319735</v>
      </c>
      <c r="C409" s="34">
        <v>331626</v>
      </c>
      <c r="D409" s="34">
        <v>315905</v>
      </c>
      <c r="E409" s="92" t="s">
        <v>538</v>
      </c>
      <c r="F409" s="89">
        <v>387168</v>
      </c>
      <c r="G409" s="29">
        <v>47980100</v>
      </c>
    </row>
    <row r="410" spans="1:7">
      <c r="A410" s="33">
        <v>42325</v>
      </c>
      <c r="B410" s="34">
        <v>330362</v>
      </c>
      <c r="C410" s="29" t="s">
        <v>5246</v>
      </c>
      <c r="D410" s="34">
        <v>329614</v>
      </c>
      <c r="E410" s="92" t="s">
        <v>5247</v>
      </c>
      <c r="F410" s="89">
        <v>387408</v>
      </c>
      <c r="G410" s="29">
        <v>51001600</v>
      </c>
    </row>
    <row r="411" spans="1:7">
      <c r="A411" s="33">
        <v>42326</v>
      </c>
      <c r="B411" s="34">
        <v>334593</v>
      </c>
      <c r="C411" s="34">
        <v>336531</v>
      </c>
      <c r="D411" s="29" t="s">
        <v>5248</v>
      </c>
      <c r="E411" s="92" t="s">
        <v>641</v>
      </c>
      <c r="F411" s="89">
        <v>387491</v>
      </c>
      <c r="G411" s="29">
        <v>43783800</v>
      </c>
    </row>
    <row r="412" spans="1:7">
      <c r="A412" s="33">
        <v>42327</v>
      </c>
      <c r="B412" s="34">
        <v>334679</v>
      </c>
      <c r="C412" s="34">
        <v>335334</v>
      </c>
      <c r="D412" s="34">
        <v>325273</v>
      </c>
      <c r="E412" s="92" t="s">
        <v>5249</v>
      </c>
      <c r="F412" s="89">
        <v>387536</v>
      </c>
      <c r="G412" s="29">
        <v>45011100</v>
      </c>
    </row>
    <row r="413" spans="1:7">
      <c r="A413" s="33">
        <v>42328</v>
      </c>
      <c r="B413" s="34">
        <v>326411</v>
      </c>
      <c r="C413" s="34">
        <v>326473</v>
      </c>
      <c r="D413" s="34">
        <v>312217</v>
      </c>
      <c r="E413" s="92" t="s">
        <v>5250</v>
      </c>
      <c r="F413" s="89">
        <v>387882</v>
      </c>
      <c r="G413" s="29">
        <v>53152900</v>
      </c>
    </row>
    <row r="414" spans="1:7">
      <c r="A414" s="33">
        <v>42329</v>
      </c>
      <c r="B414" s="34">
        <v>322092</v>
      </c>
      <c r="C414" s="34">
        <v>328159</v>
      </c>
      <c r="D414" s="34">
        <v>319595</v>
      </c>
      <c r="E414" s="92" t="s">
        <v>1380</v>
      </c>
      <c r="F414" s="89">
        <v>388783</v>
      </c>
      <c r="G414" s="29">
        <v>28200500</v>
      </c>
    </row>
    <row r="415" spans="1:7">
      <c r="A415" s="33">
        <v>42330</v>
      </c>
      <c r="B415" s="34">
        <v>326975</v>
      </c>
      <c r="C415" s="29" t="s">
        <v>5251</v>
      </c>
      <c r="D415" s="34">
        <v>321259</v>
      </c>
      <c r="E415" s="92" t="s">
        <v>806</v>
      </c>
      <c r="F415" s="89">
        <v>388949</v>
      </c>
      <c r="G415" s="29">
        <v>23439400</v>
      </c>
    </row>
    <row r="416" spans="1:7">
      <c r="A416" s="33">
        <v>42331</v>
      </c>
      <c r="B416" s="29" t="s">
        <v>5252</v>
      </c>
      <c r="C416" s="34">
        <v>325118</v>
      </c>
      <c r="D416" s="29" t="s">
        <v>5253</v>
      </c>
      <c r="E416" s="92" t="s">
        <v>1388</v>
      </c>
      <c r="F416" s="89">
        <v>389546</v>
      </c>
      <c r="G416" s="29">
        <v>27478900</v>
      </c>
    </row>
    <row r="417" spans="1:7">
      <c r="A417" s="33">
        <v>42332</v>
      </c>
      <c r="B417" s="34">
        <v>323014</v>
      </c>
      <c r="C417" s="34">
        <v>323058</v>
      </c>
      <c r="D417" s="34">
        <v>318118</v>
      </c>
      <c r="E417" s="92" t="s">
        <v>5254</v>
      </c>
      <c r="F417" s="89">
        <v>390414</v>
      </c>
      <c r="G417" s="29">
        <v>29362600</v>
      </c>
    </row>
    <row r="418" spans="1:7">
      <c r="A418" s="33">
        <v>42333</v>
      </c>
      <c r="B418" s="34">
        <v>320045</v>
      </c>
      <c r="C418" s="34">
        <v>329134</v>
      </c>
      <c r="D418" s="29" t="s">
        <v>5255</v>
      </c>
      <c r="E418" s="92" t="s">
        <v>5256</v>
      </c>
      <c r="F418" s="89">
        <v>391442</v>
      </c>
      <c r="G418" s="29">
        <v>41666900</v>
      </c>
    </row>
    <row r="419" spans="1:7">
      <c r="A419" s="33">
        <v>42334</v>
      </c>
      <c r="B419" s="34">
        <v>328303</v>
      </c>
      <c r="C419" s="34">
        <v>366757</v>
      </c>
      <c r="D419" s="34">
        <v>328229</v>
      </c>
      <c r="E419" s="92" t="s">
        <v>814</v>
      </c>
      <c r="F419" s="89">
        <v>391726</v>
      </c>
      <c r="G419" s="29" t="s">
        <v>5257</v>
      </c>
    </row>
    <row r="420" spans="1:7">
      <c r="A420" s="33">
        <v>42335</v>
      </c>
      <c r="B420" s="34">
        <v>351861</v>
      </c>
      <c r="C420" s="34">
        <v>363589</v>
      </c>
      <c r="D420" s="29" t="s">
        <v>5258</v>
      </c>
      <c r="E420" s="92" t="s">
        <v>5259</v>
      </c>
      <c r="F420" s="89">
        <v>392153</v>
      </c>
      <c r="G420" s="29">
        <v>55179100</v>
      </c>
    </row>
    <row r="421" spans="1:7">
      <c r="A421" s="33">
        <v>42336</v>
      </c>
      <c r="B421" s="34">
        <v>357141</v>
      </c>
      <c r="C421" s="34">
        <v>359536</v>
      </c>
      <c r="D421" s="34">
        <v>352172</v>
      </c>
      <c r="E421" s="92" t="s">
        <v>1392</v>
      </c>
      <c r="F421" s="89">
        <v>394773</v>
      </c>
      <c r="G421" s="29">
        <v>36816600</v>
      </c>
    </row>
    <row r="422" spans="1:7">
      <c r="A422" s="33">
        <v>42337</v>
      </c>
      <c r="B422" s="34">
        <v>357472</v>
      </c>
      <c r="C422" s="34">
        <v>371939</v>
      </c>
      <c r="D422" s="34">
        <v>355666</v>
      </c>
      <c r="E422" s="92" t="s">
        <v>1537</v>
      </c>
      <c r="F422" s="89">
        <v>394796</v>
      </c>
      <c r="G422" s="29">
        <v>40409300</v>
      </c>
    </row>
    <row r="423" spans="1:7">
      <c r="A423" s="33">
        <v>42338</v>
      </c>
      <c r="B423" s="34">
        <v>371437</v>
      </c>
      <c r="C423" s="34">
        <v>382363</v>
      </c>
      <c r="D423" s="34">
        <v>370383</v>
      </c>
      <c r="E423" s="92" t="s">
        <v>5260</v>
      </c>
      <c r="F423" s="89">
        <v>394972</v>
      </c>
      <c r="G423" s="29">
        <v>71701600</v>
      </c>
    </row>
    <row r="424" spans="1:7">
      <c r="A424" s="33">
        <v>42339</v>
      </c>
      <c r="B424" s="34">
        <v>377414</v>
      </c>
      <c r="C424" s="34">
        <v>378931</v>
      </c>
      <c r="D424" s="34">
        <v>356563</v>
      </c>
      <c r="E424" s="92" t="s">
        <v>1548</v>
      </c>
      <c r="F424" s="89">
        <v>395536</v>
      </c>
      <c r="G424" s="29">
        <v>60452200</v>
      </c>
    </row>
    <row r="425" spans="1:7">
      <c r="A425" s="33">
        <v>42340</v>
      </c>
      <c r="B425" s="34">
        <v>361845</v>
      </c>
      <c r="C425" s="34">
        <v>362232</v>
      </c>
      <c r="D425" s="34">
        <v>349465</v>
      </c>
      <c r="E425" s="92" t="s">
        <v>5261</v>
      </c>
      <c r="F425" s="89">
        <v>397818</v>
      </c>
      <c r="G425" s="29">
        <v>54160500</v>
      </c>
    </row>
    <row r="426" spans="1:7">
      <c r="A426" s="33">
        <v>42341</v>
      </c>
      <c r="B426" s="34">
        <v>359331</v>
      </c>
      <c r="C426" s="34">
        <v>370275</v>
      </c>
      <c r="D426" s="34">
        <v>357412</v>
      </c>
      <c r="E426" s="92" t="s">
        <v>799</v>
      </c>
      <c r="F426" s="89">
        <v>398821</v>
      </c>
      <c r="G426" s="29">
        <v>50714900</v>
      </c>
    </row>
    <row r="427" spans="1:7">
      <c r="A427" s="33">
        <v>42342</v>
      </c>
      <c r="B427" s="34">
        <v>361262</v>
      </c>
      <c r="C427" s="34">
        <v>363516</v>
      </c>
      <c r="D427" s="34">
        <v>355757</v>
      </c>
      <c r="E427" s="92" t="s">
        <v>5262</v>
      </c>
      <c r="F427" s="89">
        <v>400185</v>
      </c>
      <c r="G427" s="29">
        <v>35784100</v>
      </c>
    </row>
    <row r="428" spans="1:7">
      <c r="A428" s="33">
        <v>42343</v>
      </c>
      <c r="B428" s="34">
        <v>363721</v>
      </c>
      <c r="C428" s="34">
        <v>389785</v>
      </c>
      <c r="D428" s="34">
        <v>363229</v>
      </c>
      <c r="E428" s="92" t="s">
        <v>5263</v>
      </c>
      <c r="F428" s="89">
        <v>402152</v>
      </c>
      <c r="G428" s="29">
        <v>66282200</v>
      </c>
    </row>
    <row r="429" spans="1:7">
      <c r="A429" s="33">
        <v>42344</v>
      </c>
      <c r="B429" s="34">
        <v>389555</v>
      </c>
      <c r="C429" s="34">
        <v>402809</v>
      </c>
      <c r="D429" s="34">
        <v>387089</v>
      </c>
      <c r="E429" s="92" t="s">
        <v>1509</v>
      </c>
      <c r="F429" s="89">
        <v>402971</v>
      </c>
      <c r="G429" s="29">
        <v>77762000</v>
      </c>
    </row>
    <row r="430" spans="1:7">
      <c r="A430" s="33">
        <v>42345</v>
      </c>
      <c r="B430" s="34">
        <v>389978</v>
      </c>
      <c r="C430" s="34">
        <v>399969</v>
      </c>
      <c r="D430" s="34">
        <v>385411</v>
      </c>
      <c r="E430" s="92" t="s">
        <v>621</v>
      </c>
      <c r="F430" s="89">
        <v>403417</v>
      </c>
      <c r="G430" s="29">
        <v>63455800</v>
      </c>
    </row>
    <row r="431" spans="1:7">
      <c r="A431" s="33">
        <v>42346</v>
      </c>
      <c r="B431" s="34">
        <v>395754</v>
      </c>
      <c r="C431" s="34">
        <v>415563</v>
      </c>
      <c r="D431" s="29" t="s">
        <v>5264</v>
      </c>
      <c r="E431" s="92" t="s">
        <v>5265</v>
      </c>
      <c r="F431" s="89">
        <v>404425</v>
      </c>
      <c r="G431" s="29">
        <v>57801400</v>
      </c>
    </row>
    <row r="432" spans="1:7">
      <c r="A432" s="33">
        <v>42347</v>
      </c>
      <c r="B432" s="34">
        <v>414441</v>
      </c>
      <c r="C432" s="29" t="s">
        <v>5266</v>
      </c>
      <c r="D432" s="34">
        <v>406291</v>
      </c>
      <c r="E432" s="92" t="s">
        <v>830</v>
      </c>
      <c r="F432" s="89">
        <v>407488</v>
      </c>
      <c r="G432" s="29">
        <v>90917200</v>
      </c>
    </row>
    <row r="433" spans="1:7">
      <c r="A433" s="33">
        <v>42348</v>
      </c>
      <c r="B433" s="34">
        <v>417988</v>
      </c>
      <c r="C433" s="34">
        <v>419509</v>
      </c>
      <c r="D433" s="34">
        <v>411548</v>
      </c>
      <c r="E433" s="92" t="s">
        <v>5267</v>
      </c>
      <c r="F433" s="89">
        <v>407707</v>
      </c>
      <c r="G433" s="29">
        <v>52138900</v>
      </c>
    </row>
    <row r="434" spans="1:7">
      <c r="A434" s="33">
        <v>42349</v>
      </c>
      <c r="B434" s="34">
        <v>415281</v>
      </c>
      <c r="C434" s="34">
        <v>451938</v>
      </c>
      <c r="D434" s="34">
        <v>415281</v>
      </c>
      <c r="E434" s="92" t="s">
        <v>795</v>
      </c>
      <c r="F434" s="89">
        <v>408904</v>
      </c>
      <c r="G434" s="29" t="s">
        <v>5268</v>
      </c>
    </row>
    <row r="435" spans="1:7">
      <c r="A435" s="33">
        <v>42350</v>
      </c>
      <c r="B435" s="34">
        <v>452335</v>
      </c>
      <c r="C435" s="34">
        <v>469103</v>
      </c>
      <c r="D435" s="34">
        <v>410741</v>
      </c>
      <c r="E435" s="92" t="s">
        <v>5269</v>
      </c>
      <c r="F435" s="89">
        <v>409548</v>
      </c>
      <c r="G435" s="29" t="s">
        <v>5270</v>
      </c>
    </row>
    <row r="436" spans="1:7">
      <c r="A436" s="33">
        <v>42351</v>
      </c>
      <c r="B436" s="29" t="s">
        <v>5271</v>
      </c>
      <c r="C436" s="29" t="s">
        <v>5272</v>
      </c>
      <c r="D436" s="34">
        <v>426268</v>
      </c>
      <c r="E436" s="92" t="s">
        <v>1556</v>
      </c>
      <c r="F436" s="89">
        <v>410262</v>
      </c>
      <c r="G436" s="29">
        <v>55050600</v>
      </c>
    </row>
    <row r="437" spans="1:7">
      <c r="A437" s="33">
        <v>42352</v>
      </c>
      <c r="B437" s="34">
        <v>433272</v>
      </c>
      <c r="C437" s="34">
        <v>447142</v>
      </c>
      <c r="D437" s="34">
        <v>430456</v>
      </c>
      <c r="E437" s="92" t="s">
        <v>751</v>
      </c>
      <c r="F437" s="89">
        <v>410444</v>
      </c>
      <c r="G437" s="29" t="s">
        <v>5273</v>
      </c>
    </row>
    <row r="438" spans="1:7">
      <c r="A438" s="33">
        <v>42353</v>
      </c>
      <c r="B438" s="34">
        <v>443878</v>
      </c>
      <c r="C438" s="34">
        <v>465321</v>
      </c>
      <c r="D438" s="34">
        <v>443878</v>
      </c>
      <c r="E438" s="92" t="s">
        <v>5274</v>
      </c>
      <c r="F438" s="89">
        <v>410939</v>
      </c>
      <c r="G438" s="29">
        <v>83121104</v>
      </c>
    </row>
    <row r="439" spans="1:7">
      <c r="A439" s="33">
        <v>42354</v>
      </c>
      <c r="B439" s="34">
        <v>465208</v>
      </c>
      <c r="C439" s="34">
        <v>465208</v>
      </c>
      <c r="D439" s="34">
        <v>443851</v>
      </c>
      <c r="E439" s="92" t="s">
        <v>810</v>
      </c>
      <c r="F439" s="89">
        <v>411563</v>
      </c>
      <c r="G439" s="29" t="s">
        <v>5275</v>
      </c>
    </row>
    <row r="440" spans="1:7">
      <c r="A440" s="33">
        <v>42355</v>
      </c>
      <c r="B440" s="34">
        <v>454777</v>
      </c>
      <c r="C440" s="29" t="s">
        <v>5276</v>
      </c>
      <c r="D440" s="34">
        <v>448858</v>
      </c>
      <c r="E440" s="92" t="s">
        <v>1525</v>
      </c>
      <c r="F440" s="89">
        <v>411574</v>
      </c>
      <c r="G440" s="29">
        <v>47978400</v>
      </c>
    </row>
    <row r="441" spans="1:7">
      <c r="A441" s="33">
        <v>42356</v>
      </c>
      <c r="B441" s="34">
        <v>455847</v>
      </c>
      <c r="C441" s="34">
        <v>465177</v>
      </c>
      <c r="D441" s="29" t="s">
        <v>5277</v>
      </c>
      <c r="E441" s="92" t="s">
        <v>1533</v>
      </c>
      <c r="F441" s="89">
        <v>411624</v>
      </c>
      <c r="G441" s="29">
        <v>60220100</v>
      </c>
    </row>
    <row r="442" spans="1:7">
      <c r="A442" s="33">
        <v>42357</v>
      </c>
      <c r="B442" s="34">
        <v>463552</v>
      </c>
      <c r="C442" s="34">
        <v>465581</v>
      </c>
      <c r="D442" s="34">
        <v>456765</v>
      </c>
      <c r="E442" s="92" t="s">
        <v>5278</v>
      </c>
      <c r="F442" s="89">
        <v>413307</v>
      </c>
      <c r="G442" s="29">
        <v>47892700</v>
      </c>
    </row>
    <row r="443" spans="1:7">
      <c r="A443" s="33">
        <v>42358</v>
      </c>
      <c r="B443" s="34">
        <v>462234</v>
      </c>
      <c r="C443" s="34">
        <v>462645</v>
      </c>
      <c r="D443" s="34">
        <v>434338</v>
      </c>
      <c r="E443" s="92" t="s">
        <v>743</v>
      </c>
      <c r="F443" s="89">
        <v>413755</v>
      </c>
      <c r="G443" s="29">
        <v>75409400</v>
      </c>
    </row>
    <row r="444" spans="1:7">
      <c r="A444" s="33">
        <v>42359</v>
      </c>
      <c r="B444" s="34">
        <v>442838</v>
      </c>
      <c r="C444" s="34">
        <v>444729</v>
      </c>
      <c r="D444" s="34">
        <v>427312</v>
      </c>
      <c r="E444" s="92" t="s">
        <v>534</v>
      </c>
      <c r="F444" s="89">
        <v>413972</v>
      </c>
      <c r="G444" s="29">
        <v>77639696</v>
      </c>
    </row>
    <row r="445" spans="1:7">
      <c r="A445" s="33">
        <v>42360</v>
      </c>
      <c r="B445" s="34">
        <v>437436</v>
      </c>
      <c r="C445" s="34">
        <v>443688</v>
      </c>
      <c r="D445" s="34">
        <v>435516</v>
      </c>
      <c r="E445" s="92" t="s">
        <v>5279</v>
      </c>
      <c r="F445" s="89">
        <v>414065</v>
      </c>
      <c r="G445" s="29">
        <v>50840400</v>
      </c>
    </row>
    <row r="446" spans="1:7">
      <c r="A446" s="33">
        <v>42361</v>
      </c>
      <c r="B446" s="29" t="s">
        <v>5280</v>
      </c>
      <c r="C446" s="34">
        <v>444529</v>
      </c>
      <c r="D446" s="34">
        <v>436619</v>
      </c>
      <c r="E446" s="92" t="s">
        <v>707</v>
      </c>
      <c r="F446" s="89">
        <v>414321</v>
      </c>
      <c r="G446" s="29">
        <v>47161400</v>
      </c>
    </row>
    <row r="447" spans="1:7">
      <c r="A447" s="33">
        <v>42362</v>
      </c>
      <c r="B447" s="34">
        <v>443091</v>
      </c>
      <c r="C447" s="34">
        <v>458456</v>
      </c>
      <c r="D447" s="34">
        <v>443077</v>
      </c>
      <c r="E447" s="92" t="s">
        <v>1384</v>
      </c>
      <c r="F447" s="89">
        <v>414816</v>
      </c>
      <c r="G447" s="29">
        <v>57157200</v>
      </c>
    </row>
    <row r="448" spans="1:7">
      <c r="A448" s="33">
        <v>42363</v>
      </c>
      <c r="B448" s="34">
        <v>454855</v>
      </c>
      <c r="C448" s="34">
        <v>458305</v>
      </c>
      <c r="D448" s="34">
        <v>452075</v>
      </c>
      <c r="E448" s="92" t="s">
        <v>602</v>
      </c>
      <c r="F448" s="89">
        <v>415479</v>
      </c>
      <c r="G448" s="29">
        <v>39078500</v>
      </c>
    </row>
    <row r="449" spans="1:7">
      <c r="A449" s="33">
        <v>42364</v>
      </c>
      <c r="B449" s="34">
        <v>455756</v>
      </c>
      <c r="C449" s="34">
        <v>457489</v>
      </c>
      <c r="D449" s="29" t="s">
        <v>5281</v>
      </c>
      <c r="E449" s="92" t="s">
        <v>664</v>
      </c>
      <c r="F449" s="89">
        <v>415563</v>
      </c>
      <c r="G449" s="29" t="s">
        <v>5282</v>
      </c>
    </row>
    <row r="450" spans="1:7">
      <c r="A450" s="33">
        <v>42365</v>
      </c>
      <c r="B450" s="34">
        <v>416514</v>
      </c>
      <c r="C450" s="34">
        <v>424007</v>
      </c>
      <c r="D450" s="34">
        <v>408883</v>
      </c>
      <c r="E450" s="92" t="s">
        <v>668</v>
      </c>
      <c r="F450" s="89">
        <v>416322</v>
      </c>
      <c r="G450" s="29">
        <v>53591200</v>
      </c>
    </row>
    <row r="451" spans="1:7">
      <c r="A451" s="33">
        <v>42366</v>
      </c>
      <c r="B451" s="34">
        <v>423343</v>
      </c>
      <c r="C451" s="34">
        <v>429769</v>
      </c>
      <c r="D451" s="34">
        <v>418481</v>
      </c>
      <c r="E451" s="92" t="s">
        <v>617</v>
      </c>
      <c r="F451" s="89">
        <v>416394</v>
      </c>
      <c r="G451" s="29">
        <v>49638600</v>
      </c>
    </row>
    <row r="452" spans="1:7">
      <c r="A452" s="33">
        <v>42367</v>
      </c>
      <c r="B452" s="34">
        <v>422098</v>
      </c>
      <c r="C452" s="34">
        <v>432983</v>
      </c>
      <c r="D452" s="34">
        <v>420627</v>
      </c>
      <c r="E452" s="92" t="s">
        <v>5283</v>
      </c>
      <c r="F452" s="89">
        <v>416438</v>
      </c>
      <c r="G452" s="29">
        <v>51596500</v>
      </c>
    </row>
    <row r="453" spans="1:7">
      <c r="A453" s="33">
        <v>42368</v>
      </c>
      <c r="B453" s="29" t="s">
        <v>5284</v>
      </c>
      <c r="C453" s="34">
        <v>434387</v>
      </c>
      <c r="D453" s="34">
        <v>422084</v>
      </c>
      <c r="E453" s="92" t="s">
        <v>530</v>
      </c>
      <c r="F453" s="89">
        <v>416516</v>
      </c>
      <c r="G453" s="29">
        <v>46889400</v>
      </c>
    </row>
    <row r="454" spans="1:7">
      <c r="A454" s="33">
        <v>42369</v>
      </c>
      <c r="B454" s="34">
        <v>425875</v>
      </c>
      <c r="C454" s="34">
        <v>432921</v>
      </c>
      <c r="D454" s="34">
        <v>418735</v>
      </c>
      <c r="E454" s="92" t="s">
        <v>826</v>
      </c>
      <c r="F454" s="89">
        <v>417011</v>
      </c>
      <c r="G454" s="29">
        <v>45996600</v>
      </c>
    </row>
    <row r="455" spans="1:7">
      <c r="A455" s="33">
        <v>42370</v>
      </c>
      <c r="B455" s="34">
        <v>430721</v>
      </c>
      <c r="C455" s="34">
        <v>436246</v>
      </c>
      <c r="D455" s="34">
        <v>427515</v>
      </c>
      <c r="E455" s="92" t="s">
        <v>5285</v>
      </c>
      <c r="F455" s="89">
        <v>417131</v>
      </c>
      <c r="G455" s="29">
        <v>36278900</v>
      </c>
    </row>
    <row r="456" spans="1:7">
      <c r="A456" s="33">
        <v>42371</v>
      </c>
      <c r="B456" s="34">
        <v>434622</v>
      </c>
      <c r="C456" s="34">
        <v>436062</v>
      </c>
      <c r="D456" s="29" t="s">
        <v>5286</v>
      </c>
      <c r="E456" s="92" t="s">
        <v>747</v>
      </c>
      <c r="F456" s="89">
        <v>417177</v>
      </c>
      <c r="G456" s="29">
        <v>30096600</v>
      </c>
    </row>
    <row r="457" spans="1:7">
      <c r="A457" s="33">
        <v>42372</v>
      </c>
      <c r="B457" s="34">
        <v>433578</v>
      </c>
      <c r="C457" s="34">
        <v>433743</v>
      </c>
      <c r="D457" s="34">
        <v>424706</v>
      </c>
      <c r="E457" s="92" t="s">
        <v>5287</v>
      </c>
      <c r="F457" s="89">
        <v>417274</v>
      </c>
      <c r="G457" s="29">
        <v>39633800</v>
      </c>
    </row>
    <row r="458" spans="1:7">
      <c r="A458" s="33">
        <v>42373</v>
      </c>
      <c r="B458" s="34">
        <v>430061</v>
      </c>
      <c r="C458" s="34">
        <v>434517</v>
      </c>
      <c r="D458" s="34">
        <v>429084</v>
      </c>
      <c r="E458" s="92" t="s">
        <v>1365</v>
      </c>
      <c r="F458" s="89">
        <v>417563</v>
      </c>
      <c r="G458" s="29" t="s">
        <v>4778</v>
      </c>
    </row>
    <row r="459" spans="1:7">
      <c r="A459" s="33">
        <v>42374</v>
      </c>
      <c r="B459" s="34">
        <v>433069</v>
      </c>
      <c r="C459" s="34">
        <v>434182</v>
      </c>
      <c r="D459" s="34">
        <v>429676</v>
      </c>
      <c r="E459" s="92" t="s">
        <v>5288</v>
      </c>
      <c r="F459" s="89">
        <v>417945</v>
      </c>
      <c r="G459" s="29">
        <v>34522600</v>
      </c>
    </row>
    <row r="460" spans="1:7">
      <c r="A460" s="33">
        <v>42375</v>
      </c>
      <c r="B460" s="34">
        <v>431856</v>
      </c>
      <c r="C460" s="34">
        <v>431856</v>
      </c>
      <c r="D460" s="34">
        <v>426341</v>
      </c>
      <c r="E460" s="92" t="s">
        <v>659</v>
      </c>
      <c r="F460" s="89">
        <v>418041</v>
      </c>
      <c r="G460" s="29">
        <v>34042500</v>
      </c>
    </row>
    <row r="461" spans="1:7">
      <c r="A461" s="33">
        <v>42376</v>
      </c>
      <c r="B461" s="34">
        <v>430011</v>
      </c>
      <c r="C461" s="34">
        <v>458766</v>
      </c>
      <c r="D461" s="34">
        <v>429077</v>
      </c>
      <c r="E461" s="92" t="s">
        <v>779</v>
      </c>
      <c r="F461" s="89">
        <v>418089</v>
      </c>
      <c r="G461" s="29">
        <v>87562200</v>
      </c>
    </row>
    <row r="462" spans="1:7">
      <c r="A462" s="33">
        <v>42377</v>
      </c>
      <c r="B462" s="34">
        <v>457538</v>
      </c>
      <c r="C462" s="34">
        <v>462934</v>
      </c>
      <c r="D462" s="34">
        <v>447938</v>
      </c>
      <c r="E462" s="92" t="s">
        <v>783</v>
      </c>
      <c r="F462" s="89">
        <v>419411</v>
      </c>
      <c r="G462" s="29">
        <v>56993000</v>
      </c>
    </row>
    <row r="463" spans="1:7">
      <c r="A463" s="33">
        <v>42378</v>
      </c>
      <c r="B463" s="34">
        <v>453383</v>
      </c>
      <c r="C463" s="29" t="s">
        <v>5289</v>
      </c>
      <c r="D463" s="34">
        <v>446889</v>
      </c>
      <c r="E463" s="92" t="s">
        <v>597</v>
      </c>
      <c r="F463" s="89">
        <v>420349</v>
      </c>
      <c r="G463" s="29">
        <v>32278000</v>
      </c>
    </row>
    <row r="464" spans="1:7">
      <c r="A464" s="33">
        <v>42379</v>
      </c>
      <c r="B464" s="34">
        <v>448238</v>
      </c>
      <c r="C464" s="34">
        <v>448309</v>
      </c>
      <c r="D464" s="34">
        <v>440351</v>
      </c>
      <c r="E464" s="92" t="s">
        <v>1544</v>
      </c>
      <c r="F464" s="89">
        <v>420621</v>
      </c>
      <c r="G464" s="29">
        <v>35995900</v>
      </c>
    </row>
    <row r="465" spans="1:7">
      <c r="A465" s="33">
        <v>42380</v>
      </c>
      <c r="B465" s="34">
        <v>448698</v>
      </c>
      <c r="C465" s="34">
        <v>450662</v>
      </c>
      <c r="D465" s="34">
        <v>443855</v>
      </c>
      <c r="E465" s="92" t="s">
        <v>1376</v>
      </c>
      <c r="F465" s="89">
        <v>420735</v>
      </c>
      <c r="G465" s="29">
        <v>40450000</v>
      </c>
    </row>
    <row r="466" spans="1:7">
      <c r="A466" s="33">
        <v>42381</v>
      </c>
      <c r="B466" s="34">
        <v>448182</v>
      </c>
      <c r="C466" s="34">
        <v>448182</v>
      </c>
      <c r="D466" s="29" t="s">
        <v>5290</v>
      </c>
      <c r="E466" s="92" t="s">
        <v>649</v>
      </c>
      <c r="F466" s="89">
        <v>420736</v>
      </c>
      <c r="G466" s="29" t="s">
        <v>5282</v>
      </c>
    </row>
    <row r="467" spans="1:7">
      <c r="A467" s="33">
        <v>42382</v>
      </c>
      <c r="B467" s="34">
        <v>434665</v>
      </c>
      <c r="C467" s="34">
        <v>435186</v>
      </c>
      <c r="D467" s="34">
        <v>424443</v>
      </c>
      <c r="E467" s="92" t="s">
        <v>645</v>
      </c>
      <c r="F467" s="89">
        <v>420785</v>
      </c>
      <c r="G467" s="29" t="s">
        <v>5291</v>
      </c>
    </row>
    <row r="468" spans="1:7">
      <c r="A468" s="33">
        <v>42383</v>
      </c>
      <c r="B468" s="34">
        <v>432288</v>
      </c>
      <c r="C468" s="34">
        <v>433324</v>
      </c>
      <c r="D468" s="34">
        <v>427845</v>
      </c>
      <c r="E468" s="92" t="s">
        <v>5292</v>
      </c>
      <c r="F468" s="89">
        <v>420873</v>
      </c>
      <c r="G468" s="29">
        <v>43945500</v>
      </c>
    </row>
    <row r="469" spans="1:7">
      <c r="A469" s="33">
        <v>42384</v>
      </c>
      <c r="B469" s="34">
        <v>430255</v>
      </c>
      <c r="C469" s="34">
        <v>430255</v>
      </c>
      <c r="D469" s="34">
        <v>364331</v>
      </c>
      <c r="E469" s="92" t="s">
        <v>542</v>
      </c>
      <c r="F469" s="89">
        <v>420904</v>
      </c>
      <c r="G469" s="29" t="s">
        <v>5293</v>
      </c>
    </row>
    <row r="470" spans="1:7">
      <c r="A470" s="33">
        <v>42385</v>
      </c>
      <c r="B470" s="34">
        <v>365073</v>
      </c>
      <c r="C470" s="34">
        <v>390557</v>
      </c>
      <c r="D470" s="34">
        <v>354914</v>
      </c>
      <c r="E470" s="92" t="s">
        <v>775</v>
      </c>
      <c r="F470" s="89">
        <v>421444</v>
      </c>
      <c r="G470" s="29" t="s">
        <v>5294</v>
      </c>
    </row>
    <row r="471" spans="1:7">
      <c r="A471" s="33">
        <v>42386</v>
      </c>
      <c r="B471" s="34">
        <v>387152</v>
      </c>
      <c r="C471" s="34">
        <v>390965</v>
      </c>
      <c r="D471" s="34">
        <v>380092</v>
      </c>
      <c r="E471" s="92" t="s">
        <v>1372</v>
      </c>
      <c r="F471" s="89">
        <v>421564</v>
      </c>
      <c r="G471" s="29">
        <v>45319600</v>
      </c>
    </row>
    <row r="472" spans="1:7">
      <c r="A472" s="33">
        <v>42387</v>
      </c>
      <c r="B472" s="34">
        <v>381733</v>
      </c>
      <c r="C472" s="34">
        <v>388104</v>
      </c>
      <c r="D472" s="34">
        <v>376665</v>
      </c>
      <c r="E472" s="92" t="s">
        <v>755</v>
      </c>
      <c r="F472" s="89">
        <v>421651</v>
      </c>
      <c r="G472" s="29">
        <v>54403900</v>
      </c>
    </row>
    <row r="473" spans="1:7">
      <c r="A473" s="33">
        <v>42388</v>
      </c>
      <c r="B473" s="34">
        <v>387026</v>
      </c>
      <c r="C473" s="29" t="s">
        <v>5295</v>
      </c>
      <c r="D473" s="34">
        <v>378972</v>
      </c>
      <c r="E473" s="92" t="s">
        <v>1368</v>
      </c>
      <c r="F473" s="89">
        <v>422279</v>
      </c>
      <c r="G473" s="29">
        <v>46819800</v>
      </c>
    </row>
    <row r="474" spans="1:7">
      <c r="A474" s="33">
        <v>42389</v>
      </c>
      <c r="B474" s="29" t="s">
        <v>5296</v>
      </c>
      <c r="C474" s="29" t="s">
        <v>4778</v>
      </c>
      <c r="D474" s="34">
        <v>376599</v>
      </c>
      <c r="E474" s="92" t="s">
        <v>5297</v>
      </c>
      <c r="F474" s="89">
        <v>422373</v>
      </c>
      <c r="G474" s="29" t="s">
        <v>5298</v>
      </c>
    </row>
    <row r="475" spans="1:7">
      <c r="A475" s="33">
        <v>42390</v>
      </c>
      <c r="B475" s="34">
        <v>419632</v>
      </c>
      <c r="C475" s="34">
        <v>422877</v>
      </c>
      <c r="D475" s="29" t="s">
        <v>5299</v>
      </c>
      <c r="E475" s="92" t="s">
        <v>1540</v>
      </c>
      <c r="F475" s="89">
        <v>422483</v>
      </c>
      <c r="G475" s="29">
        <v>68338000</v>
      </c>
    </row>
    <row r="476" spans="1:7">
      <c r="A476" s="33">
        <v>42391</v>
      </c>
      <c r="B476" s="34">
        <v>409751</v>
      </c>
      <c r="C476" s="29" t="s">
        <v>5300</v>
      </c>
      <c r="D476" s="34">
        <v>375282</v>
      </c>
      <c r="E476" s="92" t="s">
        <v>787</v>
      </c>
      <c r="F476" s="89">
        <v>422745</v>
      </c>
      <c r="G476" s="29">
        <v>91546600</v>
      </c>
    </row>
    <row r="477" spans="1:7">
      <c r="A477" s="33">
        <v>42392</v>
      </c>
      <c r="B477" s="34">
        <v>382434</v>
      </c>
      <c r="C477" s="34">
        <v>394543</v>
      </c>
      <c r="D477" s="34">
        <v>381981</v>
      </c>
      <c r="E477" s="92" t="s">
        <v>802</v>
      </c>
      <c r="F477" s="89">
        <v>422823</v>
      </c>
      <c r="G477" s="29">
        <v>56247400</v>
      </c>
    </row>
    <row r="478" spans="1:7">
      <c r="A478" s="33">
        <v>42393</v>
      </c>
      <c r="B478" s="34">
        <v>388102</v>
      </c>
      <c r="C478" s="34">
        <v>405485</v>
      </c>
      <c r="D478" s="29" t="s">
        <v>5301</v>
      </c>
      <c r="E478" s="92" t="s">
        <v>5302</v>
      </c>
      <c r="F478" s="89">
        <v>423413</v>
      </c>
      <c r="G478" s="29">
        <v>54824800</v>
      </c>
    </row>
    <row r="479" spans="1:7">
      <c r="A479" s="33">
        <v>42394</v>
      </c>
      <c r="B479" s="34">
        <v>402317</v>
      </c>
      <c r="C479" s="34">
        <v>402317</v>
      </c>
      <c r="D479" s="34">
        <v>388554</v>
      </c>
      <c r="E479" s="92" t="s">
        <v>653</v>
      </c>
      <c r="F479" s="89">
        <v>423561</v>
      </c>
      <c r="G479" s="29">
        <v>59062400</v>
      </c>
    </row>
    <row r="480" spans="1:7">
      <c r="A480" s="33">
        <v>42395</v>
      </c>
      <c r="B480" s="34">
        <v>392002</v>
      </c>
      <c r="C480" s="34">
        <v>397766</v>
      </c>
      <c r="D480" s="34">
        <v>390575</v>
      </c>
      <c r="E480" s="92" t="s">
        <v>1253</v>
      </c>
      <c r="F480" s="89">
        <v>423734</v>
      </c>
      <c r="G480" s="29">
        <v>58147000</v>
      </c>
    </row>
    <row r="481" spans="1:7">
      <c r="A481" s="33">
        <v>42396</v>
      </c>
      <c r="B481" s="34">
        <v>392444</v>
      </c>
      <c r="C481" s="34">
        <v>396843</v>
      </c>
      <c r="D481" s="34">
        <v>391782</v>
      </c>
      <c r="E481" s="92" t="s">
        <v>5303</v>
      </c>
      <c r="F481" s="89">
        <v>423989</v>
      </c>
      <c r="G481" s="29">
        <v>47424400</v>
      </c>
    </row>
    <row r="482" spans="1:7">
      <c r="A482" s="33">
        <v>42397</v>
      </c>
      <c r="B482" s="34">
        <v>395146</v>
      </c>
      <c r="C482" s="34">
        <v>395502</v>
      </c>
      <c r="D482" s="34">
        <v>379735</v>
      </c>
      <c r="E482" s="92" t="s">
        <v>595</v>
      </c>
      <c r="F482" s="89">
        <v>424231</v>
      </c>
      <c r="G482" s="29">
        <v>59247900</v>
      </c>
    </row>
    <row r="483" spans="1:7">
      <c r="A483" s="33">
        <v>42398</v>
      </c>
      <c r="B483" s="34">
        <v>380108</v>
      </c>
      <c r="C483" s="34">
        <v>384379</v>
      </c>
      <c r="D483" s="34">
        <v>365452</v>
      </c>
      <c r="E483" s="92" t="s">
        <v>4513</v>
      </c>
      <c r="F483" s="89">
        <v>424282</v>
      </c>
      <c r="G483" s="29">
        <v>86125296</v>
      </c>
    </row>
    <row r="484" spans="1:7">
      <c r="A484" s="33">
        <v>42399</v>
      </c>
      <c r="B484" s="34">
        <v>378865</v>
      </c>
      <c r="C484" s="34">
        <v>380917</v>
      </c>
      <c r="D484" s="34">
        <v>376491</v>
      </c>
      <c r="E484" s="92" t="s">
        <v>4497</v>
      </c>
      <c r="F484" s="89">
        <v>424544</v>
      </c>
      <c r="G484" s="29">
        <v>30284400</v>
      </c>
    </row>
    <row r="485" spans="1:7">
      <c r="A485" s="33">
        <v>42400</v>
      </c>
      <c r="B485" s="34">
        <v>378293</v>
      </c>
      <c r="C485" s="34">
        <v>380347</v>
      </c>
      <c r="D485" s="34">
        <v>367835</v>
      </c>
      <c r="E485" s="92" t="s">
        <v>522</v>
      </c>
      <c r="F485" s="89">
        <v>424955</v>
      </c>
      <c r="G485" s="29">
        <v>37894300</v>
      </c>
    </row>
    <row r="486" spans="1:7">
      <c r="A486" s="33">
        <v>42401</v>
      </c>
      <c r="B486" s="29" t="s">
        <v>5304</v>
      </c>
      <c r="C486" s="34">
        <v>378072</v>
      </c>
      <c r="D486" s="34">
        <v>367957</v>
      </c>
      <c r="E486" s="92" t="s">
        <v>4505</v>
      </c>
      <c r="F486" s="89">
        <v>426765</v>
      </c>
      <c r="G486" s="29">
        <v>51656700</v>
      </c>
    </row>
    <row r="487" spans="1:7">
      <c r="A487" s="33">
        <v>42402</v>
      </c>
      <c r="B487" s="29" t="s">
        <v>5305</v>
      </c>
      <c r="C487" s="34">
        <v>375883</v>
      </c>
      <c r="D487" s="29" t="s">
        <v>5305</v>
      </c>
      <c r="E487" s="92" t="s">
        <v>4493</v>
      </c>
      <c r="F487" s="89">
        <v>427399</v>
      </c>
      <c r="G487" s="29">
        <v>40378700</v>
      </c>
    </row>
    <row r="488" spans="1:7">
      <c r="A488" s="33">
        <v>42403</v>
      </c>
      <c r="B488" s="34">
        <v>374646</v>
      </c>
      <c r="C488" s="29" t="s">
        <v>5306</v>
      </c>
      <c r="D488" s="34">
        <v>368045</v>
      </c>
      <c r="E488" s="92" t="s">
        <v>4489</v>
      </c>
      <c r="F488" s="89">
        <v>428591</v>
      </c>
      <c r="G488" s="29">
        <v>45933400</v>
      </c>
    </row>
    <row r="489" spans="1:7">
      <c r="A489" s="33">
        <v>42404</v>
      </c>
      <c r="B489" s="34">
        <v>370174</v>
      </c>
      <c r="C489" s="34">
        <v>391608</v>
      </c>
      <c r="D489" s="34">
        <v>369993</v>
      </c>
      <c r="E489" s="92" t="s">
        <v>4509</v>
      </c>
      <c r="F489" s="89">
        <v>429105</v>
      </c>
      <c r="G489" s="29">
        <v>69285504</v>
      </c>
    </row>
    <row r="490" spans="1:7">
      <c r="A490" s="33">
        <v>42405</v>
      </c>
      <c r="B490" s="34">
        <v>388898</v>
      </c>
      <c r="C490" s="34">
        <v>391094</v>
      </c>
      <c r="D490" s="34">
        <v>385572</v>
      </c>
      <c r="E490" s="92" t="s">
        <v>759</v>
      </c>
      <c r="F490" s="89">
        <v>429713</v>
      </c>
      <c r="G490" s="29">
        <v>43825000</v>
      </c>
    </row>
    <row r="491" spans="1:7">
      <c r="A491" s="33">
        <v>42406</v>
      </c>
      <c r="B491" s="34">
        <v>386589</v>
      </c>
      <c r="C491" s="34">
        <v>386631</v>
      </c>
      <c r="D491" s="34">
        <v>372387</v>
      </c>
      <c r="E491" s="92" t="s">
        <v>657</v>
      </c>
      <c r="F491" s="89">
        <v>430011</v>
      </c>
      <c r="G491" s="29">
        <v>49249300</v>
      </c>
    </row>
    <row r="492" spans="1:7">
      <c r="A492" s="33">
        <v>42407</v>
      </c>
      <c r="B492" s="34">
        <v>376514</v>
      </c>
      <c r="C492" s="34">
        <v>380871</v>
      </c>
      <c r="D492" s="34">
        <v>374903</v>
      </c>
      <c r="E492" s="92" t="s">
        <v>526</v>
      </c>
      <c r="F492" s="89">
        <v>430306</v>
      </c>
      <c r="G492" s="29">
        <v>37076300</v>
      </c>
    </row>
    <row r="493" spans="1:7">
      <c r="A493" s="33">
        <v>42408</v>
      </c>
      <c r="B493" s="34">
        <v>376757</v>
      </c>
      <c r="C493" s="34">
        <v>379879</v>
      </c>
      <c r="D493" s="34">
        <v>373334</v>
      </c>
      <c r="E493" s="92" t="s">
        <v>1361</v>
      </c>
      <c r="F493" s="89">
        <v>430567</v>
      </c>
      <c r="G493" s="29">
        <v>47671100</v>
      </c>
    </row>
    <row r="494" spans="1:7">
      <c r="A494" s="33">
        <v>42409</v>
      </c>
      <c r="B494" s="34">
        <v>373423</v>
      </c>
      <c r="C494" s="34">
        <v>377246</v>
      </c>
      <c r="D494" s="34">
        <v>372898</v>
      </c>
      <c r="E494" s="92" t="s">
        <v>591</v>
      </c>
      <c r="F494" s="89">
        <v>430572</v>
      </c>
      <c r="G494" s="29">
        <v>55318500</v>
      </c>
    </row>
    <row r="495" spans="1:7">
      <c r="A495" s="33">
        <v>42410</v>
      </c>
      <c r="B495" s="34">
        <v>376146</v>
      </c>
      <c r="C495" s="34">
        <v>385483</v>
      </c>
      <c r="D495" s="34">
        <v>375783</v>
      </c>
      <c r="E495" s="92" t="s">
        <v>763</v>
      </c>
      <c r="F495" s="89">
        <v>432152</v>
      </c>
      <c r="G495" s="29">
        <v>85130896</v>
      </c>
    </row>
    <row r="496" spans="1:7">
      <c r="A496" s="33">
        <v>42411</v>
      </c>
      <c r="B496" s="34">
        <v>382114</v>
      </c>
      <c r="C496" s="29" t="s">
        <v>5307</v>
      </c>
      <c r="D496" s="34">
        <v>376399</v>
      </c>
      <c r="E496" s="92" t="s">
        <v>1636</v>
      </c>
      <c r="F496" s="89">
        <v>432371</v>
      </c>
      <c r="G496" s="29">
        <v>74375600</v>
      </c>
    </row>
    <row r="497" spans="1:7">
      <c r="A497" s="33">
        <v>42412</v>
      </c>
      <c r="B497" s="34">
        <v>379686</v>
      </c>
      <c r="C497" s="34">
        <v>384954</v>
      </c>
      <c r="D497" s="29" t="s">
        <v>5308</v>
      </c>
      <c r="E497" s="92" t="s">
        <v>5309</v>
      </c>
      <c r="F497" s="89">
        <v>432519</v>
      </c>
      <c r="G497" s="29">
        <v>67042800</v>
      </c>
    </row>
    <row r="498" spans="1:7">
      <c r="A498" s="33">
        <v>42413</v>
      </c>
      <c r="B498" s="34">
        <v>384641</v>
      </c>
      <c r="C498" s="29" t="s">
        <v>5310</v>
      </c>
      <c r="D498" s="34">
        <v>384641</v>
      </c>
      <c r="E498" s="92" t="s">
        <v>1632</v>
      </c>
      <c r="F498" s="89">
        <v>432983</v>
      </c>
      <c r="G498" s="29">
        <v>61911700</v>
      </c>
    </row>
    <row r="499" spans="1:7">
      <c r="A499" s="33">
        <v>42414</v>
      </c>
      <c r="B499" s="34">
        <v>392932</v>
      </c>
      <c r="C499" s="29" t="s">
        <v>5311</v>
      </c>
      <c r="D499" s="34">
        <v>392932</v>
      </c>
      <c r="E499" s="92" t="s">
        <v>1572</v>
      </c>
      <c r="F499" s="89">
        <v>433091</v>
      </c>
      <c r="G499" s="29">
        <v>74469800</v>
      </c>
    </row>
    <row r="500" spans="1:7">
      <c r="A500" s="33">
        <v>42415</v>
      </c>
      <c r="B500" s="34">
        <v>407568</v>
      </c>
      <c r="C500" s="34">
        <v>410381</v>
      </c>
      <c r="D500" s="34">
        <v>397749</v>
      </c>
      <c r="E500" s="92" t="s">
        <v>1644</v>
      </c>
      <c r="F500" s="89">
        <v>433438</v>
      </c>
      <c r="G500" s="29">
        <v>74070496</v>
      </c>
    </row>
    <row r="501" spans="1:7">
      <c r="A501" s="33">
        <v>42416</v>
      </c>
      <c r="B501" s="34">
        <v>401432</v>
      </c>
      <c r="C501" s="34">
        <v>408945</v>
      </c>
      <c r="D501" s="34">
        <v>401432</v>
      </c>
      <c r="E501" s="92" t="s">
        <v>1568</v>
      </c>
      <c r="F501" s="89">
        <v>433504</v>
      </c>
      <c r="G501" s="29">
        <v>73093104</v>
      </c>
    </row>
    <row r="502" spans="1:7">
      <c r="A502" s="33">
        <v>42417</v>
      </c>
      <c r="B502" s="34">
        <v>407656</v>
      </c>
      <c r="C502" s="34">
        <v>421167</v>
      </c>
      <c r="D502" s="34">
        <v>406784</v>
      </c>
      <c r="E502" s="92" t="s">
        <v>576</v>
      </c>
      <c r="F502" s="89">
        <v>433755</v>
      </c>
      <c r="G502" s="29">
        <v>83193600</v>
      </c>
    </row>
    <row r="503" spans="1:7">
      <c r="A503" s="33">
        <v>42418</v>
      </c>
      <c r="B503" s="34">
        <v>416572</v>
      </c>
      <c r="C503" s="34">
        <v>425996</v>
      </c>
      <c r="D503" s="34">
        <v>415638</v>
      </c>
      <c r="E503" s="92" t="s">
        <v>1576</v>
      </c>
      <c r="F503" s="89">
        <v>434334</v>
      </c>
      <c r="G503" s="29">
        <v>76752600</v>
      </c>
    </row>
    <row r="504" spans="1:7">
      <c r="A504" s="33">
        <v>42419</v>
      </c>
      <c r="B504" s="29" t="s">
        <v>5312</v>
      </c>
      <c r="C504" s="34">
        <v>423104</v>
      </c>
      <c r="D504" s="34">
        <v>417604</v>
      </c>
      <c r="E504" s="92" t="s">
        <v>1640</v>
      </c>
      <c r="F504" s="89">
        <v>434997</v>
      </c>
      <c r="G504" s="29">
        <v>55711300</v>
      </c>
    </row>
    <row r="505" spans="1:7">
      <c r="A505" s="33">
        <v>42420</v>
      </c>
      <c r="B505" s="34">
        <v>421601</v>
      </c>
      <c r="C505" s="34">
        <v>441984</v>
      </c>
      <c r="D505" s="34">
        <v>421601</v>
      </c>
      <c r="E505" s="92" t="s">
        <v>5313</v>
      </c>
      <c r="F505" s="89">
        <v>435123</v>
      </c>
      <c r="G505" s="29">
        <v>93992096</v>
      </c>
    </row>
    <row r="506" spans="1:7">
      <c r="A506" s="33">
        <v>42421</v>
      </c>
      <c r="B506" s="34">
        <v>437773</v>
      </c>
      <c r="C506" s="34">
        <v>448046</v>
      </c>
      <c r="D506" s="34">
        <v>429077</v>
      </c>
      <c r="E506" s="92" t="s">
        <v>1592</v>
      </c>
      <c r="F506" s="89">
        <v>435509</v>
      </c>
      <c r="G506" s="29">
        <v>89820704</v>
      </c>
    </row>
    <row r="507" spans="1:7">
      <c r="A507" s="33">
        <v>42422</v>
      </c>
      <c r="B507" s="34">
        <v>438989</v>
      </c>
      <c r="C507" s="34">
        <v>439045</v>
      </c>
      <c r="D507" s="34">
        <v>432917</v>
      </c>
      <c r="E507" s="92" t="s">
        <v>767</v>
      </c>
      <c r="F507" s="89">
        <v>435791</v>
      </c>
      <c r="G507" s="29">
        <v>85385200</v>
      </c>
    </row>
    <row r="508" spans="1:7">
      <c r="A508" s="33">
        <v>42423</v>
      </c>
      <c r="B508" s="34">
        <v>438255</v>
      </c>
      <c r="C508" s="34">
        <v>439858</v>
      </c>
      <c r="D508" s="34">
        <v>417821</v>
      </c>
      <c r="E508" s="92" t="s">
        <v>1245</v>
      </c>
      <c r="F508" s="89">
        <v>436572</v>
      </c>
      <c r="G508" s="29">
        <v>85244896</v>
      </c>
    </row>
    <row r="509" spans="1:7">
      <c r="A509" s="33">
        <v>42424</v>
      </c>
      <c r="B509" s="34">
        <v>420956</v>
      </c>
      <c r="C509" s="29" t="s">
        <v>5314</v>
      </c>
      <c r="D509" s="34">
        <v>413907</v>
      </c>
      <c r="E509" s="92" t="s">
        <v>5315</v>
      </c>
      <c r="F509" s="89">
        <v>437164</v>
      </c>
      <c r="G509" s="29">
        <v>67743696</v>
      </c>
    </row>
    <row r="510" spans="1:7">
      <c r="A510" s="33">
        <v>42425</v>
      </c>
      <c r="B510" s="34">
        <v>425037</v>
      </c>
      <c r="C510" s="34">
        <v>427719</v>
      </c>
      <c r="D510" s="34">
        <v>420415</v>
      </c>
      <c r="E510" s="92" t="s">
        <v>1249</v>
      </c>
      <c r="F510" s="89">
        <v>437697</v>
      </c>
      <c r="G510" s="29">
        <v>70798000</v>
      </c>
    </row>
    <row r="511" spans="1:7">
      <c r="A511" s="33">
        <v>42426</v>
      </c>
      <c r="B511" s="34">
        <v>424629</v>
      </c>
      <c r="C511" s="34">
        <v>432152</v>
      </c>
      <c r="D511" s="29" t="s">
        <v>5316</v>
      </c>
      <c r="E511" s="92" t="s">
        <v>838</v>
      </c>
      <c r="F511" s="89">
        <v>437748</v>
      </c>
      <c r="G511" s="29">
        <v>61486000</v>
      </c>
    </row>
    <row r="512" spans="1:7">
      <c r="A512" s="33">
        <v>42427</v>
      </c>
      <c r="B512" s="34">
        <v>432839</v>
      </c>
      <c r="C512" s="34">
        <v>434231</v>
      </c>
      <c r="D512" s="34">
        <v>428103</v>
      </c>
      <c r="E512" s="92" t="s">
        <v>4485</v>
      </c>
      <c r="F512" s="89">
        <v>438639</v>
      </c>
      <c r="G512" s="29">
        <v>41893600</v>
      </c>
    </row>
    <row r="513" spans="1:7">
      <c r="A513" s="33">
        <v>42428</v>
      </c>
      <c r="B513" s="34">
        <v>432571</v>
      </c>
      <c r="C513" s="34">
        <v>435683</v>
      </c>
      <c r="D513" s="29" t="s">
        <v>5317</v>
      </c>
      <c r="E513" s="92" t="s">
        <v>834</v>
      </c>
      <c r="F513" s="89">
        <v>438715</v>
      </c>
      <c r="G513" s="29">
        <v>53033400</v>
      </c>
    </row>
    <row r="514" spans="1:7">
      <c r="A514" s="33">
        <v>42429</v>
      </c>
      <c r="B514" s="34">
        <v>433438</v>
      </c>
      <c r="C514" s="34">
        <v>441507</v>
      </c>
      <c r="D514" s="34">
        <v>431693</v>
      </c>
      <c r="E514" s="92" t="s">
        <v>549</v>
      </c>
      <c r="F514" s="89">
        <v>438798</v>
      </c>
      <c r="G514" s="29">
        <v>60694700</v>
      </c>
    </row>
    <row r="515" spans="1:7">
      <c r="A515" s="33">
        <v>42430</v>
      </c>
      <c r="B515" s="34">
        <v>437917</v>
      </c>
      <c r="C515" s="34">
        <v>439653</v>
      </c>
      <c r="D515" s="34">
        <v>432319</v>
      </c>
      <c r="E515" s="92" t="s">
        <v>568</v>
      </c>
      <c r="F515" s="89">
        <v>439323</v>
      </c>
      <c r="G515" s="29">
        <v>74895800</v>
      </c>
    </row>
    <row r="516" spans="1:7">
      <c r="A516" s="33">
        <v>42431</v>
      </c>
      <c r="B516" s="34">
        <v>435131</v>
      </c>
      <c r="C516" s="34">
        <v>435917</v>
      </c>
      <c r="D516" s="34">
        <v>423989</v>
      </c>
      <c r="E516" s="92" t="s">
        <v>1564</v>
      </c>
      <c r="F516" s="89">
        <v>441389</v>
      </c>
      <c r="G516" s="29">
        <v>74955296</v>
      </c>
    </row>
    <row r="517" spans="1:7">
      <c r="A517" s="33">
        <v>42432</v>
      </c>
      <c r="B517" s="34">
        <v>423912</v>
      </c>
      <c r="C517" s="34">
        <v>425373</v>
      </c>
      <c r="D517" s="34">
        <v>419411</v>
      </c>
      <c r="E517" s="92" t="s">
        <v>1588</v>
      </c>
      <c r="F517" s="89">
        <v>442401</v>
      </c>
      <c r="G517" s="35">
        <v>100000000</v>
      </c>
    </row>
    <row r="518" spans="1:7">
      <c r="A518" s="33">
        <v>42433</v>
      </c>
      <c r="B518" s="34">
        <v>421836</v>
      </c>
      <c r="C518" s="34">
        <v>425178</v>
      </c>
      <c r="D518" s="34">
        <v>410939</v>
      </c>
      <c r="E518" s="92" t="s">
        <v>1193</v>
      </c>
      <c r="F518" s="89">
        <v>442676</v>
      </c>
      <c r="G518" s="29">
        <v>90856096</v>
      </c>
    </row>
    <row r="519" spans="1:7">
      <c r="A519" s="33">
        <v>42434</v>
      </c>
      <c r="B519" s="34">
        <v>410781</v>
      </c>
      <c r="C519" s="34">
        <v>411257</v>
      </c>
      <c r="D519" s="34">
        <v>394035</v>
      </c>
      <c r="E519" s="92" t="s">
        <v>1241</v>
      </c>
      <c r="F519" s="89">
        <v>442685</v>
      </c>
      <c r="G519" s="29" t="s">
        <v>5318</v>
      </c>
    </row>
    <row r="520" spans="1:7">
      <c r="A520" s="33">
        <v>42435</v>
      </c>
      <c r="B520" s="34">
        <v>400525</v>
      </c>
      <c r="C520" s="34">
        <v>411907</v>
      </c>
      <c r="D520" s="34">
        <v>395778</v>
      </c>
      <c r="E520" s="92" t="s">
        <v>1201</v>
      </c>
      <c r="F520" s="89">
        <v>443188</v>
      </c>
      <c r="G520" s="29">
        <v>91212496</v>
      </c>
    </row>
    <row r="521" spans="1:7">
      <c r="A521" s="33">
        <v>42436</v>
      </c>
      <c r="B521" s="34">
        <v>407757</v>
      </c>
      <c r="C521" s="34">
        <v>415917</v>
      </c>
      <c r="D521" s="34">
        <v>406309</v>
      </c>
      <c r="E521" s="92" t="s">
        <v>1560</v>
      </c>
      <c r="F521" s="89">
        <v>444155</v>
      </c>
      <c r="G521" s="29">
        <v>85762400</v>
      </c>
    </row>
    <row r="522" spans="1:7">
      <c r="A522" s="33">
        <v>42437</v>
      </c>
      <c r="B522" s="34">
        <v>414465</v>
      </c>
      <c r="C522" s="34">
        <v>416243</v>
      </c>
      <c r="D522" s="34">
        <v>411094</v>
      </c>
      <c r="E522" s="92" t="s">
        <v>518</v>
      </c>
      <c r="F522" s="89">
        <v>444182</v>
      </c>
      <c r="G522" s="29">
        <v>70311696</v>
      </c>
    </row>
    <row r="523" spans="1:7">
      <c r="A523" s="33">
        <v>42438</v>
      </c>
      <c r="B523" s="34">
        <v>413894</v>
      </c>
      <c r="C523" s="34">
        <v>416032</v>
      </c>
      <c r="D523" s="34">
        <v>411606</v>
      </c>
      <c r="E523" s="92" t="s">
        <v>5319</v>
      </c>
      <c r="F523" s="89">
        <v>444669</v>
      </c>
      <c r="G523" s="29">
        <v>70012304</v>
      </c>
    </row>
    <row r="524" spans="1:7">
      <c r="A524" s="33">
        <v>42439</v>
      </c>
      <c r="B524" s="34">
        <v>414744</v>
      </c>
      <c r="C524" s="34">
        <v>417512</v>
      </c>
      <c r="D524" s="34">
        <v>413251</v>
      </c>
      <c r="E524" s="92" t="s">
        <v>1357</v>
      </c>
      <c r="F524" s="89">
        <v>444687</v>
      </c>
      <c r="G524" s="29">
        <v>81022896</v>
      </c>
    </row>
    <row r="525" spans="1:7">
      <c r="A525" s="33">
        <v>42440</v>
      </c>
      <c r="B525" s="34">
        <v>417238</v>
      </c>
      <c r="C525" s="34">
        <v>423926</v>
      </c>
      <c r="D525" s="34">
        <v>417013</v>
      </c>
      <c r="E525" s="92" t="s">
        <v>1217</v>
      </c>
      <c r="F525" s="89">
        <v>445737</v>
      </c>
      <c r="G525" s="29">
        <v>73969696</v>
      </c>
    </row>
    <row r="526" spans="1:7">
      <c r="A526" s="33">
        <v>42441</v>
      </c>
      <c r="B526" s="34">
        <v>421605</v>
      </c>
      <c r="C526" s="34">
        <v>421795</v>
      </c>
      <c r="D526" s="34">
        <v>410094</v>
      </c>
      <c r="E526" s="92" t="s">
        <v>771</v>
      </c>
      <c r="F526" s="89">
        <v>445981</v>
      </c>
      <c r="G526" s="29">
        <v>92712896</v>
      </c>
    </row>
    <row r="527" spans="1:7">
      <c r="A527" s="33">
        <v>42442</v>
      </c>
      <c r="B527" s="34">
        <v>411648</v>
      </c>
      <c r="C527" s="34">
        <v>416604</v>
      </c>
      <c r="D527" s="34">
        <v>411642</v>
      </c>
      <c r="E527" s="92" t="s">
        <v>1209</v>
      </c>
      <c r="F527" s="89">
        <v>446722</v>
      </c>
      <c r="G527" s="29">
        <v>74322800</v>
      </c>
    </row>
    <row r="528" spans="1:7">
      <c r="A528" s="33">
        <v>42443</v>
      </c>
      <c r="B528" s="34">
        <v>414201</v>
      </c>
      <c r="C528" s="34">
        <v>416684</v>
      </c>
      <c r="D528" s="34">
        <v>414201</v>
      </c>
      <c r="E528" s="92" t="s">
        <v>1624</v>
      </c>
      <c r="F528" s="89">
        <v>447611</v>
      </c>
      <c r="G528" s="29">
        <v>95259400</v>
      </c>
    </row>
    <row r="529" spans="1:7">
      <c r="A529" s="33">
        <v>42444</v>
      </c>
      <c r="B529" s="34">
        <v>416388</v>
      </c>
      <c r="C529" s="34">
        <v>418131</v>
      </c>
      <c r="D529" s="34">
        <v>414985</v>
      </c>
      <c r="E529" s="92" t="s">
        <v>584</v>
      </c>
      <c r="F529" s="89">
        <v>447976</v>
      </c>
      <c r="G529" s="29">
        <v>66781700</v>
      </c>
    </row>
    <row r="530" spans="1:7">
      <c r="A530" s="33">
        <v>42445</v>
      </c>
      <c r="B530" s="34">
        <v>416888</v>
      </c>
      <c r="C530" s="34">
        <v>417686</v>
      </c>
      <c r="D530" s="34">
        <v>415912</v>
      </c>
      <c r="E530" s="92" t="s">
        <v>5320</v>
      </c>
      <c r="F530" s="89">
        <v>447991</v>
      </c>
      <c r="G530" s="29">
        <v>65185800</v>
      </c>
    </row>
    <row r="531" spans="1:7">
      <c r="A531" s="33">
        <v>42446</v>
      </c>
      <c r="B531" s="34">
        <v>417889</v>
      </c>
      <c r="C531" s="34">
        <v>420997</v>
      </c>
      <c r="D531" s="34">
        <v>417889</v>
      </c>
      <c r="E531" s="92" t="s">
        <v>588</v>
      </c>
      <c r="F531" s="89">
        <v>448318</v>
      </c>
      <c r="G531" s="29">
        <v>83528600</v>
      </c>
    </row>
    <row r="532" spans="1:7">
      <c r="A532" s="33">
        <v>42447</v>
      </c>
      <c r="B532" s="34">
        <v>420547</v>
      </c>
      <c r="C532" s="34">
        <v>420547</v>
      </c>
      <c r="D532" s="34">
        <v>406137</v>
      </c>
      <c r="E532" s="92" t="s">
        <v>1197</v>
      </c>
      <c r="F532" s="89">
        <v>448428</v>
      </c>
      <c r="G532" s="29" t="s">
        <v>5321</v>
      </c>
    </row>
    <row r="533" spans="1:7">
      <c r="A533" s="33">
        <v>42448</v>
      </c>
      <c r="B533" s="34">
        <v>409265</v>
      </c>
      <c r="C533" s="34">
        <v>410984</v>
      </c>
      <c r="D533" s="29" t="s">
        <v>5311</v>
      </c>
      <c r="E533" s="92" t="s">
        <v>1221</v>
      </c>
      <c r="F533" s="89">
        <v>449011</v>
      </c>
      <c r="G533" s="29">
        <v>58423000</v>
      </c>
    </row>
    <row r="534" spans="1:7">
      <c r="A534" s="33">
        <v>42449</v>
      </c>
      <c r="B534" s="34">
        <v>410401</v>
      </c>
      <c r="C534" s="34">
        <v>414625</v>
      </c>
      <c r="D534" s="34">
        <v>410401</v>
      </c>
      <c r="E534" s="92" t="s">
        <v>1600</v>
      </c>
      <c r="F534" s="89">
        <v>449425</v>
      </c>
      <c r="G534" s="29">
        <v>45947900</v>
      </c>
    </row>
    <row r="535" spans="1:7">
      <c r="A535" s="33">
        <v>42450</v>
      </c>
      <c r="B535" s="34">
        <v>413418</v>
      </c>
      <c r="C535" s="34">
        <v>413418</v>
      </c>
      <c r="D535" s="34">
        <v>410381</v>
      </c>
      <c r="E535" s="92" t="s">
        <v>1237</v>
      </c>
      <c r="F535" s="89">
        <v>449599</v>
      </c>
      <c r="G535" s="29">
        <v>61655400</v>
      </c>
    </row>
    <row r="536" spans="1:7">
      <c r="A536" s="33">
        <v>42451</v>
      </c>
      <c r="B536" s="34">
        <v>413132</v>
      </c>
      <c r="C536" s="34">
        <v>418375</v>
      </c>
      <c r="D536" s="34">
        <v>412531</v>
      </c>
      <c r="E536" s="92" t="s">
        <v>1225</v>
      </c>
      <c r="F536" s="89">
        <v>450282</v>
      </c>
      <c r="G536" s="29">
        <v>66813300</v>
      </c>
    </row>
    <row r="537" spans="1:7">
      <c r="A537" s="33">
        <v>42452</v>
      </c>
      <c r="B537" s="34">
        <v>418161</v>
      </c>
      <c r="C537" s="34">
        <v>419268</v>
      </c>
      <c r="D537" s="34">
        <v>417364</v>
      </c>
      <c r="E537" s="92" t="s">
        <v>545</v>
      </c>
      <c r="F537" s="89">
        <v>450304</v>
      </c>
      <c r="G537" s="29">
        <v>61444200</v>
      </c>
    </row>
    <row r="538" spans="1:7">
      <c r="A538" s="33">
        <v>42453</v>
      </c>
      <c r="B538" s="34">
        <v>418424</v>
      </c>
      <c r="C538" s="29" t="s">
        <v>5322</v>
      </c>
      <c r="D538" s="34">
        <v>415486</v>
      </c>
      <c r="E538" s="92" t="s">
        <v>510</v>
      </c>
      <c r="F538" s="89">
        <v>450895</v>
      </c>
      <c r="G538" s="29">
        <v>68346704</v>
      </c>
    </row>
    <row r="539" spans="1:7">
      <c r="A539" s="33">
        <v>42454</v>
      </c>
      <c r="B539" s="34">
        <v>416508</v>
      </c>
      <c r="C539" s="29" t="s">
        <v>5323</v>
      </c>
      <c r="D539" s="34">
        <v>415558</v>
      </c>
      <c r="E539" s="92" t="s">
        <v>5324</v>
      </c>
      <c r="F539" s="89">
        <v>451875</v>
      </c>
      <c r="G539" s="29">
        <v>52560000</v>
      </c>
    </row>
    <row r="540" spans="1:7">
      <c r="A540" s="33">
        <v>42455</v>
      </c>
      <c r="B540" s="34">
        <v>417365</v>
      </c>
      <c r="C540" s="34">
        <v>418987</v>
      </c>
      <c r="D540" s="34">
        <v>416259</v>
      </c>
      <c r="E540" s="92" t="s">
        <v>1628</v>
      </c>
      <c r="F540" s="89">
        <v>451938</v>
      </c>
      <c r="G540" s="29">
        <v>44650400</v>
      </c>
    </row>
    <row r="541" spans="1:7">
      <c r="A541" s="33">
        <v>42456</v>
      </c>
      <c r="B541" s="29" t="s">
        <v>5325</v>
      </c>
      <c r="C541" s="34">
        <v>428797</v>
      </c>
      <c r="D541" s="34">
        <v>417711</v>
      </c>
      <c r="E541" s="92" t="s">
        <v>580</v>
      </c>
      <c r="F541" s="89">
        <v>452728</v>
      </c>
      <c r="G541" s="29">
        <v>71229400</v>
      </c>
    </row>
    <row r="542" spans="1:7">
      <c r="A542" s="33">
        <v>42457</v>
      </c>
      <c r="B542" s="34">
        <v>426548</v>
      </c>
      <c r="C542" s="34">
        <v>426857</v>
      </c>
      <c r="D542" s="34">
        <v>423293</v>
      </c>
      <c r="E542" s="92" t="s">
        <v>572</v>
      </c>
      <c r="F542" s="89">
        <v>453384</v>
      </c>
      <c r="G542" s="29">
        <v>68522800</v>
      </c>
    </row>
    <row r="543" spans="1:7">
      <c r="A543" s="33">
        <v>42458</v>
      </c>
      <c r="B543" s="34">
        <v>424304</v>
      </c>
      <c r="C543" s="34">
        <v>426203</v>
      </c>
      <c r="D543" s="34">
        <v>412681</v>
      </c>
      <c r="E543" s="92" t="s">
        <v>4481</v>
      </c>
      <c r="F543" s="89">
        <v>453783</v>
      </c>
      <c r="G543" s="29">
        <v>75411504</v>
      </c>
    </row>
    <row r="544" spans="1:7">
      <c r="A544" s="33">
        <v>42459</v>
      </c>
      <c r="B544" s="34">
        <v>416834</v>
      </c>
      <c r="C544" s="34">
        <v>416834</v>
      </c>
      <c r="D544" s="34">
        <v>412496</v>
      </c>
      <c r="E544" s="92" t="s">
        <v>1293</v>
      </c>
      <c r="F544" s="89">
        <v>454163</v>
      </c>
      <c r="G544" s="29">
        <v>66034100</v>
      </c>
    </row>
    <row r="545" spans="1:7">
      <c r="A545" s="33">
        <v>42460</v>
      </c>
      <c r="B545" s="34">
        <v>415257</v>
      </c>
      <c r="C545" s="34">
        <v>418369</v>
      </c>
      <c r="D545" s="34">
        <v>415257</v>
      </c>
      <c r="E545" s="92" t="s">
        <v>5326</v>
      </c>
      <c r="F545" s="89">
        <v>454619</v>
      </c>
      <c r="G545" s="29">
        <v>60215200</v>
      </c>
    </row>
    <row r="546" spans="1:7">
      <c r="A546" s="33">
        <v>42461</v>
      </c>
      <c r="B546" s="29" t="s">
        <v>5327</v>
      </c>
      <c r="C546" s="34">
        <v>418173</v>
      </c>
      <c r="D546" s="34">
        <v>415831</v>
      </c>
      <c r="E546" s="92" t="s">
        <v>1353</v>
      </c>
      <c r="F546" s="89">
        <v>454766</v>
      </c>
      <c r="G546" s="29">
        <v>51235700</v>
      </c>
    </row>
    <row r="547" spans="1:7">
      <c r="A547" s="33">
        <v>42462</v>
      </c>
      <c r="B547" s="34">
        <v>418422</v>
      </c>
      <c r="C547" s="34">
        <v>422081</v>
      </c>
      <c r="D547" s="34">
        <v>418422</v>
      </c>
      <c r="E547" s="92" t="s">
        <v>1281</v>
      </c>
      <c r="F547" s="89">
        <v>454934</v>
      </c>
      <c r="G547" s="29">
        <v>45681200</v>
      </c>
    </row>
    <row r="548" spans="1:7">
      <c r="A548" s="33">
        <v>42463</v>
      </c>
      <c r="B548" s="34">
        <v>421173</v>
      </c>
      <c r="C548" s="29" t="s">
        <v>5328</v>
      </c>
      <c r="D548" s="34">
        <v>419697</v>
      </c>
      <c r="E548" s="92" t="s">
        <v>1345</v>
      </c>
      <c r="F548" s="89">
        <v>454985</v>
      </c>
      <c r="G548" s="29">
        <v>38053700</v>
      </c>
    </row>
    <row r="549" spans="1:7">
      <c r="A549" s="33">
        <v>42464</v>
      </c>
      <c r="B549" s="34">
        <v>421299</v>
      </c>
      <c r="C549" s="34">
        <v>422343</v>
      </c>
      <c r="D549" s="34">
        <v>419601</v>
      </c>
      <c r="E549" s="92" t="s">
        <v>514</v>
      </c>
      <c r="F549" s="89">
        <v>455097</v>
      </c>
      <c r="G549" s="29" t="s">
        <v>4778</v>
      </c>
    </row>
    <row r="550" spans="1:7">
      <c r="A550" s="33">
        <v>42465</v>
      </c>
      <c r="B550" s="34">
        <v>421017</v>
      </c>
      <c r="C550" s="34">
        <v>424257</v>
      </c>
      <c r="D550" s="34">
        <v>420614</v>
      </c>
      <c r="E550" s="92" t="s">
        <v>503</v>
      </c>
      <c r="F550" s="89">
        <v>455671</v>
      </c>
      <c r="G550" s="29">
        <v>60718000</v>
      </c>
    </row>
    <row r="551" spans="1:7">
      <c r="A551" s="33">
        <v>42466</v>
      </c>
      <c r="B551" s="34">
        <v>424284</v>
      </c>
      <c r="C551" s="34">
        <v>424527</v>
      </c>
      <c r="D551" s="34">
        <v>422729</v>
      </c>
      <c r="E551" s="92" t="s">
        <v>5329</v>
      </c>
      <c r="F551" s="89">
        <v>456078</v>
      </c>
      <c r="G551" s="29">
        <v>59091000</v>
      </c>
    </row>
    <row r="552" spans="1:7">
      <c r="A552" s="33">
        <v>42467</v>
      </c>
      <c r="B552" s="29" t="s">
        <v>5330</v>
      </c>
      <c r="C552" s="34">
        <v>423657</v>
      </c>
      <c r="D552" s="34">
        <v>420518</v>
      </c>
      <c r="E552" s="92" t="s">
        <v>1169</v>
      </c>
      <c r="F552" s="89">
        <v>457568</v>
      </c>
      <c r="G552" s="29">
        <v>57858600</v>
      </c>
    </row>
    <row r="553" spans="1:7">
      <c r="A553" s="33">
        <v>42468</v>
      </c>
      <c r="B553" s="34">
        <v>422907</v>
      </c>
      <c r="C553" s="34">
        <v>425361</v>
      </c>
      <c r="D553" s="34">
        <v>419635</v>
      </c>
      <c r="E553" s="92" t="s">
        <v>1285</v>
      </c>
      <c r="F553" s="89">
        <v>458048</v>
      </c>
      <c r="G553" s="29">
        <v>63454700</v>
      </c>
    </row>
    <row r="554" spans="1:7">
      <c r="A554" s="33">
        <v>42469</v>
      </c>
      <c r="B554" s="34">
        <v>420811</v>
      </c>
      <c r="C554" s="34">
        <v>420891</v>
      </c>
      <c r="D554" s="34">
        <v>416515</v>
      </c>
      <c r="E554" s="92" t="s">
        <v>5331</v>
      </c>
      <c r="F554" s="89">
        <v>458536</v>
      </c>
      <c r="G554" s="29">
        <v>49792700</v>
      </c>
    </row>
    <row r="555" spans="1:7">
      <c r="A555" s="33">
        <v>42470</v>
      </c>
      <c r="B555" s="34">
        <v>419592</v>
      </c>
      <c r="C555" s="34">
        <v>422435</v>
      </c>
      <c r="D555" s="34">
        <v>419257</v>
      </c>
      <c r="E555" s="92" t="s">
        <v>5332</v>
      </c>
      <c r="F555" s="89">
        <v>458548</v>
      </c>
      <c r="G555" s="29">
        <v>73478600</v>
      </c>
    </row>
    <row r="556" spans="1:7">
      <c r="A556" s="33">
        <v>42471</v>
      </c>
      <c r="B556" s="34">
        <v>421872</v>
      </c>
      <c r="C556" s="34">
        <v>422739</v>
      </c>
      <c r="D556" s="34">
        <v>420533</v>
      </c>
      <c r="E556" s="92" t="s">
        <v>1349</v>
      </c>
      <c r="F556" s="89">
        <v>458555</v>
      </c>
      <c r="G556" s="29">
        <v>50747500</v>
      </c>
    </row>
    <row r="557" spans="1:7">
      <c r="A557" s="33">
        <v>42472</v>
      </c>
      <c r="B557" s="34">
        <v>422843</v>
      </c>
      <c r="C557" s="34">
        <v>427277</v>
      </c>
      <c r="D557" s="34">
        <v>422843</v>
      </c>
      <c r="E557" s="92" t="s">
        <v>1205</v>
      </c>
      <c r="F557" s="89">
        <v>459603</v>
      </c>
      <c r="G557" s="29">
        <v>70728800</v>
      </c>
    </row>
    <row r="558" spans="1:7">
      <c r="A558" s="33">
        <v>42473</v>
      </c>
      <c r="B558" s="34">
        <v>425632</v>
      </c>
      <c r="C558" s="34">
        <v>426658</v>
      </c>
      <c r="D558" s="34">
        <v>422916</v>
      </c>
      <c r="E558" s="92" t="s">
        <v>1663</v>
      </c>
      <c r="F558" s="89">
        <v>460483</v>
      </c>
      <c r="G558" s="29">
        <v>69060400</v>
      </c>
    </row>
    <row r="559" spans="1:7">
      <c r="A559" s="33">
        <v>42474</v>
      </c>
      <c r="B559" s="34">
        <v>423935</v>
      </c>
      <c r="C559" s="34">
        <v>425371</v>
      </c>
      <c r="D559" s="34">
        <v>423013</v>
      </c>
      <c r="E559" s="92" t="s">
        <v>1580</v>
      </c>
      <c r="F559" s="89">
        <v>461426</v>
      </c>
      <c r="G559" s="29">
        <v>45281000</v>
      </c>
    </row>
    <row r="560" spans="1:7">
      <c r="A560" s="33">
        <v>42475</v>
      </c>
      <c r="B560" s="34">
        <v>424427</v>
      </c>
      <c r="C560" s="34">
        <v>429928</v>
      </c>
      <c r="D560" s="34">
        <v>424427</v>
      </c>
      <c r="E560" s="92" t="s">
        <v>1604</v>
      </c>
      <c r="F560" s="89">
        <v>462322</v>
      </c>
      <c r="G560" s="29">
        <v>54801500</v>
      </c>
    </row>
    <row r="561" spans="1:7">
      <c r="A561" s="33">
        <v>42476</v>
      </c>
      <c r="B561" s="34">
        <v>429575</v>
      </c>
      <c r="C561" s="34">
        <v>432625</v>
      </c>
      <c r="D561" s="34">
        <v>428984</v>
      </c>
      <c r="E561" s="92" t="s">
        <v>1647</v>
      </c>
      <c r="F561" s="89">
        <v>463616</v>
      </c>
      <c r="G561" s="29">
        <v>39392800</v>
      </c>
    </row>
    <row r="562" spans="1:7">
      <c r="A562" s="33">
        <v>42477</v>
      </c>
      <c r="B562" s="34">
        <v>430636</v>
      </c>
      <c r="C562" s="34">
        <v>431371</v>
      </c>
      <c r="D562" s="34">
        <v>426079</v>
      </c>
      <c r="E562" s="92" t="s">
        <v>507</v>
      </c>
      <c r="F562" s="89">
        <v>465321</v>
      </c>
      <c r="G562" s="29">
        <v>52125900</v>
      </c>
    </row>
    <row r="563" spans="1:7">
      <c r="A563" s="33">
        <v>42478</v>
      </c>
      <c r="B563" s="34">
        <v>427611</v>
      </c>
      <c r="C563" s="34">
        <v>429274</v>
      </c>
      <c r="D563" s="34">
        <v>427086</v>
      </c>
      <c r="E563" s="92" t="s">
        <v>5333</v>
      </c>
      <c r="F563" s="89">
        <v>466089</v>
      </c>
      <c r="G563" s="29">
        <v>55670900</v>
      </c>
    </row>
    <row r="564" spans="1:7">
      <c r="A564" s="33">
        <v>42479</v>
      </c>
      <c r="B564" s="34">
        <v>428703</v>
      </c>
      <c r="C564" s="29" t="s">
        <v>5334</v>
      </c>
      <c r="D564" s="34">
        <v>428104</v>
      </c>
      <c r="E564" s="92" t="s">
        <v>1667</v>
      </c>
      <c r="F564" s="89">
        <v>473464</v>
      </c>
      <c r="G564" s="29">
        <v>52810500</v>
      </c>
    </row>
    <row r="565" spans="1:7">
      <c r="A565" s="33">
        <v>42480</v>
      </c>
      <c r="B565" s="34">
        <v>435324</v>
      </c>
      <c r="C565" s="34">
        <v>443054</v>
      </c>
      <c r="D565" s="34">
        <v>434406</v>
      </c>
      <c r="E565" s="92" t="s">
        <v>1289</v>
      </c>
      <c r="F565" s="89">
        <v>526233</v>
      </c>
      <c r="G565" s="29">
        <v>72890096</v>
      </c>
    </row>
    <row r="566" spans="1:7">
      <c r="A566" s="33">
        <v>42481</v>
      </c>
      <c r="B566" s="34">
        <v>441416</v>
      </c>
      <c r="C566" s="34">
        <v>450548</v>
      </c>
      <c r="D566" s="34">
        <v>440952</v>
      </c>
      <c r="E566" s="92" t="s">
        <v>1297</v>
      </c>
      <c r="F566" s="89">
        <v>531386</v>
      </c>
      <c r="G566" s="29">
        <v>68204704</v>
      </c>
    </row>
    <row r="567" spans="1:7">
      <c r="A567" s="33">
        <v>42482</v>
      </c>
      <c r="B567" s="34">
        <v>449688</v>
      </c>
      <c r="C567" s="29" t="s">
        <v>5335</v>
      </c>
      <c r="D567" s="29" t="s">
        <v>5336</v>
      </c>
      <c r="E567" s="92" t="s">
        <v>1584</v>
      </c>
      <c r="F567" s="89">
        <v>533864</v>
      </c>
      <c r="G567" s="29">
        <v>58804400</v>
      </c>
    </row>
    <row r="568" spans="1:7">
      <c r="A568" s="33">
        <v>42483</v>
      </c>
      <c r="B568" s="34">
        <v>445861</v>
      </c>
      <c r="C568" s="34">
        <v>450282</v>
      </c>
      <c r="D568" s="34">
        <v>444331</v>
      </c>
      <c r="E568" s="92" t="s">
        <v>1655</v>
      </c>
      <c r="F568" s="89">
        <v>537972</v>
      </c>
      <c r="G568" s="29">
        <v>50485400</v>
      </c>
    </row>
    <row r="569" spans="1:7">
      <c r="A569" s="33">
        <v>42484</v>
      </c>
      <c r="B569" s="29" t="s">
        <v>5337</v>
      </c>
      <c r="C569" s="34">
        <v>460146</v>
      </c>
      <c r="D569" s="34">
        <v>448928</v>
      </c>
      <c r="E569" s="92" t="s">
        <v>1233</v>
      </c>
      <c r="F569" s="89">
        <v>547465</v>
      </c>
      <c r="G569" s="29">
        <v>68198400</v>
      </c>
    </row>
    <row r="570" spans="1:7">
      <c r="A570" s="33">
        <v>42485</v>
      </c>
      <c r="B570" s="34">
        <v>459121</v>
      </c>
      <c r="C570" s="29" t="s">
        <v>5338</v>
      </c>
      <c r="D570" s="34">
        <v>453592</v>
      </c>
      <c r="E570" s="92" t="s">
        <v>4477</v>
      </c>
      <c r="F570" s="89">
        <v>566355</v>
      </c>
      <c r="G570" s="29">
        <v>87091800</v>
      </c>
    </row>
    <row r="571" spans="1:7">
      <c r="A571" s="33">
        <v>42486</v>
      </c>
      <c r="B571" s="34">
        <v>461648</v>
      </c>
      <c r="C571" s="34">
        <v>467965</v>
      </c>
      <c r="D571" s="34">
        <v>461621</v>
      </c>
      <c r="E571" s="92" t="s">
        <v>1173</v>
      </c>
      <c r="F571" s="89">
        <v>569194</v>
      </c>
      <c r="G571" s="29">
        <v>78971904</v>
      </c>
    </row>
    <row r="572" spans="1:7">
      <c r="A572" s="33">
        <v>42487</v>
      </c>
      <c r="B572" s="34">
        <v>466262</v>
      </c>
      <c r="C572" s="34">
        <v>467079</v>
      </c>
      <c r="D572" s="34">
        <v>444134</v>
      </c>
      <c r="E572" s="92" t="s">
        <v>552</v>
      </c>
      <c r="F572" s="89">
        <v>569947</v>
      </c>
      <c r="G572" s="29">
        <v>93564896</v>
      </c>
    </row>
    <row r="573" spans="1:7">
      <c r="A573" s="33">
        <v>42488</v>
      </c>
      <c r="B573" s="34">
        <v>445038</v>
      </c>
      <c r="C573" s="34">
        <v>449551</v>
      </c>
      <c r="D573" s="29" t="s">
        <v>5339</v>
      </c>
      <c r="E573" s="92" t="s">
        <v>1277</v>
      </c>
      <c r="F573" s="89">
        <v>570473</v>
      </c>
      <c r="G573" s="29">
        <v>74064704</v>
      </c>
    </row>
    <row r="574" spans="1:7">
      <c r="A574" s="33">
        <v>42489</v>
      </c>
      <c r="B574" s="34">
        <v>449408</v>
      </c>
      <c r="C574" s="34">
        <v>455384</v>
      </c>
      <c r="D574" s="34">
        <v>446017</v>
      </c>
      <c r="E574" s="92" t="s">
        <v>1992</v>
      </c>
      <c r="F574" s="89">
        <v>572303</v>
      </c>
      <c r="G574" s="29">
        <v>49258500</v>
      </c>
    </row>
    <row r="575" spans="1:7">
      <c r="A575" s="33">
        <v>42490</v>
      </c>
      <c r="B575" s="34">
        <v>455178</v>
      </c>
      <c r="C575" s="34">
        <v>455587</v>
      </c>
      <c r="D575" s="34">
        <v>447697</v>
      </c>
      <c r="E575" s="92" t="s">
        <v>1229</v>
      </c>
      <c r="F575" s="89">
        <v>572727</v>
      </c>
      <c r="G575" s="29">
        <v>69322600</v>
      </c>
    </row>
    <row r="576" spans="1:7">
      <c r="A576" s="33">
        <v>42491</v>
      </c>
      <c r="B576" s="34">
        <v>448484</v>
      </c>
      <c r="C576" s="34">
        <v>452479</v>
      </c>
      <c r="D576" s="34">
        <v>447927</v>
      </c>
      <c r="E576" s="92" t="s">
        <v>5340</v>
      </c>
      <c r="F576" s="89">
        <v>573216</v>
      </c>
      <c r="G576" s="29">
        <v>40660100</v>
      </c>
    </row>
    <row r="577" spans="1:7">
      <c r="A577" s="33">
        <v>42492</v>
      </c>
      <c r="B577" s="34">
        <v>451933</v>
      </c>
      <c r="C577" s="34">
        <v>452445</v>
      </c>
      <c r="D577" s="34">
        <v>441776</v>
      </c>
      <c r="E577" s="92" t="s">
        <v>4357</v>
      </c>
      <c r="F577" s="89">
        <v>573912</v>
      </c>
      <c r="G577" s="29">
        <v>92127000</v>
      </c>
    </row>
    <row r="578" spans="1:7">
      <c r="A578" s="33">
        <v>42493</v>
      </c>
      <c r="B578" s="34">
        <v>444727</v>
      </c>
      <c r="C578" s="34">
        <v>451097</v>
      </c>
      <c r="D578" s="34">
        <v>442617</v>
      </c>
      <c r="E578" s="92" t="s">
        <v>1213</v>
      </c>
      <c r="F578" s="89">
        <v>574107</v>
      </c>
      <c r="G578" s="29">
        <v>59366400</v>
      </c>
    </row>
    <row r="579" spans="1:7">
      <c r="A579" s="33">
        <v>42494</v>
      </c>
      <c r="B579" s="34">
        <v>450183</v>
      </c>
      <c r="C579" s="34">
        <v>450378</v>
      </c>
      <c r="D579" s="29" t="s">
        <v>5341</v>
      </c>
      <c r="E579" s="92" t="s">
        <v>1620</v>
      </c>
      <c r="F579" s="89">
        <v>574318</v>
      </c>
      <c r="G579" s="29">
        <v>50407300</v>
      </c>
    </row>
    <row r="580" spans="1:7">
      <c r="A580" s="33">
        <v>42495</v>
      </c>
      <c r="B580" s="34">
        <v>446711</v>
      </c>
      <c r="C580" s="34">
        <v>448506</v>
      </c>
      <c r="D580" s="34">
        <v>445883</v>
      </c>
      <c r="E580" s="92" t="s">
        <v>1612</v>
      </c>
      <c r="F580" s="89">
        <v>574977</v>
      </c>
      <c r="G580" s="29">
        <v>50440800</v>
      </c>
    </row>
    <row r="581" spans="1:7">
      <c r="A581" s="33">
        <v>42496</v>
      </c>
      <c r="B581" s="34">
        <v>447942</v>
      </c>
      <c r="C581" s="34">
        <v>461375</v>
      </c>
      <c r="D581" s="34">
        <v>447068</v>
      </c>
      <c r="E581" s="92" t="s">
        <v>1984</v>
      </c>
      <c r="F581" s="89">
        <v>575472</v>
      </c>
      <c r="G581" s="29">
        <v>72796800</v>
      </c>
    </row>
    <row r="582" spans="1:7">
      <c r="A582" s="33">
        <v>42497</v>
      </c>
      <c r="B582" s="34">
        <v>459639</v>
      </c>
      <c r="C582" s="34">
        <v>460675</v>
      </c>
      <c r="D582" s="34">
        <v>457324</v>
      </c>
      <c r="E582" s="92" t="s">
        <v>842</v>
      </c>
      <c r="F582" s="89">
        <v>575537</v>
      </c>
      <c r="G582" s="29">
        <v>38364500</v>
      </c>
    </row>
    <row r="583" spans="1:7">
      <c r="A583" s="33">
        <v>42498</v>
      </c>
      <c r="B583" s="34">
        <v>458429</v>
      </c>
      <c r="C583" s="34">
        <v>459417</v>
      </c>
      <c r="D583" s="34">
        <v>455983</v>
      </c>
      <c r="E583" s="92" t="s">
        <v>1596</v>
      </c>
      <c r="F583" s="89">
        <v>576597</v>
      </c>
      <c r="G583" s="29">
        <v>40315000</v>
      </c>
    </row>
    <row r="584" spans="1:7">
      <c r="A584" s="33">
        <v>42499</v>
      </c>
      <c r="B584" s="34">
        <v>458206</v>
      </c>
      <c r="C584" s="34">
        <v>462481</v>
      </c>
      <c r="D584" s="34">
        <v>456531</v>
      </c>
      <c r="E584" s="92" t="s">
        <v>1189</v>
      </c>
      <c r="F584" s="89">
        <v>577439</v>
      </c>
      <c r="G584" s="29">
        <v>55493100</v>
      </c>
    </row>
    <row r="585" spans="1:7">
      <c r="A585" s="33">
        <v>42500</v>
      </c>
      <c r="B585" s="34">
        <v>460518</v>
      </c>
      <c r="C585" s="34">
        <v>461929</v>
      </c>
      <c r="D585" s="34">
        <v>448954</v>
      </c>
      <c r="E585" s="92" t="s">
        <v>1616</v>
      </c>
      <c r="F585" s="89">
        <v>577503</v>
      </c>
      <c r="G585" s="29">
        <v>58956100</v>
      </c>
    </row>
    <row r="586" spans="1:7">
      <c r="A586" s="33">
        <v>42501</v>
      </c>
      <c r="B586" s="34">
        <v>450864</v>
      </c>
      <c r="C586" s="29" t="s">
        <v>4778</v>
      </c>
      <c r="D586" s="34">
        <v>450864</v>
      </c>
      <c r="E586" s="92" t="s">
        <v>4365</v>
      </c>
      <c r="F586" s="89">
        <v>577761</v>
      </c>
      <c r="G586" s="29">
        <v>50605200</v>
      </c>
    </row>
    <row r="587" spans="1:7">
      <c r="A587" s="33">
        <v>42502</v>
      </c>
      <c r="B587" s="34">
        <v>452447</v>
      </c>
      <c r="C587" s="34">
        <v>454949</v>
      </c>
      <c r="D587" s="29" t="s">
        <v>5342</v>
      </c>
      <c r="E587" s="92" t="s">
        <v>2012</v>
      </c>
      <c r="F587" s="89">
        <v>578289</v>
      </c>
      <c r="G587" s="29" t="s">
        <v>4778</v>
      </c>
    </row>
    <row r="588" spans="1:7">
      <c r="A588" s="33">
        <v>42503</v>
      </c>
      <c r="B588" s="29" t="s">
        <v>5343</v>
      </c>
      <c r="C588" s="34">
        <v>457055</v>
      </c>
      <c r="D588" s="34">
        <v>453453</v>
      </c>
      <c r="E588" s="92" t="s">
        <v>495</v>
      </c>
      <c r="F588" s="89">
        <v>579651</v>
      </c>
      <c r="G588" s="29">
        <v>60845000</v>
      </c>
    </row>
    <row r="589" spans="1:7">
      <c r="A589" s="33">
        <v>42504</v>
      </c>
      <c r="B589" s="34">
        <v>455823</v>
      </c>
      <c r="C589" s="34">
        <v>456836</v>
      </c>
      <c r="D589" s="34">
        <v>454786</v>
      </c>
      <c r="E589" s="92" t="s">
        <v>1671</v>
      </c>
      <c r="F589" s="89">
        <v>580182</v>
      </c>
      <c r="G589" s="29">
        <v>37209000</v>
      </c>
    </row>
    <row r="590" spans="1:7">
      <c r="A590" s="33">
        <v>42505</v>
      </c>
      <c r="B590" s="34">
        <v>455759</v>
      </c>
      <c r="C590" s="34">
        <v>458692</v>
      </c>
      <c r="D590" s="34">
        <v>455459</v>
      </c>
      <c r="E590" s="92" t="s">
        <v>846</v>
      </c>
      <c r="F590" s="89">
        <v>581308</v>
      </c>
      <c r="G590" s="29">
        <v>28514000</v>
      </c>
    </row>
    <row r="591" spans="1:7">
      <c r="A591" s="33">
        <v>42506</v>
      </c>
      <c r="B591" s="34">
        <v>457586</v>
      </c>
      <c r="C591" s="29" t="s">
        <v>5344</v>
      </c>
      <c r="D591" s="34">
        <v>452945</v>
      </c>
      <c r="E591" s="92" t="s">
        <v>2008</v>
      </c>
      <c r="F591" s="89">
        <v>581645</v>
      </c>
      <c r="G591" s="29">
        <v>59171500</v>
      </c>
    </row>
    <row r="592" spans="1:7">
      <c r="A592" s="33">
        <v>42507</v>
      </c>
      <c r="B592" s="34">
        <v>454009</v>
      </c>
      <c r="C592" s="34">
        <v>455072</v>
      </c>
      <c r="D592" s="34">
        <v>453605</v>
      </c>
      <c r="E592" s="92" t="s">
        <v>1651</v>
      </c>
      <c r="F592" s="89">
        <v>581697</v>
      </c>
      <c r="G592" s="29">
        <v>64100300</v>
      </c>
    </row>
    <row r="593" spans="1:7">
      <c r="A593" s="33">
        <v>42508</v>
      </c>
      <c r="B593" s="34">
        <v>453691</v>
      </c>
      <c r="C593" s="29" t="s">
        <v>4778</v>
      </c>
      <c r="D593" s="34">
        <v>453299</v>
      </c>
      <c r="E593" s="92" t="s">
        <v>1261</v>
      </c>
      <c r="F593" s="89">
        <v>583415</v>
      </c>
      <c r="G593" s="29">
        <v>86850096</v>
      </c>
    </row>
    <row r="594" spans="1:7">
      <c r="A594" s="33">
        <v>42509</v>
      </c>
      <c r="B594" s="34">
        <v>454524</v>
      </c>
      <c r="C594" s="34">
        <v>454633</v>
      </c>
      <c r="D594" s="34">
        <v>438715</v>
      </c>
      <c r="E594" s="92" t="s">
        <v>4369</v>
      </c>
      <c r="F594" s="89">
        <v>585537</v>
      </c>
      <c r="G594" s="29">
        <v>96027400</v>
      </c>
    </row>
    <row r="595" spans="1:7">
      <c r="A595" s="33">
        <v>42510</v>
      </c>
      <c r="B595" s="34">
        <v>437793</v>
      </c>
      <c r="C595" s="34">
        <v>444054</v>
      </c>
      <c r="D595" s="34">
        <v>437389</v>
      </c>
      <c r="E595" s="92" t="s">
        <v>1153</v>
      </c>
      <c r="F595" s="89">
        <v>585588</v>
      </c>
      <c r="G595" s="29">
        <v>81987904</v>
      </c>
    </row>
    <row r="596" spans="1:7">
      <c r="A596" s="33">
        <v>42511</v>
      </c>
      <c r="B596" s="34">
        <v>442966</v>
      </c>
      <c r="C596" s="34">
        <v>443778</v>
      </c>
      <c r="D596" s="34">
        <v>441706</v>
      </c>
      <c r="E596" s="92" t="s">
        <v>556</v>
      </c>
      <c r="F596" s="89">
        <v>586753</v>
      </c>
      <c r="G596" s="29">
        <v>42762300</v>
      </c>
    </row>
    <row r="597" spans="1:7">
      <c r="A597" s="33">
        <v>42512</v>
      </c>
      <c r="B597" s="34">
        <v>443218</v>
      </c>
      <c r="C597" s="34">
        <v>443427</v>
      </c>
      <c r="D597" s="34">
        <v>439035</v>
      </c>
      <c r="E597" s="92" t="s">
        <v>1659</v>
      </c>
      <c r="F597" s="89">
        <v>587559</v>
      </c>
      <c r="G597" s="29">
        <v>39657600</v>
      </c>
    </row>
    <row r="598" spans="1:7">
      <c r="A598" s="33">
        <v>42513</v>
      </c>
      <c r="B598" s="34">
        <v>439348</v>
      </c>
      <c r="C598" s="34">
        <v>444345</v>
      </c>
      <c r="D598" s="34">
        <v>438823</v>
      </c>
      <c r="E598" s="92" t="s">
        <v>2000</v>
      </c>
      <c r="F598" s="89">
        <v>587778</v>
      </c>
      <c r="G598" s="29">
        <v>50582500</v>
      </c>
    </row>
    <row r="599" spans="1:7">
      <c r="A599" s="33">
        <v>42514</v>
      </c>
      <c r="B599" s="34">
        <v>444291</v>
      </c>
      <c r="C599" s="29" t="s">
        <v>5345</v>
      </c>
      <c r="D599" s="29" t="s">
        <v>5346</v>
      </c>
      <c r="E599" s="92" t="s">
        <v>1608</v>
      </c>
      <c r="F599" s="89">
        <v>587801</v>
      </c>
      <c r="G599" s="29">
        <v>65783100</v>
      </c>
    </row>
    <row r="600" spans="1:7">
      <c r="A600" s="33">
        <v>42515</v>
      </c>
      <c r="B600" s="34">
        <v>446062</v>
      </c>
      <c r="C600" s="34">
        <v>450298</v>
      </c>
      <c r="D600" s="34">
        <v>446062</v>
      </c>
      <c r="E600" s="92" t="s">
        <v>491</v>
      </c>
      <c r="F600" s="89">
        <v>591054</v>
      </c>
      <c r="G600" s="29">
        <v>65231000</v>
      </c>
    </row>
    <row r="601" spans="1:7">
      <c r="A601" s="33">
        <v>42516</v>
      </c>
      <c r="B601" s="34">
        <v>449672</v>
      </c>
      <c r="C601" s="34">
        <v>453644</v>
      </c>
      <c r="D601" s="34">
        <v>447896</v>
      </c>
      <c r="E601" s="92" t="s">
        <v>560</v>
      </c>
      <c r="F601" s="89">
        <v>592103</v>
      </c>
      <c r="G601" s="29">
        <v>65203800</v>
      </c>
    </row>
    <row r="602" spans="1:7">
      <c r="A602" s="33">
        <v>42517</v>
      </c>
      <c r="B602" s="34">
        <v>453521</v>
      </c>
      <c r="C602" s="34">
        <v>478149</v>
      </c>
      <c r="D602" s="34">
        <v>453521</v>
      </c>
      <c r="E602" s="92" t="s">
        <v>4361</v>
      </c>
      <c r="F602" s="89">
        <v>596116</v>
      </c>
      <c r="G602" s="29" t="s">
        <v>5347</v>
      </c>
    </row>
    <row r="603" spans="1:7">
      <c r="A603" s="33">
        <v>42518</v>
      </c>
      <c r="B603" s="34">
        <v>473029</v>
      </c>
      <c r="C603" s="34">
        <v>533473</v>
      </c>
      <c r="D603" s="34">
        <v>472699</v>
      </c>
      <c r="E603" s="92" t="s">
        <v>5348</v>
      </c>
      <c r="F603" s="89">
        <v>596298</v>
      </c>
      <c r="G603" s="29" t="s">
        <v>5349</v>
      </c>
    </row>
    <row r="604" spans="1:7">
      <c r="A604" s="33">
        <v>42519</v>
      </c>
      <c r="B604" s="34">
        <v>527477</v>
      </c>
      <c r="C604" s="29" t="s">
        <v>5350</v>
      </c>
      <c r="D604" s="34">
        <v>512179</v>
      </c>
      <c r="E604" s="92" t="s">
        <v>1257</v>
      </c>
      <c r="F604" s="89">
        <v>597149</v>
      </c>
      <c r="G604" s="29" t="s">
        <v>5351</v>
      </c>
    </row>
    <row r="605" spans="1:7">
      <c r="A605" s="33">
        <v>42520</v>
      </c>
      <c r="B605" s="34">
        <v>528471</v>
      </c>
      <c r="C605" s="34">
        <v>544349</v>
      </c>
      <c r="D605" s="34">
        <v>522963</v>
      </c>
      <c r="E605" s="92" t="s">
        <v>1269</v>
      </c>
      <c r="F605" s="89">
        <v>598212</v>
      </c>
      <c r="G605" s="29">
        <v>87958704</v>
      </c>
    </row>
    <row r="606" spans="1:7">
      <c r="A606" s="33">
        <v>42521</v>
      </c>
      <c r="B606" s="34">
        <v>534191</v>
      </c>
      <c r="C606" s="34">
        <v>546618</v>
      </c>
      <c r="D606" s="34">
        <v>520662</v>
      </c>
      <c r="E606" s="92" t="s">
        <v>5352</v>
      </c>
      <c r="F606" s="89">
        <v>600826</v>
      </c>
      <c r="G606" s="29" t="s">
        <v>5353</v>
      </c>
    </row>
    <row r="607" spans="1:7">
      <c r="A607" s="33">
        <v>42522</v>
      </c>
      <c r="B607" s="34">
        <v>531107</v>
      </c>
      <c r="C607" s="29" t="s">
        <v>5354</v>
      </c>
      <c r="D607" s="34">
        <v>525636</v>
      </c>
      <c r="E607" s="92" t="s">
        <v>1181</v>
      </c>
      <c r="F607" s="89">
        <v>602625</v>
      </c>
      <c r="G607" s="29">
        <v>86061800</v>
      </c>
    </row>
    <row r="608" spans="1:7">
      <c r="A608" s="33">
        <v>42523</v>
      </c>
      <c r="B608" s="34">
        <v>536515</v>
      </c>
      <c r="C608" s="34">
        <v>540352</v>
      </c>
      <c r="D608" s="34">
        <v>533078</v>
      </c>
      <c r="E608" s="92" t="s">
        <v>5355</v>
      </c>
      <c r="F608" s="89">
        <v>602842</v>
      </c>
      <c r="G608" s="29">
        <v>60378200</v>
      </c>
    </row>
    <row r="609" spans="1:7">
      <c r="A609" s="33">
        <v>42524</v>
      </c>
      <c r="B609" s="34">
        <v>537682</v>
      </c>
      <c r="C609" s="34">
        <v>574638</v>
      </c>
      <c r="D609" s="29" t="s">
        <v>5297</v>
      </c>
      <c r="E609" s="92" t="s">
        <v>1675</v>
      </c>
      <c r="F609" s="89">
        <v>604728</v>
      </c>
      <c r="G609" s="29" t="s">
        <v>5298</v>
      </c>
    </row>
    <row r="610" spans="1:7">
      <c r="A610" s="33">
        <v>42525</v>
      </c>
      <c r="B610" s="34">
        <v>569705</v>
      </c>
      <c r="C610" s="34">
        <v>590132</v>
      </c>
      <c r="D610" s="34">
        <v>564238</v>
      </c>
      <c r="E610" s="92" t="s">
        <v>2004</v>
      </c>
      <c r="F610" s="89">
        <v>605693</v>
      </c>
      <c r="G610" s="29">
        <v>94925296</v>
      </c>
    </row>
    <row r="611" spans="1:7">
      <c r="A611" s="33">
        <v>42526</v>
      </c>
      <c r="B611" s="34">
        <v>573308</v>
      </c>
      <c r="C611" s="34">
        <v>582808</v>
      </c>
      <c r="D611" s="34">
        <v>569178</v>
      </c>
      <c r="E611" s="92" t="s">
        <v>5356</v>
      </c>
      <c r="F611" s="89">
        <v>605984</v>
      </c>
      <c r="G611" s="29">
        <v>68874096</v>
      </c>
    </row>
    <row r="612" spans="1:7">
      <c r="A612" s="33">
        <v>42527</v>
      </c>
      <c r="B612" s="34">
        <v>574602</v>
      </c>
      <c r="C612" s="29" t="s">
        <v>5357</v>
      </c>
      <c r="D612" s="34">
        <v>574602</v>
      </c>
      <c r="E612" s="92" t="s">
        <v>5358</v>
      </c>
      <c r="F612" s="89">
        <v>606166</v>
      </c>
      <c r="G612" s="29">
        <v>72138896</v>
      </c>
    </row>
    <row r="613" spans="1:7">
      <c r="A613" s="33">
        <v>42528</v>
      </c>
      <c r="B613" s="34">
        <v>585445</v>
      </c>
      <c r="C613" s="34">
        <v>590259</v>
      </c>
      <c r="D613" s="34">
        <v>567514</v>
      </c>
      <c r="E613" s="92" t="s">
        <v>5359</v>
      </c>
      <c r="F613" s="89">
        <v>606272</v>
      </c>
      <c r="G613" s="29" t="s">
        <v>5275</v>
      </c>
    </row>
    <row r="614" spans="1:7">
      <c r="A614" s="33">
        <v>42529</v>
      </c>
      <c r="B614" s="34">
        <v>577167</v>
      </c>
      <c r="C614" s="34">
        <v>582839</v>
      </c>
      <c r="D614" s="29" t="s">
        <v>5360</v>
      </c>
      <c r="E614" s="92" t="s">
        <v>5361</v>
      </c>
      <c r="F614" s="89">
        <v>606719</v>
      </c>
      <c r="G614" s="29">
        <v>80265800</v>
      </c>
    </row>
    <row r="615" spans="1:7">
      <c r="A615" s="33">
        <v>42530</v>
      </c>
      <c r="B615" s="34">
        <v>582203</v>
      </c>
      <c r="C615" s="34">
        <v>582203</v>
      </c>
      <c r="D615" s="34">
        <v>570951</v>
      </c>
      <c r="E615" s="92" t="s">
        <v>1161</v>
      </c>
      <c r="F615" s="89">
        <v>606727</v>
      </c>
      <c r="G615" s="29">
        <v>71301000</v>
      </c>
    </row>
    <row r="616" spans="1:7">
      <c r="A616" s="33">
        <v>42531</v>
      </c>
      <c r="B616" s="34">
        <v>575837</v>
      </c>
      <c r="C616" s="34">
        <v>579127</v>
      </c>
      <c r="D616" s="34">
        <v>573325</v>
      </c>
      <c r="E616" s="92" t="s">
        <v>1157</v>
      </c>
      <c r="F616" s="89">
        <v>606973</v>
      </c>
      <c r="G616" s="29">
        <v>66991900</v>
      </c>
    </row>
    <row r="617" spans="1:7">
      <c r="A617" s="33">
        <v>42532</v>
      </c>
      <c r="B617" s="34">
        <v>578674</v>
      </c>
      <c r="C617" s="34">
        <v>607116</v>
      </c>
      <c r="D617" s="34">
        <v>578674</v>
      </c>
      <c r="E617" s="92" t="s">
        <v>2016</v>
      </c>
      <c r="F617" s="89">
        <v>607155</v>
      </c>
      <c r="G617" s="29">
        <v>82357000</v>
      </c>
    </row>
    <row r="618" spans="1:7">
      <c r="A618" s="33">
        <v>42533</v>
      </c>
      <c r="B618" s="34">
        <v>609684</v>
      </c>
      <c r="C618" s="34">
        <v>684844</v>
      </c>
      <c r="D618" s="34">
        <v>607039</v>
      </c>
      <c r="E618" s="92" t="s">
        <v>1996</v>
      </c>
      <c r="F618" s="89">
        <v>608043</v>
      </c>
      <c r="G618" s="29" t="s">
        <v>5362</v>
      </c>
    </row>
    <row r="619" spans="1:7">
      <c r="A619" s="33">
        <v>42534</v>
      </c>
      <c r="B619" s="34">
        <v>671654</v>
      </c>
      <c r="C619" s="34">
        <v>716004</v>
      </c>
      <c r="D619" s="34">
        <v>664487</v>
      </c>
      <c r="E619" s="92" t="s">
        <v>5363</v>
      </c>
      <c r="F619" s="89">
        <v>608243</v>
      </c>
      <c r="G619" s="29" t="s">
        <v>5364</v>
      </c>
    </row>
    <row r="620" spans="1:7">
      <c r="A620" s="33">
        <v>42535</v>
      </c>
      <c r="B620" s="34">
        <v>704504</v>
      </c>
      <c r="C620" s="34">
        <v>704504</v>
      </c>
      <c r="D620" s="34">
        <v>662804</v>
      </c>
      <c r="E620" s="92" t="s">
        <v>5365</v>
      </c>
      <c r="F620" s="89">
        <v>608312</v>
      </c>
      <c r="G620" s="29" t="s">
        <v>5366</v>
      </c>
    </row>
    <row r="621" spans="1:7">
      <c r="A621" s="33">
        <v>42536</v>
      </c>
      <c r="B621" s="34">
        <v>685685</v>
      </c>
      <c r="C621" s="34">
        <v>696303</v>
      </c>
      <c r="D621" s="34">
        <v>672561</v>
      </c>
      <c r="E621" s="92" t="s">
        <v>5367</v>
      </c>
      <c r="F621" s="89">
        <v>608634</v>
      </c>
      <c r="G621" s="29">
        <v>99223800</v>
      </c>
    </row>
    <row r="622" spans="1:7">
      <c r="A622" s="33">
        <v>42537</v>
      </c>
      <c r="B622" s="34">
        <v>696523</v>
      </c>
      <c r="C622" s="34">
        <v>773722</v>
      </c>
      <c r="D622" s="34">
        <v>696523</v>
      </c>
      <c r="E622" s="92" t="s">
        <v>564</v>
      </c>
      <c r="F622" s="89">
        <v>609227</v>
      </c>
      <c r="G622" s="29" t="s">
        <v>5368</v>
      </c>
    </row>
    <row r="623" spans="1:7">
      <c r="A623" s="33">
        <v>42538</v>
      </c>
      <c r="B623" s="34">
        <v>768487</v>
      </c>
      <c r="C623" s="29" t="s">
        <v>4778</v>
      </c>
      <c r="D623" s="34">
        <v>716556</v>
      </c>
      <c r="E623" s="92" t="s">
        <v>1273</v>
      </c>
      <c r="F623" s="89">
        <v>609241</v>
      </c>
      <c r="G623" s="29" t="s">
        <v>5369</v>
      </c>
    </row>
    <row r="624" spans="1:7">
      <c r="A624" s="33">
        <v>42539</v>
      </c>
      <c r="B624" s="34">
        <v>748756</v>
      </c>
      <c r="C624" s="29" t="s">
        <v>5370</v>
      </c>
      <c r="D624" s="34">
        <v>733929</v>
      </c>
      <c r="E624" s="92" t="s">
        <v>4333</v>
      </c>
      <c r="F624" s="89">
        <v>609735</v>
      </c>
      <c r="G624" s="29" t="s">
        <v>5371</v>
      </c>
    </row>
    <row r="625" spans="1:7">
      <c r="A625" s="33">
        <v>42540</v>
      </c>
      <c r="B625" s="34">
        <v>756688</v>
      </c>
      <c r="C625" s="34">
        <v>766621</v>
      </c>
      <c r="D625" s="34">
        <v>745628</v>
      </c>
      <c r="E625" s="92" t="s">
        <v>499</v>
      </c>
      <c r="F625" s="89">
        <v>609874</v>
      </c>
      <c r="G625" s="29" t="s">
        <v>5372</v>
      </c>
    </row>
    <row r="626" spans="1:7">
      <c r="A626" s="33">
        <v>42541</v>
      </c>
      <c r="B626" s="34">
        <v>763927</v>
      </c>
      <c r="C626" s="34">
        <v>764084</v>
      </c>
      <c r="D626" s="34">
        <v>732727</v>
      </c>
      <c r="E626" s="92" t="s">
        <v>1313</v>
      </c>
      <c r="F626" s="89">
        <v>610204</v>
      </c>
      <c r="G626" s="29" t="s">
        <v>5373</v>
      </c>
    </row>
    <row r="627" spans="1:7">
      <c r="A627" s="33">
        <v>42542</v>
      </c>
      <c r="B627" s="34">
        <v>735883</v>
      </c>
      <c r="C627" s="34">
        <v>735883</v>
      </c>
      <c r="D627" s="29" t="s">
        <v>5374</v>
      </c>
      <c r="E627" s="92" t="s">
        <v>1265</v>
      </c>
      <c r="F627" s="89">
        <v>610436</v>
      </c>
      <c r="G627" s="29" t="s">
        <v>5375</v>
      </c>
    </row>
    <row r="628" spans="1:7">
      <c r="A628" s="33">
        <v>42543</v>
      </c>
      <c r="B628" s="34">
        <v>665915</v>
      </c>
      <c r="C628" s="29" t="s">
        <v>5376</v>
      </c>
      <c r="D628" s="34">
        <v>587483</v>
      </c>
      <c r="E628" s="92" t="s">
        <v>1185</v>
      </c>
      <c r="F628" s="89">
        <v>610684</v>
      </c>
      <c r="G628" s="29" t="s">
        <v>5377</v>
      </c>
    </row>
    <row r="629" spans="1:7">
      <c r="A629" s="33">
        <v>42544</v>
      </c>
      <c r="B629" s="34">
        <v>597443</v>
      </c>
      <c r="C629" s="34">
        <v>629327</v>
      </c>
      <c r="D629" s="34">
        <v>558139</v>
      </c>
      <c r="E629" s="92" t="s">
        <v>1833</v>
      </c>
      <c r="F629" s="89">
        <v>610892</v>
      </c>
      <c r="G629" s="29" t="s">
        <v>5371</v>
      </c>
    </row>
    <row r="630" spans="1:7">
      <c r="A630" s="33">
        <v>42545</v>
      </c>
      <c r="B630" s="34">
        <v>625575</v>
      </c>
      <c r="C630" s="34">
        <v>681727</v>
      </c>
      <c r="D630" s="34">
        <v>625272</v>
      </c>
      <c r="E630" s="92" t="s">
        <v>1149</v>
      </c>
      <c r="F630" s="89">
        <v>612133</v>
      </c>
      <c r="G630" s="29" t="s">
        <v>5378</v>
      </c>
    </row>
    <row r="631" spans="1:7">
      <c r="A631" s="33">
        <v>42546</v>
      </c>
      <c r="B631" s="34">
        <v>665281</v>
      </c>
      <c r="C631" s="34">
        <v>691731</v>
      </c>
      <c r="D631" s="34">
        <v>646559</v>
      </c>
      <c r="E631" s="92" t="s">
        <v>5379</v>
      </c>
      <c r="F631" s="89">
        <v>612511</v>
      </c>
      <c r="G631" s="29" t="s">
        <v>5380</v>
      </c>
    </row>
    <row r="632" spans="1:7">
      <c r="A632" s="33">
        <v>42547</v>
      </c>
      <c r="B632" s="34">
        <v>665931</v>
      </c>
      <c r="C632" s="29" t="s">
        <v>5381</v>
      </c>
      <c r="D632" s="34">
        <v>616934</v>
      </c>
      <c r="E632" s="92" t="s">
        <v>1980</v>
      </c>
      <c r="F632" s="89">
        <v>613021</v>
      </c>
      <c r="G632" s="29" t="s">
        <v>5382</v>
      </c>
    </row>
    <row r="633" spans="1:7">
      <c r="A633" s="33">
        <v>42548</v>
      </c>
      <c r="B633" s="34">
        <v>629349</v>
      </c>
      <c r="C633" s="34">
        <v>655275</v>
      </c>
      <c r="D633" s="34">
        <v>620524</v>
      </c>
      <c r="E633" s="92" t="s">
        <v>1165</v>
      </c>
      <c r="F633" s="89">
        <v>613983</v>
      </c>
      <c r="G633" s="29" t="s">
        <v>5298</v>
      </c>
    </row>
    <row r="634" spans="1:7">
      <c r="A634" s="33">
        <v>42549</v>
      </c>
      <c r="B634" s="34">
        <v>658102</v>
      </c>
      <c r="C634" s="34">
        <v>659248</v>
      </c>
      <c r="D634" s="34">
        <v>637773</v>
      </c>
      <c r="E634" s="92" t="s">
        <v>1888</v>
      </c>
      <c r="F634" s="89">
        <v>614544</v>
      </c>
      <c r="G634" s="29" t="s">
        <v>5353</v>
      </c>
    </row>
    <row r="635" spans="1:7">
      <c r="A635" s="33">
        <v>42550</v>
      </c>
      <c r="B635" s="34">
        <v>644122</v>
      </c>
      <c r="C635" s="34">
        <v>644682</v>
      </c>
      <c r="D635" s="34">
        <v>628284</v>
      </c>
      <c r="E635" s="92" t="s">
        <v>1976</v>
      </c>
      <c r="F635" s="89">
        <v>616752</v>
      </c>
      <c r="G635" s="29" t="s">
        <v>5383</v>
      </c>
    </row>
    <row r="636" spans="1:7">
      <c r="A636" s="33">
        <v>42551</v>
      </c>
      <c r="B636" s="34">
        <v>640591</v>
      </c>
      <c r="C636" s="34">
        <v>675403</v>
      </c>
      <c r="D636" s="34">
        <v>636608</v>
      </c>
      <c r="E636" s="92" t="s">
        <v>1813</v>
      </c>
      <c r="F636" s="89">
        <v>617121</v>
      </c>
      <c r="G636" s="29" t="s">
        <v>5384</v>
      </c>
    </row>
    <row r="637" spans="1:7">
      <c r="A637" s="33">
        <v>42552</v>
      </c>
      <c r="B637" s="34">
        <v>672515</v>
      </c>
      <c r="C637" s="34">
        <v>686154</v>
      </c>
      <c r="D637" s="34">
        <v>669594</v>
      </c>
      <c r="E637" s="92" t="s">
        <v>4473</v>
      </c>
      <c r="F637" s="89">
        <v>618994</v>
      </c>
      <c r="G637" s="29" t="s">
        <v>5385</v>
      </c>
    </row>
    <row r="638" spans="1:7">
      <c r="A638" s="33">
        <v>42553</v>
      </c>
      <c r="B638" s="34">
        <v>676734</v>
      </c>
      <c r="C638" s="34">
        <v>703702</v>
      </c>
      <c r="D638" s="34">
        <v>676399</v>
      </c>
      <c r="E638" s="92" t="s">
        <v>5386</v>
      </c>
      <c r="F638" s="89">
        <v>619108</v>
      </c>
      <c r="G638" s="29" t="s">
        <v>5387</v>
      </c>
    </row>
    <row r="639" spans="1:7">
      <c r="A639" s="33">
        <v>42554</v>
      </c>
      <c r="B639" s="34">
        <v>704968</v>
      </c>
      <c r="C639" s="34">
        <v>704968</v>
      </c>
      <c r="D639" s="34">
        <v>649009</v>
      </c>
      <c r="E639" s="92" t="s">
        <v>4341</v>
      </c>
      <c r="F639" s="89">
        <v>622861</v>
      </c>
      <c r="G639" s="29" t="s">
        <v>5273</v>
      </c>
    </row>
    <row r="640" spans="1:7">
      <c r="A640" s="33">
        <v>42555</v>
      </c>
      <c r="B640" s="34">
        <v>658804</v>
      </c>
      <c r="C640" s="34">
        <v>683662</v>
      </c>
      <c r="D640" s="34">
        <v>650508</v>
      </c>
      <c r="E640" s="92" t="s">
        <v>4329</v>
      </c>
      <c r="F640" s="89">
        <v>623509</v>
      </c>
      <c r="G640" s="29">
        <v>92008400</v>
      </c>
    </row>
    <row r="641" spans="1:7">
      <c r="A641" s="33">
        <v>42556</v>
      </c>
      <c r="B641" s="34">
        <v>683209</v>
      </c>
      <c r="C641" s="34">
        <v>683491</v>
      </c>
      <c r="D641" s="34">
        <v>665066</v>
      </c>
      <c r="E641" s="92" t="s">
        <v>4245</v>
      </c>
      <c r="F641" s="89">
        <v>623977</v>
      </c>
      <c r="G641" s="29" t="s">
        <v>5273</v>
      </c>
    </row>
    <row r="642" spans="1:7">
      <c r="A642" s="33">
        <v>42557</v>
      </c>
      <c r="B642" s="34">
        <v>670418</v>
      </c>
      <c r="C642" s="34">
        <v>681898</v>
      </c>
      <c r="D642" s="34">
        <v>670418</v>
      </c>
      <c r="E642" s="92" t="s">
        <v>4345</v>
      </c>
      <c r="F642" s="89">
        <v>624681</v>
      </c>
      <c r="G642" s="29" t="s">
        <v>5318</v>
      </c>
    </row>
    <row r="643" spans="1:7">
      <c r="A643" s="33">
        <v>42558</v>
      </c>
      <c r="B643" s="29" t="s">
        <v>5388</v>
      </c>
      <c r="C643" s="34">
        <v>682432</v>
      </c>
      <c r="D643" s="34">
        <v>611834</v>
      </c>
      <c r="E643" s="92" t="s">
        <v>1809</v>
      </c>
      <c r="F643" s="89">
        <v>626316</v>
      </c>
      <c r="G643" s="29" t="s">
        <v>5389</v>
      </c>
    </row>
    <row r="644" spans="1:7">
      <c r="A644" s="33">
        <v>42559</v>
      </c>
      <c r="B644" s="34">
        <v>640688</v>
      </c>
      <c r="C644" s="34">
        <v>666707</v>
      </c>
      <c r="D644" s="34">
        <v>636467</v>
      </c>
      <c r="E644" s="92" t="s">
        <v>5390</v>
      </c>
      <c r="F644" s="89">
        <v>629367</v>
      </c>
      <c r="G644" s="29" t="s">
        <v>5383</v>
      </c>
    </row>
    <row r="645" spans="1:7">
      <c r="A645" s="33">
        <v>42560</v>
      </c>
      <c r="B645" s="34">
        <v>666384</v>
      </c>
      <c r="C645" s="34">
        <v>666384</v>
      </c>
      <c r="D645" s="34">
        <v>633399</v>
      </c>
      <c r="E645" s="92" t="s">
        <v>4233</v>
      </c>
      <c r="F645" s="89">
        <v>630857</v>
      </c>
      <c r="G645" s="29" t="s">
        <v>5349</v>
      </c>
    </row>
    <row r="646" spans="1:7">
      <c r="A646" s="33">
        <v>42561</v>
      </c>
      <c r="B646" s="34">
        <v>650599</v>
      </c>
      <c r="C646" s="34">
        <v>652294</v>
      </c>
      <c r="D646" s="34">
        <v>641264</v>
      </c>
      <c r="E646" s="92" t="s">
        <v>5391</v>
      </c>
      <c r="F646" s="89">
        <v>632828</v>
      </c>
      <c r="G646" s="29" t="s">
        <v>5392</v>
      </c>
    </row>
    <row r="647" spans="1:7">
      <c r="A647" s="33">
        <v>42562</v>
      </c>
      <c r="B647" s="34">
        <v>648484</v>
      </c>
      <c r="C647" s="34">
        <v>659629</v>
      </c>
      <c r="D647" s="29" t="s">
        <v>5393</v>
      </c>
      <c r="E647" s="92" t="s">
        <v>4293</v>
      </c>
      <c r="F647" s="89">
        <v>636192</v>
      </c>
      <c r="G647" s="29" t="s">
        <v>5275</v>
      </c>
    </row>
    <row r="648" spans="1:7">
      <c r="A648" s="33">
        <v>42563</v>
      </c>
      <c r="B648" s="34">
        <v>648283</v>
      </c>
      <c r="C648" s="34">
        <v>675259</v>
      </c>
      <c r="D648" s="34">
        <v>646779</v>
      </c>
      <c r="E648" s="92" t="s">
        <v>4349</v>
      </c>
      <c r="F648" s="89">
        <v>636786</v>
      </c>
      <c r="G648" s="29" t="s">
        <v>5353</v>
      </c>
    </row>
    <row r="649" spans="1:7">
      <c r="A649" s="33">
        <v>42564</v>
      </c>
      <c r="B649" s="34">
        <v>664797</v>
      </c>
      <c r="C649" s="29" t="s">
        <v>5394</v>
      </c>
      <c r="D649" s="34">
        <v>654468</v>
      </c>
      <c r="E649" s="92" t="s">
        <v>1836</v>
      </c>
      <c r="F649" s="89">
        <v>638646</v>
      </c>
      <c r="G649" s="29" t="s">
        <v>5395</v>
      </c>
    </row>
    <row r="650" spans="1:7">
      <c r="A650" s="33">
        <v>42565</v>
      </c>
      <c r="B650" s="34">
        <v>652923</v>
      </c>
      <c r="C650" s="34">
        <v>662902</v>
      </c>
      <c r="D650" s="34">
        <v>652923</v>
      </c>
      <c r="E650" s="92" t="s">
        <v>1972</v>
      </c>
      <c r="F650" s="89">
        <v>639193</v>
      </c>
      <c r="G650" s="29">
        <v>98511400</v>
      </c>
    </row>
    <row r="651" spans="1:7">
      <c r="A651" s="33">
        <v>42566</v>
      </c>
      <c r="B651" s="34">
        <v>659171</v>
      </c>
      <c r="C651" s="34">
        <v>667077</v>
      </c>
      <c r="D651" s="29" t="s">
        <v>5396</v>
      </c>
      <c r="E651" s="92" t="s">
        <v>1706</v>
      </c>
      <c r="F651" s="89">
        <v>640562</v>
      </c>
      <c r="G651" s="29">
        <v>81673104</v>
      </c>
    </row>
    <row r="652" spans="1:7">
      <c r="A652" s="33">
        <v>42567</v>
      </c>
      <c r="B652" s="34">
        <v>663781</v>
      </c>
      <c r="C652" s="29" t="s">
        <v>5397</v>
      </c>
      <c r="D652" s="34">
        <v>659334</v>
      </c>
      <c r="E652" s="92" t="s">
        <v>4353</v>
      </c>
      <c r="F652" s="89">
        <v>641072</v>
      </c>
      <c r="G652" s="29">
        <v>50330200</v>
      </c>
    </row>
    <row r="653" spans="1:7">
      <c r="A653" s="33">
        <v>42568</v>
      </c>
      <c r="B653" s="34">
        <v>661993</v>
      </c>
      <c r="C653" s="34">
        <v>682365</v>
      </c>
      <c r="D653" s="34">
        <v>661993</v>
      </c>
      <c r="E653" s="92" t="s">
        <v>1892</v>
      </c>
      <c r="F653" s="89">
        <v>641631</v>
      </c>
      <c r="G653" s="29">
        <v>74407904</v>
      </c>
    </row>
    <row r="654" spans="1:7">
      <c r="A654" s="33">
        <v>42569</v>
      </c>
      <c r="B654" s="34">
        <v>679809</v>
      </c>
      <c r="C654" s="34">
        <v>681555</v>
      </c>
      <c r="D654" s="34">
        <v>668625</v>
      </c>
      <c r="E654" s="92" t="s">
        <v>4289</v>
      </c>
      <c r="F654" s="89">
        <v>647001</v>
      </c>
      <c r="G654" s="29">
        <v>69465000</v>
      </c>
    </row>
    <row r="655" spans="1:7">
      <c r="A655" s="33">
        <v>42570</v>
      </c>
      <c r="B655" s="34">
        <v>672738</v>
      </c>
      <c r="C655" s="34">
        <v>673277</v>
      </c>
      <c r="D655" s="34">
        <v>667632</v>
      </c>
      <c r="E655" s="92" t="s">
        <v>1805</v>
      </c>
      <c r="F655" s="89">
        <v>647659</v>
      </c>
      <c r="G655" s="29">
        <v>61203300</v>
      </c>
    </row>
    <row r="656" spans="1:7">
      <c r="A656" s="33">
        <v>42571</v>
      </c>
      <c r="B656" s="34">
        <v>672806</v>
      </c>
      <c r="C656" s="29" t="s">
        <v>4778</v>
      </c>
      <c r="D656" s="29" t="s">
        <v>5398</v>
      </c>
      <c r="E656" s="92" t="s">
        <v>5399</v>
      </c>
      <c r="F656" s="89">
        <v>650619</v>
      </c>
      <c r="G656" s="29">
        <v>94636400</v>
      </c>
    </row>
    <row r="657" spans="1:7">
      <c r="A657" s="33">
        <v>42572</v>
      </c>
      <c r="B657" s="34">
        <v>665228</v>
      </c>
      <c r="C657" s="34">
        <v>666219</v>
      </c>
      <c r="D657" s="34">
        <v>660415</v>
      </c>
      <c r="E657" s="92" t="s">
        <v>5400</v>
      </c>
      <c r="F657" s="89">
        <v>651784</v>
      </c>
      <c r="G657" s="29">
        <v>60491800</v>
      </c>
    </row>
    <row r="658" spans="1:7">
      <c r="A658" s="33">
        <v>42573</v>
      </c>
      <c r="B658" s="34">
        <v>664922</v>
      </c>
      <c r="C658" s="29" t="s">
        <v>4778</v>
      </c>
      <c r="D658" s="34">
        <v>646722</v>
      </c>
      <c r="E658" s="92" t="s">
        <v>1341</v>
      </c>
      <c r="F658" s="89">
        <v>653761</v>
      </c>
      <c r="G658" s="29" t="s">
        <v>5385</v>
      </c>
    </row>
    <row r="659" spans="1:7">
      <c r="A659" s="33">
        <v>42574</v>
      </c>
      <c r="B659" s="34">
        <v>650726</v>
      </c>
      <c r="C659" s="29" t="s">
        <v>4778</v>
      </c>
      <c r="D659" s="34">
        <v>648524</v>
      </c>
      <c r="E659" s="92" t="s">
        <v>4253</v>
      </c>
      <c r="F659" s="89">
        <v>654097</v>
      </c>
      <c r="G659" s="29">
        <v>69532200</v>
      </c>
    </row>
    <row r="660" spans="1:7">
      <c r="A660" s="33">
        <v>42575</v>
      </c>
      <c r="B660" s="29" t="s">
        <v>5401</v>
      </c>
      <c r="C660" s="29" t="s">
        <v>5402</v>
      </c>
      <c r="D660" s="34">
        <v>652793</v>
      </c>
      <c r="E660" s="92" t="s">
        <v>5403</v>
      </c>
      <c r="F660" s="89">
        <v>654352</v>
      </c>
      <c r="G660" s="29" t="s">
        <v>5404</v>
      </c>
    </row>
    <row r="661" spans="1:7">
      <c r="A661" s="33">
        <v>42576</v>
      </c>
      <c r="B661" s="34">
        <v>661263</v>
      </c>
      <c r="C661" s="34">
        <v>661828</v>
      </c>
      <c r="D661" s="34">
        <v>653395</v>
      </c>
      <c r="E661" s="92" t="s">
        <v>5405</v>
      </c>
      <c r="F661" s="89">
        <v>654468</v>
      </c>
      <c r="G661" s="29">
        <v>78176496</v>
      </c>
    </row>
    <row r="662" spans="1:7">
      <c r="A662" s="33">
        <v>42577</v>
      </c>
      <c r="B662" s="34">
        <v>654226</v>
      </c>
      <c r="C662" s="34">
        <v>656225</v>
      </c>
      <c r="D662" s="34">
        <v>645879</v>
      </c>
      <c r="E662" s="92" t="s">
        <v>4237</v>
      </c>
      <c r="F662" s="89">
        <v>655035</v>
      </c>
      <c r="G662" s="29" t="s">
        <v>5406</v>
      </c>
    </row>
    <row r="663" spans="1:7">
      <c r="A663" s="33">
        <v>42578</v>
      </c>
      <c r="B663" s="34">
        <v>651627</v>
      </c>
      <c r="C663" s="34">
        <v>657456</v>
      </c>
      <c r="D663" s="34">
        <v>648447</v>
      </c>
      <c r="E663" s="92" t="s">
        <v>4297</v>
      </c>
      <c r="F663" s="89">
        <v>655047</v>
      </c>
      <c r="G663" s="29" t="s">
        <v>5407</v>
      </c>
    </row>
    <row r="664" spans="1:7">
      <c r="A664" s="33">
        <v>42579</v>
      </c>
      <c r="B664" s="34">
        <v>654492</v>
      </c>
      <c r="C664" s="34">
        <v>657595</v>
      </c>
      <c r="D664" s="34">
        <v>654492</v>
      </c>
      <c r="E664" s="92" t="s">
        <v>4249</v>
      </c>
      <c r="F664" s="89">
        <v>655275</v>
      </c>
      <c r="G664" s="29">
        <v>86428400</v>
      </c>
    </row>
    <row r="665" spans="1:7">
      <c r="A665" s="33">
        <v>42580</v>
      </c>
      <c r="B665" s="34">
        <v>655111</v>
      </c>
      <c r="C665" s="34">
        <v>657796</v>
      </c>
      <c r="D665" s="34">
        <v>654786</v>
      </c>
      <c r="E665" s="92" t="s">
        <v>5408</v>
      </c>
      <c r="F665" s="89">
        <v>655556</v>
      </c>
      <c r="G665" s="29">
        <v>60703500</v>
      </c>
    </row>
    <row r="666" spans="1:7">
      <c r="A666" s="33">
        <v>42581</v>
      </c>
      <c r="B666" s="34">
        <v>657012</v>
      </c>
      <c r="C666" s="34">
        <v>658223</v>
      </c>
      <c r="D666" s="34">
        <v>654209</v>
      </c>
      <c r="E666" s="92" t="s">
        <v>5409</v>
      </c>
      <c r="F666" s="89">
        <v>656992</v>
      </c>
      <c r="G666" s="29">
        <v>38456100</v>
      </c>
    </row>
    <row r="667" spans="1:7">
      <c r="A667" s="33">
        <v>42582</v>
      </c>
      <c r="B667" s="29" t="s">
        <v>5410</v>
      </c>
      <c r="C667" s="34">
        <v>655285</v>
      </c>
      <c r="D667" s="34">
        <v>624365</v>
      </c>
      <c r="E667" s="92" t="s">
        <v>4285</v>
      </c>
      <c r="F667" s="89">
        <v>657071</v>
      </c>
      <c r="G667" s="29" t="s">
        <v>5268</v>
      </c>
    </row>
    <row r="668" spans="1:7">
      <c r="A668" s="33">
        <v>42583</v>
      </c>
      <c r="B668" s="34">
        <v>624602</v>
      </c>
      <c r="C668" s="34">
        <v>626119</v>
      </c>
      <c r="D668" s="34">
        <v>605884</v>
      </c>
      <c r="E668" s="92" t="s">
        <v>5411</v>
      </c>
      <c r="F668" s="89">
        <v>657294</v>
      </c>
      <c r="G668" s="29" t="s">
        <v>5298</v>
      </c>
    </row>
    <row r="669" spans="1:7">
      <c r="A669" s="33">
        <v>42584</v>
      </c>
      <c r="B669" s="34">
        <v>606397</v>
      </c>
      <c r="C669" s="34">
        <v>612848</v>
      </c>
      <c r="D669" s="34">
        <v>531334</v>
      </c>
      <c r="E669" s="92" t="s">
        <v>4305</v>
      </c>
      <c r="F669" s="89">
        <v>657588</v>
      </c>
      <c r="G669" s="29" t="s">
        <v>5412</v>
      </c>
    </row>
    <row r="670" spans="1:7">
      <c r="A670" s="33">
        <v>42585</v>
      </c>
      <c r="B670" s="34">
        <v>548656</v>
      </c>
      <c r="C670" s="29" t="s">
        <v>5413</v>
      </c>
      <c r="D670" s="34">
        <v>541547</v>
      </c>
      <c r="E670" s="92" t="s">
        <v>1309</v>
      </c>
      <c r="F670" s="89">
        <v>658078</v>
      </c>
      <c r="G670" s="29" t="s">
        <v>5414</v>
      </c>
    </row>
    <row r="671" spans="1:7">
      <c r="A671" s="33">
        <v>42586</v>
      </c>
      <c r="B671" s="34">
        <v>566329</v>
      </c>
      <c r="C671" s="34">
        <v>579496</v>
      </c>
      <c r="D671" s="34">
        <v>565777</v>
      </c>
      <c r="E671" s="92" t="s">
        <v>850</v>
      </c>
      <c r="F671" s="89">
        <v>658664</v>
      </c>
      <c r="G671" s="29" t="s">
        <v>5415</v>
      </c>
    </row>
    <row r="672" spans="1:7">
      <c r="A672" s="33">
        <v>42587</v>
      </c>
      <c r="B672" s="34">
        <v>578281</v>
      </c>
      <c r="C672" s="34">
        <v>578281</v>
      </c>
      <c r="D672" s="34">
        <v>569982</v>
      </c>
      <c r="E672" s="92" t="s">
        <v>5416</v>
      </c>
      <c r="F672" s="89">
        <v>660767</v>
      </c>
      <c r="G672" s="29">
        <v>66127900</v>
      </c>
    </row>
    <row r="673" spans="1:7">
      <c r="A673" s="33">
        <v>42588</v>
      </c>
      <c r="B673" s="29" t="s">
        <v>5417</v>
      </c>
      <c r="C673" s="34">
        <v>588396</v>
      </c>
      <c r="D673" s="34">
        <v>569469</v>
      </c>
      <c r="E673" s="92" t="s">
        <v>2023</v>
      </c>
      <c r="F673" s="89">
        <v>661285</v>
      </c>
      <c r="G673" s="29">
        <v>80797296</v>
      </c>
    </row>
    <row r="674" spans="1:7">
      <c r="A674" s="33">
        <v>42589</v>
      </c>
      <c r="B674" s="34">
        <v>587771</v>
      </c>
      <c r="C674" s="34">
        <v>597513</v>
      </c>
      <c r="D674" s="34">
        <v>586816</v>
      </c>
      <c r="E674" s="92" t="s">
        <v>5290</v>
      </c>
      <c r="F674" s="89">
        <v>663255</v>
      </c>
      <c r="G674" s="29">
        <v>82398400</v>
      </c>
    </row>
    <row r="675" spans="1:7">
      <c r="A675" s="33">
        <v>42590</v>
      </c>
      <c r="B675" s="34">
        <v>592736</v>
      </c>
      <c r="C675" s="34">
        <v>592994</v>
      </c>
      <c r="D675" s="34">
        <v>588047</v>
      </c>
      <c r="E675" s="92" t="s">
        <v>5418</v>
      </c>
      <c r="F675" s="89">
        <v>664551</v>
      </c>
      <c r="G675" s="29">
        <v>61194100</v>
      </c>
    </row>
    <row r="676" spans="1:7">
      <c r="A676" s="33">
        <v>42591</v>
      </c>
      <c r="B676" s="34">
        <v>591038</v>
      </c>
      <c r="C676" s="29" t="s">
        <v>4778</v>
      </c>
      <c r="D676" s="34">
        <v>584793</v>
      </c>
      <c r="E676" s="92" t="s">
        <v>4313</v>
      </c>
      <c r="F676" s="89">
        <v>665012</v>
      </c>
      <c r="G676" s="29">
        <v>92228096</v>
      </c>
    </row>
    <row r="677" spans="1:7">
      <c r="A677" s="33">
        <v>42592</v>
      </c>
      <c r="B677" s="34">
        <v>587648</v>
      </c>
      <c r="C677" s="34">
        <v>599984</v>
      </c>
      <c r="D677" s="34">
        <v>586371</v>
      </c>
      <c r="E677" s="92" t="s">
        <v>5419</v>
      </c>
      <c r="F677" s="89">
        <v>665123</v>
      </c>
      <c r="G677" s="29" t="s">
        <v>5392</v>
      </c>
    </row>
    <row r="678" spans="1:7">
      <c r="A678" s="33">
        <v>42593</v>
      </c>
      <c r="B678" s="34">
        <v>592124</v>
      </c>
      <c r="C678" s="34">
        <v>597542</v>
      </c>
      <c r="D678" s="29" t="s">
        <v>5225</v>
      </c>
      <c r="E678" s="92" t="s">
        <v>5420</v>
      </c>
      <c r="F678" s="89">
        <v>665299</v>
      </c>
      <c r="G678" s="29">
        <v>74514400</v>
      </c>
    </row>
    <row r="679" spans="1:7">
      <c r="A679" s="33">
        <v>42594</v>
      </c>
      <c r="B679" s="34">
        <v>588798</v>
      </c>
      <c r="C679" s="29" t="s">
        <v>5421</v>
      </c>
      <c r="D679" s="34">
        <v>583811</v>
      </c>
      <c r="E679" s="92" t="s">
        <v>5422</v>
      </c>
      <c r="F679" s="89">
        <v>665685</v>
      </c>
      <c r="G679" s="29">
        <v>69218000</v>
      </c>
    </row>
    <row r="680" spans="1:7">
      <c r="A680" s="33">
        <v>42595</v>
      </c>
      <c r="B680" s="34">
        <v>587357</v>
      </c>
      <c r="C680" s="34">
        <v>589774</v>
      </c>
      <c r="D680" s="34">
        <v>584979</v>
      </c>
      <c r="E680" s="92" t="s">
        <v>4241</v>
      </c>
      <c r="F680" s="89">
        <v>666523</v>
      </c>
      <c r="G680" s="29">
        <v>43563000</v>
      </c>
    </row>
    <row r="681" spans="1:7">
      <c r="A681" s="33">
        <v>42596</v>
      </c>
      <c r="B681" s="34">
        <v>585589</v>
      </c>
      <c r="C681" s="34">
        <v>585666</v>
      </c>
      <c r="D681" s="34">
        <v>564781</v>
      </c>
      <c r="E681" s="92" t="s">
        <v>4441</v>
      </c>
      <c r="F681" s="89">
        <v>666652</v>
      </c>
      <c r="G681" s="29">
        <v>60851100</v>
      </c>
    </row>
    <row r="682" spans="1:7">
      <c r="A682" s="33">
        <v>42597</v>
      </c>
      <c r="B682" s="34">
        <v>570494</v>
      </c>
      <c r="C682" s="29" t="s">
        <v>5423</v>
      </c>
      <c r="D682" s="29" t="s">
        <v>5424</v>
      </c>
      <c r="E682" s="92" t="s">
        <v>5425</v>
      </c>
      <c r="F682" s="89">
        <v>670627</v>
      </c>
      <c r="G682" s="29">
        <v>57262300</v>
      </c>
    </row>
    <row r="683" spans="1:7">
      <c r="A683" s="33">
        <v>42598</v>
      </c>
      <c r="B683" s="34">
        <v>567243</v>
      </c>
      <c r="C683" s="34">
        <v>581738</v>
      </c>
      <c r="D683" s="34">
        <v>566716</v>
      </c>
      <c r="E683" s="92" t="s">
        <v>5426</v>
      </c>
      <c r="F683" s="89">
        <v>672784</v>
      </c>
      <c r="G683" s="29">
        <v>58405200</v>
      </c>
    </row>
    <row r="684" spans="1:7">
      <c r="A684" s="33">
        <v>42599</v>
      </c>
      <c r="B684" s="34">
        <v>577761</v>
      </c>
      <c r="C684" s="34">
        <v>580894</v>
      </c>
      <c r="D684" s="29" t="s">
        <v>5427</v>
      </c>
      <c r="E684" s="92" t="s">
        <v>1325</v>
      </c>
      <c r="F684" s="89">
        <v>672864</v>
      </c>
      <c r="G684" s="29">
        <v>54443000</v>
      </c>
    </row>
    <row r="685" spans="1:7">
      <c r="A685" s="33">
        <v>42600</v>
      </c>
      <c r="B685" s="34">
        <v>573707</v>
      </c>
      <c r="C685" s="34">
        <v>577792</v>
      </c>
      <c r="D685" s="29" t="s">
        <v>5428</v>
      </c>
      <c r="E685" s="92" t="s">
        <v>2019</v>
      </c>
      <c r="F685" s="89">
        <v>673106</v>
      </c>
      <c r="G685" s="29">
        <v>59896600</v>
      </c>
    </row>
    <row r="686" spans="1:7">
      <c r="A686" s="33">
        <v>42601</v>
      </c>
      <c r="B686" s="34">
        <v>574339</v>
      </c>
      <c r="C686" s="34">
        <v>578238</v>
      </c>
      <c r="D686" s="34">
        <v>574182</v>
      </c>
      <c r="E686" s="92" t="s">
        <v>1884</v>
      </c>
      <c r="F686" s="89">
        <v>673337</v>
      </c>
      <c r="G686" s="29">
        <v>50631600</v>
      </c>
    </row>
    <row r="687" spans="1:7">
      <c r="A687" s="33">
        <v>42602</v>
      </c>
      <c r="B687" s="34">
        <v>576084</v>
      </c>
      <c r="C687" s="34">
        <v>582818</v>
      </c>
      <c r="D687" s="34">
        <v>575457</v>
      </c>
      <c r="E687" s="92" t="s">
        <v>4453</v>
      </c>
      <c r="F687" s="89">
        <v>676296</v>
      </c>
      <c r="G687" s="29">
        <v>45301400</v>
      </c>
    </row>
    <row r="688" spans="1:7">
      <c r="A688" s="33">
        <v>42603</v>
      </c>
      <c r="B688" s="34">
        <v>581939</v>
      </c>
      <c r="C688" s="34">
        <v>584158</v>
      </c>
      <c r="D688" s="34">
        <v>580218</v>
      </c>
      <c r="E688" s="92" t="s">
        <v>1718</v>
      </c>
      <c r="F688" s="89">
        <v>677331</v>
      </c>
      <c r="G688" s="29">
        <v>38299400</v>
      </c>
    </row>
    <row r="689" spans="1:7">
      <c r="A689" s="33">
        <v>42604</v>
      </c>
      <c r="B689" s="34">
        <v>581311</v>
      </c>
      <c r="C689" s="34">
        <v>588448</v>
      </c>
      <c r="D689" s="34">
        <v>580594</v>
      </c>
      <c r="E689" s="92" t="s">
        <v>5429</v>
      </c>
      <c r="F689" s="89">
        <v>678304</v>
      </c>
      <c r="G689" s="29">
        <v>72844000</v>
      </c>
    </row>
    <row r="690" spans="1:7">
      <c r="A690" s="33">
        <v>42605</v>
      </c>
      <c r="B690" s="34">
        <v>586771</v>
      </c>
      <c r="C690" s="34">
        <v>589474</v>
      </c>
      <c r="D690" s="34">
        <v>581634</v>
      </c>
      <c r="E690" s="92" t="s">
        <v>1683</v>
      </c>
      <c r="F690" s="89">
        <v>679459</v>
      </c>
      <c r="G690" s="29">
        <v>85349200</v>
      </c>
    </row>
    <row r="691" spans="1:7">
      <c r="A691" s="33">
        <v>42606</v>
      </c>
      <c r="B691" s="34">
        <v>583412</v>
      </c>
      <c r="C691" s="29" t="s">
        <v>5430</v>
      </c>
      <c r="D691" s="34">
        <v>579855</v>
      </c>
      <c r="E691" s="92" t="s">
        <v>4389</v>
      </c>
      <c r="F691" s="89">
        <v>683662</v>
      </c>
      <c r="G691" s="29">
        <v>56328200</v>
      </c>
    </row>
    <row r="692" spans="1:7">
      <c r="A692" s="33">
        <v>42607</v>
      </c>
      <c r="B692" s="29" t="s">
        <v>5431</v>
      </c>
      <c r="C692" s="34">
        <v>580451</v>
      </c>
      <c r="D692" s="34">
        <v>575167</v>
      </c>
      <c r="E692" s="92" t="s">
        <v>1722</v>
      </c>
      <c r="F692" s="89">
        <v>685559</v>
      </c>
      <c r="G692" s="29" t="s">
        <v>5372</v>
      </c>
    </row>
    <row r="693" spans="1:7">
      <c r="A693" s="33">
        <v>42608</v>
      </c>
      <c r="B693" s="34">
        <v>577753</v>
      </c>
      <c r="C693" s="34">
        <v>580623</v>
      </c>
      <c r="D693" s="34">
        <v>576858</v>
      </c>
      <c r="E693" s="92" t="s">
        <v>5432</v>
      </c>
      <c r="F693" s="89">
        <v>688313</v>
      </c>
      <c r="G693" s="29">
        <v>48856800</v>
      </c>
    </row>
    <row r="694" spans="1:7">
      <c r="A694" s="33">
        <v>42609</v>
      </c>
      <c r="B694" s="34">
        <v>579452</v>
      </c>
      <c r="C694" s="34">
        <v>579845</v>
      </c>
      <c r="D694" s="29" t="s">
        <v>5433</v>
      </c>
      <c r="E694" s="92" t="s">
        <v>1714</v>
      </c>
      <c r="F694" s="89">
        <v>689651</v>
      </c>
      <c r="G694" s="29">
        <v>59698300</v>
      </c>
    </row>
    <row r="695" spans="1:7">
      <c r="A695" s="33">
        <v>42610</v>
      </c>
      <c r="B695" s="29" t="s">
        <v>5434</v>
      </c>
      <c r="C695" s="34">
        <v>574038</v>
      </c>
      <c r="D695" s="29" t="s">
        <v>5435</v>
      </c>
      <c r="E695" s="92" t="s">
        <v>4469</v>
      </c>
      <c r="F695" s="89">
        <v>694469</v>
      </c>
      <c r="G695" s="29">
        <v>86301600</v>
      </c>
    </row>
    <row r="696" spans="1:7">
      <c r="A696" s="33">
        <v>42611</v>
      </c>
      <c r="B696" s="34">
        <v>574071</v>
      </c>
      <c r="C696" s="34">
        <v>576278</v>
      </c>
      <c r="D696" s="34">
        <v>573465</v>
      </c>
      <c r="E696" s="92" t="s">
        <v>4449</v>
      </c>
      <c r="F696" s="89">
        <v>700972</v>
      </c>
      <c r="G696" s="29" t="s">
        <v>5436</v>
      </c>
    </row>
    <row r="697" spans="1:7">
      <c r="A697" s="33">
        <v>42612</v>
      </c>
      <c r="B697" s="34">
        <v>574114</v>
      </c>
      <c r="C697" s="34">
        <v>578357</v>
      </c>
      <c r="D697" s="34">
        <v>574114</v>
      </c>
      <c r="E697" s="92" t="s">
        <v>4301</v>
      </c>
      <c r="F697" s="89">
        <v>701864</v>
      </c>
      <c r="G697" s="29">
        <v>70342400</v>
      </c>
    </row>
    <row r="698" spans="1:7">
      <c r="A698" s="33">
        <v>42613</v>
      </c>
      <c r="B698" s="34">
        <v>577591</v>
      </c>
      <c r="C698" s="34">
        <v>577861</v>
      </c>
      <c r="D698" s="34">
        <v>573642</v>
      </c>
      <c r="E698" s="92" t="s">
        <v>4457</v>
      </c>
      <c r="F698" s="89">
        <v>702031</v>
      </c>
      <c r="G698" s="29" t="s">
        <v>4778</v>
      </c>
    </row>
    <row r="699" spans="1:7">
      <c r="A699" s="33">
        <v>42614</v>
      </c>
      <c r="B699" s="34">
        <v>575546</v>
      </c>
      <c r="C699" s="34">
        <v>576311</v>
      </c>
      <c r="D699" s="34">
        <v>571814</v>
      </c>
      <c r="E699" s="92" t="s">
        <v>5437</v>
      </c>
      <c r="F699" s="89">
        <v>703131</v>
      </c>
      <c r="G699" s="29">
        <v>76923400</v>
      </c>
    </row>
    <row r="700" spans="1:7">
      <c r="A700" s="33">
        <v>42615</v>
      </c>
      <c r="B700" s="29" t="s">
        <v>5438</v>
      </c>
      <c r="C700" s="34">
        <v>575643</v>
      </c>
      <c r="D700" s="34">
        <v>570811</v>
      </c>
      <c r="E700" s="92" t="s">
        <v>854</v>
      </c>
      <c r="F700" s="89">
        <v>703235</v>
      </c>
      <c r="G700" s="29">
        <v>79910800</v>
      </c>
    </row>
    <row r="701" spans="1:7">
      <c r="A701" s="33">
        <v>42616</v>
      </c>
      <c r="B701" s="34">
        <v>575555</v>
      </c>
      <c r="C701" s="29" t="s">
        <v>5439</v>
      </c>
      <c r="D701" s="34">
        <v>574056</v>
      </c>
      <c r="E701" s="92" t="s">
        <v>1968</v>
      </c>
      <c r="F701" s="89">
        <v>703418</v>
      </c>
      <c r="G701" s="29" t="s">
        <v>5440</v>
      </c>
    </row>
    <row r="702" spans="1:7">
      <c r="A702" s="33">
        <v>42617</v>
      </c>
      <c r="B702" s="29" t="s">
        <v>5441</v>
      </c>
      <c r="C702" s="34">
        <v>611837</v>
      </c>
      <c r="D702" s="34">
        <v>596848</v>
      </c>
      <c r="E702" s="92" t="s">
        <v>4265</v>
      </c>
      <c r="F702" s="89">
        <v>703702</v>
      </c>
      <c r="G702" s="29">
        <v>97942896</v>
      </c>
    </row>
    <row r="703" spans="1:7">
      <c r="A703" s="33">
        <v>42618</v>
      </c>
      <c r="B703" s="29" t="s">
        <v>5442</v>
      </c>
      <c r="C703" s="34">
        <v>609055</v>
      </c>
      <c r="D703" s="34">
        <v>602242</v>
      </c>
      <c r="E703" s="92" t="s">
        <v>4373</v>
      </c>
      <c r="F703" s="89">
        <v>704376</v>
      </c>
      <c r="G703" s="29">
        <v>82446800</v>
      </c>
    </row>
    <row r="704" spans="1:7">
      <c r="A704" s="33">
        <v>42619</v>
      </c>
      <c r="B704" s="34">
        <v>606506</v>
      </c>
      <c r="C704" s="29" t="s">
        <v>5443</v>
      </c>
      <c r="D704" s="34">
        <v>605091</v>
      </c>
      <c r="E704" s="92" t="s">
        <v>4337</v>
      </c>
      <c r="F704" s="89">
        <v>705021</v>
      </c>
      <c r="G704" s="29">
        <v>78529104</v>
      </c>
    </row>
    <row r="705" spans="1:7">
      <c r="A705" s="33">
        <v>42620</v>
      </c>
      <c r="B705" s="34">
        <v>610573</v>
      </c>
      <c r="C705" s="34">
        <v>614545</v>
      </c>
      <c r="D705" s="34">
        <v>608513</v>
      </c>
      <c r="E705" s="92" t="s">
        <v>1301</v>
      </c>
      <c r="F705" s="89">
        <v>705054</v>
      </c>
      <c r="G705" s="29">
        <v>75032400</v>
      </c>
    </row>
    <row r="706" spans="1:7">
      <c r="A706" s="33">
        <v>42621</v>
      </c>
      <c r="B706" s="34">
        <v>614635</v>
      </c>
      <c r="C706" s="29" t="s">
        <v>5444</v>
      </c>
      <c r="D706" s="34">
        <v>613844</v>
      </c>
      <c r="E706" s="92" t="s">
        <v>4377</v>
      </c>
      <c r="F706" s="89">
        <v>709848</v>
      </c>
      <c r="G706" s="29">
        <v>86713000</v>
      </c>
    </row>
    <row r="707" spans="1:7">
      <c r="A707" s="33">
        <v>42622</v>
      </c>
      <c r="B707" s="34">
        <v>626352</v>
      </c>
      <c r="C707" s="29" t="s">
        <v>5445</v>
      </c>
      <c r="D707" s="34">
        <v>620263</v>
      </c>
      <c r="E707" s="92" t="s">
        <v>1317</v>
      </c>
      <c r="F707" s="89">
        <v>711522</v>
      </c>
      <c r="G707" s="29">
        <v>64550200</v>
      </c>
    </row>
    <row r="708" spans="1:7">
      <c r="A708" s="33">
        <v>42623</v>
      </c>
      <c r="B708" s="34">
        <v>622927</v>
      </c>
      <c r="C708" s="34">
        <v>625095</v>
      </c>
      <c r="D708" s="34">
        <v>622395</v>
      </c>
      <c r="E708" s="92" t="s">
        <v>1145</v>
      </c>
      <c r="F708" s="89">
        <v>711619</v>
      </c>
      <c r="G708" s="29">
        <v>45016800</v>
      </c>
    </row>
    <row r="709" spans="1:7">
      <c r="A709" s="33">
        <v>42624</v>
      </c>
      <c r="B709" s="34">
        <v>623424</v>
      </c>
      <c r="C709" s="34">
        <v>628818</v>
      </c>
      <c r="D709" s="34">
        <v>600506</v>
      </c>
      <c r="E709" s="92" t="s">
        <v>2031</v>
      </c>
      <c r="F709" s="89">
        <v>714479</v>
      </c>
      <c r="G709" s="29">
        <v>73610800</v>
      </c>
    </row>
    <row r="710" spans="1:7">
      <c r="A710" s="33">
        <v>42625</v>
      </c>
      <c r="B710" s="34">
        <v>607005</v>
      </c>
      <c r="C710" s="34">
        <v>608459</v>
      </c>
      <c r="D710" s="34">
        <v>605411</v>
      </c>
      <c r="E710" s="92" t="s">
        <v>4393</v>
      </c>
      <c r="F710" s="89">
        <v>715534</v>
      </c>
      <c r="G710" s="29">
        <v>72812304</v>
      </c>
    </row>
    <row r="711" spans="1:7">
      <c r="A711" s="33">
        <v>42626</v>
      </c>
      <c r="B711" s="34">
        <v>608025</v>
      </c>
      <c r="C711" s="34">
        <v>611193</v>
      </c>
      <c r="D711" s="34">
        <v>606925</v>
      </c>
      <c r="E711" s="92" t="s">
        <v>1702</v>
      </c>
      <c r="F711" s="89">
        <v>716411</v>
      </c>
      <c r="G711" s="29">
        <v>86920600</v>
      </c>
    </row>
    <row r="712" spans="1:7">
      <c r="A712" s="33">
        <v>42627</v>
      </c>
      <c r="B712" s="34">
        <v>608841</v>
      </c>
      <c r="C712" s="34">
        <v>611952</v>
      </c>
      <c r="D712" s="29" t="s">
        <v>5446</v>
      </c>
      <c r="E712" s="92" t="s">
        <v>1321</v>
      </c>
      <c r="F712" s="89">
        <v>723273</v>
      </c>
      <c r="G712" s="29">
        <v>47877700</v>
      </c>
    </row>
    <row r="713" spans="1:7">
      <c r="A713" s="33">
        <v>42628</v>
      </c>
      <c r="B713" s="34">
        <v>610588</v>
      </c>
      <c r="C713" s="34">
        <v>611086</v>
      </c>
      <c r="D713" s="34">
        <v>607155</v>
      </c>
      <c r="E713" s="92" t="s">
        <v>4465</v>
      </c>
      <c r="F713" s="89">
        <v>729793</v>
      </c>
      <c r="G713" s="29">
        <v>59464600</v>
      </c>
    </row>
    <row r="714" spans="1:7">
      <c r="A714" s="33">
        <v>42629</v>
      </c>
      <c r="B714" s="34">
        <v>607246</v>
      </c>
      <c r="C714" s="34">
        <v>609261</v>
      </c>
      <c r="D714" s="34">
        <v>606735</v>
      </c>
      <c r="E714" s="92" t="s">
        <v>5447</v>
      </c>
      <c r="F714" s="89">
        <v>731026</v>
      </c>
      <c r="G714" s="29">
        <v>64963400</v>
      </c>
    </row>
    <row r="715" spans="1:7">
      <c r="A715" s="33">
        <v>42630</v>
      </c>
      <c r="B715" s="34">
        <v>607218</v>
      </c>
      <c r="C715" s="29" t="s">
        <v>5448</v>
      </c>
      <c r="D715" s="34">
        <v>605192</v>
      </c>
      <c r="E715" s="92" t="s">
        <v>4277</v>
      </c>
      <c r="F715" s="89">
        <v>732035</v>
      </c>
      <c r="G715" s="29">
        <v>37140300</v>
      </c>
    </row>
    <row r="716" spans="1:7">
      <c r="A716" s="33">
        <v>42631</v>
      </c>
      <c r="B716" s="34">
        <v>606283</v>
      </c>
      <c r="C716" s="34">
        <v>610158</v>
      </c>
      <c r="D716" s="34">
        <v>605856</v>
      </c>
      <c r="E716" s="92" t="s">
        <v>5449</v>
      </c>
      <c r="F716" s="89">
        <v>735382</v>
      </c>
      <c r="G716" s="29">
        <v>48679400</v>
      </c>
    </row>
    <row r="717" spans="1:7">
      <c r="A717" s="33">
        <v>42632</v>
      </c>
      <c r="B717" s="34">
        <v>609871</v>
      </c>
      <c r="C717" s="34">
        <v>610932</v>
      </c>
      <c r="D717" s="29" t="s">
        <v>5450</v>
      </c>
      <c r="E717" s="92" t="s">
        <v>1710</v>
      </c>
      <c r="F717" s="89">
        <v>735604</v>
      </c>
      <c r="G717" s="29">
        <v>54796400</v>
      </c>
    </row>
    <row r="718" spans="1:7">
      <c r="A718" s="33">
        <v>42633</v>
      </c>
      <c r="B718" s="34">
        <v>609254</v>
      </c>
      <c r="C718" s="34">
        <v>609525</v>
      </c>
      <c r="D718" s="34">
        <v>607938</v>
      </c>
      <c r="E718" s="92" t="s">
        <v>1829</v>
      </c>
      <c r="F718" s="89">
        <v>735813</v>
      </c>
      <c r="G718" s="29">
        <v>72710896</v>
      </c>
    </row>
    <row r="719" spans="1:7">
      <c r="A719" s="33">
        <v>42634</v>
      </c>
      <c r="B719" s="34">
        <v>603588</v>
      </c>
      <c r="C719" s="34">
        <v>603588</v>
      </c>
      <c r="D719" s="34">
        <v>595883</v>
      </c>
      <c r="E719" s="92" t="s">
        <v>4461</v>
      </c>
      <c r="F719" s="89">
        <v>737226</v>
      </c>
      <c r="G719" s="29">
        <v>82776200</v>
      </c>
    </row>
    <row r="720" spans="1:7">
      <c r="A720" s="33">
        <v>42635</v>
      </c>
      <c r="B720" s="34">
        <v>597279</v>
      </c>
      <c r="C720" s="34">
        <v>598487</v>
      </c>
      <c r="D720" s="34">
        <v>596213</v>
      </c>
      <c r="E720" s="92" t="s">
        <v>4445</v>
      </c>
      <c r="F720" s="89">
        <v>739248</v>
      </c>
      <c r="G720" s="29">
        <v>67085300</v>
      </c>
    </row>
    <row r="721" spans="1:7">
      <c r="A721" s="33">
        <v>42636</v>
      </c>
      <c r="B721" s="34">
        <v>596199</v>
      </c>
      <c r="C721" s="34">
        <v>603205</v>
      </c>
      <c r="D721" s="34">
        <v>595786</v>
      </c>
      <c r="E721" s="92" t="s">
        <v>5451</v>
      </c>
      <c r="F721" s="89">
        <v>740289</v>
      </c>
      <c r="G721" s="29">
        <v>51067000</v>
      </c>
    </row>
    <row r="722" spans="1:7">
      <c r="A722" s="33">
        <v>42637</v>
      </c>
      <c r="B722" s="34">
        <v>602961</v>
      </c>
      <c r="C722" s="29" t="s">
        <v>5452</v>
      </c>
      <c r="D722" s="34">
        <v>602045</v>
      </c>
      <c r="E722" s="92" t="s">
        <v>4309</v>
      </c>
      <c r="F722" s="89">
        <v>740829</v>
      </c>
      <c r="G722" s="29">
        <v>35359500</v>
      </c>
    </row>
    <row r="723" spans="1:7">
      <c r="A723" s="33">
        <v>42638</v>
      </c>
      <c r="B723" s="34">
        <v>602749</v>
      </c>
      <c r="C723" s="34">
        <v>603381</v>
      </c>
      <c r="D723" s="34">
        <v>599711</v>
      </c>
      <c r="E723" s="92" t="s">
        <v>4385</v>
      </c>
      <c r="F723" s="89">
        <v>740977</v>
      </c>
      <c r="G723" s="29">
        <v>33977800</v>
      </c>
    </row>
    <row r="724" spans="1:7">
      <c r="A724" s="33">
        <v>42639</v>
      </c>
      <c r="B724" s="34">
        <v>600807</v>
      </c>
      <c r="C724" s="34">
        <v>608143</v>
      </c>
      <c r="D724" s="34">
        <v>600349</v>
      </c>
      <c r="E724" s="92" t="s">
        <v>5453</v>
      </c>
      <c r="F724" s="89">
        <v>744198</v>
      </c>
      <c r="G724" s="29">
        <v>59153800</v>
      </c>
    </row>
    <row r="725" spans="1:7">
      <c r="A725" s="33">
        <v>42640</v>
      </c>
      <c r="B725" s="34">
        <v>608022</v>
      </c>
      <c r="C725" s="34">
        <v>608248</v>
      </c>
      <c r="D725" s="29" t="s">
        <v>5454</v>
      </c>
      <c r="E725" s="92" t="s">
        <v>5455</v>
      </c>
      <c r="F725" s="89">
        <v>744594</v>
      </c>
      <c r="G725" s="29">
        <v>49422400</v>
      </c>
    </row>
    <row r="726" spans="1:7">
      <c r="A726" s="33">
        <v>42641</v>
      </c>
      <c r="B726" s="34">
        <v>606243</v>
      </c>
      <c r="C726" s="29" t="s">
        <v>5210</v>
      </c>
      <c r="D726" s="34">
        <v>604607</v>
      </c>
      <c r="E726" s="92" t="s">
        <v>1801</v>
      </c>
      <c r="F726" s="89">
        <v>745691</v>
      </c>
      <c r="G726" s="29">
        <v>48722600</v>
      </c>
    </row>
    <row r="727" spans="1:7">
      <c r="A727" s="33">
        <v>42642</v>
      </c>
      <c r="B727" s="34">
        <v>605019</v>
      </c>
      <c r="C727" s="34">
        <v>606824</v>
      </c>
      <c r="D727" s="34">
        <v>604848</v>
      </c>
      <c r="E727" s="92" t="s">
        <v>1817</v>
      </c>
      <c r="F727" s="89">
        <v>748909</v>
      </c>
      <c r="G727" s="29" t="s">
        <v>4778</v>
      </c>
    </row>
    <row r="728" spans="1:7">
      <c r="A728" s="33">
        <v>42643</v>
      </c>
      <c r="B728" s="34">
        <v>605715</v>
      </c>
      <c r="C728" s="34">
        <v>609735</v>
      </c>
      <c r="D728" s="34">
        <v>604142</v>
      </c>
      <c r="E728" s="92" t="s">
        <v>5456</v>
      </c>
      <c r="F728" s="89">
        <v>751585</v>
      </c>
      <c r="G728" s="29">
        <v>56122400</v>
      </c>
    </row>
    <row r="729" spans="1:7">
      <c r="A729" s="33">
        <v>42644</v>
      </c>
      <c r="B729" s="34">
        <v>609929</v>
      </c>
      <c r="C729" s="34">
        <v>615237</v>
      </c>
      <c r="D729" s="34">
        <v>609929</v>
      </c>
      <c r="E729" s="92" t="s">
        <v>5457</v>
      </c>
      <c r="F729" s="89">
        <v>751616</v>
      </c>
      <c r="G729" s="29">
        <v>56357000</v>
      </c>
    </row>
    <row r="730" spans="1:7">
      <c r="A730" s="33">
        <v>42645</v>
      </c>
      <c r="B730" s="34">
        <v>613948</v>
      </c>
      <c r="C730" s="34">
        <v>614005</v>
      </c>
      <c r="D730" s="34">
        <v>609682</v>
      </c>
      <c r="E730" s="92" t="s">
        <v>1730</v>
      </c>
      <c r="F730" s="89">
        <v>756227</v>
      </c>
      <c r="G730" s="29">
        <v>39249800</v>
      </c>
    </row>
    <row r="731" spans="1:7">
      <c r="A731" s="33">
        <v>42646</v>
      </c>
      <c r="B731" s="34">
        <v>610968</v>
      </c>
      <c r="C731" s="34">
        <v>612568</v>
      </c>
      <c r="D731" s="34">
        <v>610455</v>
      </c>
      <c r="E731" s="92" t="s">
        <v>5458</v>
      </c>
      <c r="F731" s="89">
        <v>756774</v>
      </c>
      <c r="G731" s="29">
        <v>46798300</v>
      </c>
    </row>
    <row r="732" spans="1:7">
      <c r="A732" s="33">
        <v>42647</v>
      </c>
      <c r="B732" s="34">
        <v>612052</v>
      </c>
      <c r="C732" s="34">
        <v>612054</v>
      </c>
      <c r="D732" s="34">
        <v>609479</v>
      </c>
      <c r="E732" s="92" t="s">
        <v>1964</v>
      </c>
      <c r="F732" s="89">
        <v>763781</v>
      </c>
      <c r="G732" s="29">
        <v>49801600</v>
      </c>
    </row>
    <row r="733" spans="1:7">
      <c r="A733" s="33">
        <v>42648</v>
      </c>
      <c r="B733" s="34">
        <v>610218</v>
      </c>
      <c r="C733" s="34">
        <v>613814</v>
      </c>
      <c r="D733" s="34">
        <v>609617</v>
      </c>
      <c r="E733" s="92" t="s">
        <v>5459</v>
      </c>
      <c r="F733" s="89">
        <v>764224</v>
      </c>
      <c r="G733" s="29">
        <v>68077504</v>
      </c>
    </row>
    <row r="734" spans="1:7">
      <c r="A734" s="33">
        <v>42649</v>
      </c>
      <c r="B734" s="29" t="s">
        <v>5460</v>
      </c>
      <c r="C734" s="34">
        <v>613819</v>
      </c>
      <c r="D734" s="34">
        <v>611469</v>
      </c>
      <c r="E734" s="92" t="s">
        <v>2027</v>
      </c>
      <c r="F734" s="89">
        <v>766308</v>
      </c>
      <c r="G734" s="29">
        <v>56812100</v>
      </c>
    </row>
    <row r="735" spans="1:7">
      <c r="A735" s="33">
        <v>42650</v>
      </c>
      <c r="B735" s="34">
        <v>612608</v>
      </c>
      <c r="C735" s="34">
        <v>617912</v>
      </c>
      <c r="D735" s="34">
        <v>611821</v>
      </c>
      <c r="E735" s="92" t="s">
        <v>5461</v>
      </c>
      <c r="F735" s="89">
        <v>768132</v>
      </c>
      <c r="G735" s="29">
        <v>64071400</v>
      </c>
    </row>
    <row r="736" spans="1:7">
      <c r="A736" s="33">
        <v>42651</v>
      </c>
      <c r="B736" s="34">
        <v>617341</v>
      </c>
      <c r="C736" s="34">
        <v>619849</v>
      </c>
      <c r="D736" s="34">
        <v>617341</v>
      </c>
      <c r="E736" s="92" t="s">
        <v>4281</v>
      </c>
      <c r="F736" s="89">
        <v>769731</v>
      </c>
      <c r="G736" s="29">
        <v>42345900</v>
      </c>
    </row>
    <row r="737" spans="1:7">
      <c r="A737" s="33">
        <v>42652</v>
      </c>
      <c r="B737" s="34">
        <v>619172</v>
      </c>
      <c r="C737" s="34">
        <v>619198</v>
      </c>
      <c r="D737" s="34">
        <v>616607</v>
      </c>
      <c r="E737" s="92" t="s">
        <v>4325</v>
      </c>
      <c r="F737" s="89">
        <v>771155</v>
      </c>
      <c r="G737" s="29">
        <v>39243400</v>
      </c>
    </row>
    <row r="738" spans="1:7">
      <c r="A738" s="33">
        <v>42653</v>
      </c>
      <c r="B738" s="34">
        <v>616822</v>
      </c>
      <c r="C738" s="34">
        <v>621318</v>
      </c>
      <c r="D738" s="34">
        <v>616197</v>
      </c>
      <c r="E738" s="92" t="s">
        <v>5462</v>
      </c>
      <c r="F738" s="89">
        <v>772794</v>
      </c>
      <c r="G738" s="29">
        <v>67481104</v>
      </c>
    </row>
    <row r="739" spans="1:7">
      <c r="A739" s="33">
        <v>42654</v>
      </c>
      <c r="B739" s="34">
        <v>619238</v>
      </c>
      <c r="C739" s="29" t="s">
        <v>5463</v>
      </c>
      <c r="D739" s="29" t="s">
        <v>5464</v>
      </c>
      <c r="E739" s="92" t="s">
        <v>1726</v>
      </c>
      <c r="F739" s="89">
        <v>773872</v>
      </c>
      <c r="G739" s="29" t="s">
        <v>5465</v>
      </c>
    </row>
    <row r="740" spans="1:7">
      <c r="A740" s="33">
        <v>42655</v>
      </c>
      <c r="B740" s="34">
        <v>640871</v>
      </c>
      <c r="C740" s="34">
        <v>641337</v>
      </c>
      <c r="D740" s="34">
        <v>635965</v>
      </c>
      <c r="E740" s="92" t="s">
        <v>1821</v>
      </c>
      <c r="F740" s="89">
        <v>777757</v>
      </c>
      <c r="G740" s="29">
        <v>92370200</v>
      </c>
    </row>
    <row r="741" spans="1:7">
      <c r="A741" s="33">
        <v>42656</v>
      </c>
      <c r="B741" s="29" t="s">
        <v>5466</v>
      </c>
      <c r="C741" s="34">
        <v>638833</v>
      </c>
      <c r="D741" s="34">
        <v>635029</v>
      </c>
      <c r="E741" s="92" t="s">
        <v>4269</v>
      </c>
      <c r="F741" s="89">
        <v>777944</v>
      </c>
      <c r="G741" s="29">
        <v>61620700</v>
      </c>
    </row>
    <row r="742" spans="1:7">
      <c r="A742" s="33">
        <v>42657</v>
      </c>
      <c r="B742" s="34">
        <v>637008</v>
      </c>
      <c r="C742" s="34">
        <v>641285</v>
      </c>
      <c r="D742" s="34">
        <v>637008</v>
      </c>
      <c r="E742" s="92" t="s">
        <v>1329</v>
      </c>
      <c r="F742" s="89">
        <v>778088</v>
      </c>
      <c r="G742" s="29">
        <v>58144600</v>
      </c>
    </row>
    <row r="743" spans="1:7">
      <c r="A743" s="33">
        <v>42658</v>
      </c>
      <c r="B743" s="34">
        <v>640311</v>
      </c>
      <c r="C743" s="34">
        <v>642102</v>
      </c>
      <c r="D743" s="29" t="s">
        <v>5467</v>
      </c>
      <c r="E743" s="92" t="s">
        <v>1120</v>
      </c>
      <c r="F743" s="89">
        <v>780087</v>
      </c>
      <c r="G743" s="29">
        <v>39035400</v>
      </c>
    </row>
    <row r="744" spans="1:7">
      <c r="A744" s="33">
        <v>42659</v>
      </c>
      <c r="B744" s="34">
        <v>639083</v>
      </c>
      <c r="C744" s="34">
        <v>642898</v>
      </c>
      <c r="D744" s="34">
        <v>638901</v>
      </c>
      <c r="E744" s="92" t="s">
        <v>2035</v>
      </c>
      <c r="F744" s="89">
        <v>780556</v>
      </c>
      <c r="G744" s="29" t="s">
        <v>4778</v>
      </c>
    </row>
    <row r="745" spans="1:7">
      <c r="A745" s="33">
        <v>42660</v>
      </c>
      <c r="B745" s="34">
        <v>641818</v>
      </c>
      <c r="C745" s="34">
        <v>642328</v>
      </c>
      <c r="D745" s="34">
        <v>638663</v>
      </c>
      <c r="E745" s="92" t="s">
        <v>1825</v>
      </c>
      <c r="F745" s="89">
        <v>781481</v>
      </c>
      <c r="G745" s="29">
        <v>58063600</v>
      </c>
    </row>
    <row r="746" spans="1:7">
      <c r="A746" s="33">
        <v>42661</v>
      </c>
      <c r="B746" s="34">
        <v>639411</v>
      </c>
      <c r="C746" s="34">
        <v>640736</v>
      </c>
      <c r="D746" s="34">
        <v>635996</v>
      </c>
      <c r="E746" s="92" t="s">
        <v>1952</v>
      </c>
      <c r="F746" s="89">
        <v>784907</v>
      </c>
      <c r="G746" s="29">
        <v>65546700</v>
      </c>
    </row>
    <row r="747" spans="1:7">
      <c r="A747" s="33">
        <v>42662</v>
      </c>
      <c r="B747" s="34">
        <v>638134</v>
      </c>
      <c r="C747" s="34">
        <v>638874</v>
      </c>
      <c r="D747" s="34">
        <v>628013</v>
      </c>
      <c r="E747" s="92" t="s">
        <v>4321</v>
      </c>
      <c r="F747" s="89">
        <v>790829</v>
      </c>
      <c r="G747" s="29">
        <v>69381696</v>
      </c>
    </row>
    <row r="748" spans="1:7">
      <c r="A748" s="33">
        <v>42663</v>
      </c>
      <c r="B748" s="34">
        <v>630663</v>
      </c>
      <c r="C748" s="34">
        <v>631917</v>
      </c>
      <c r="D748" s="34">
        <v>628258</v>
      </c>
      <c r="E748" s="92" t="s">
        <v>4433</v>
      </c>
      <c r="F748" s="89">
        <v>792714</v>
      </c>
      <c r="G748" s="29">
        <v>56957300</v>
      </c>
    </row>
    <row r="749" spans="1:7">
      <c r="A749" s="33">
        <v>42664</v>
      </c>
      <c r="B749" s="34">
        <v>630825</v>
      </c>
      <c r="C749" s="34">
        <v>634094</v>
      </c>
      <c r="D749" s="34">
        <v>630694</v>
      </c>
      <c r="E749" s="92" t="s">
        <v>5468</v>
      </c>
      <c r="F749" s="89">
        <v>800876</v>
      </c>
      <c r="G749" s="29">
        <v>55951000</v>
      </c>
    </row>
    <row r="750" spans="1:7">
      <c r="A750" s="33">
        <v>42665</v>
      </c>
      <c r="B750" s="34">
        <v>633136</v>
      </c>
      <c r="C750" s="34">
        <v>658197</v>
      </c>
      <c r="D750" s="29" t="s">
        <v>5469</v>
      </c>
      <c r="E750" s="92" t="s">
        <v>4317</v>
      </c>
      <c r="F750" s="89">
        <v>804834</v>
      </c>
      <c r="G750" s="29">
        <v>78556496</v>
      </c>
    </row>
    <row r="751" spans="1:7">
      <c r="A751" s="33">
        <v>42666</v>
      </c>
      <c r="B751" s="34">
        <v>657621</v>
      </c>
      <c r="C751" s="34">
        <v>661129</v>
      </c>
      <c r="D751" s="34">
        <v>653886</v>
      </c>
      <c r="E751" s="92" t="s">
        <v>4437</v>
      </c>
      <c r="F751" s="89">
        <v>818412</v>
      </c>
      <c r="G751" s="29">
        <v>54474600</v>
      </c>
    </row>
    <row r="752" spans="1:7">
      <c r="A752" s="33">
        <v>42667</v>
      </c>
      <c r="B752" s="34">
        <v>657161</v>
      </c>
      <c r="C752" s="34">
        <v>657252</v>
      </c>
      <c r="D752" s="34">
        <v>652595</v>
      </c>
      <c r="E752" s="92" t="s">
        <v>5470</v>
      </c>
      <c r="F752" s="89">
        <v>821798</v>
      </c>
      <c r="G752" s="29">
        <v>62218200</v>
      </c>
    </row>
    <row r="753" spans="1:7">
      <c r="A753" s="33">
        <v>42668</v>
      </c>
      <c r="B753" s="34">
        <v>654002</v>
      </c>
      <c r="C753" s="34">
        <v>664424</v>
      </c>
      <c r="D753" s="34">
        <v>653698</v>
      </c>
      <c r="E753" s="92" t="s">
        <v>5471</v>
      </c>
      <c r="F753" s="89">
        <v>823984</v>
      </c>
      <c r="G753" s="29">
        <v>90378800</v>
      </c>
    </row>
    <row r="754" spans="1:7">
      <c r="A754" s="33">
        <v>42669</v>
      </c>
      <c r="B754" s="34">
        <v>657678</v>
      </c>
      <c r="C754" s="34">
        <v>679728</v>
      </c>
      <c r="D754" s="34">
        <v>657678</v>
      </c>
      <c r="E754" s="92" t="s">
        <v>1916</v>
      </c>
      <c r="F754" s="89">
        <v>831534</v>
      </c>
      <c r="G754" s="29">
        <v>88877104</v>
      </c>
    </row>
    <row r="755" spans="1:7">
      <c r="A755" s="33">
        <v>42670</v>
      </c>
      <c r="B755" s="34">
        <v>678214</v>
      </c>
      <c r="C755" s="34">
        <v>688594</v>
      </c>
      <c r="D755" s="29" t="s">
        <v>5472</v>
      </c>
      <c r="E755" s="92" t="s">
        <v>4229</v>
      </c>
      <c r="F755" s="89">
        <v>834281</v>
      </c>
      <c r="G755" s="29">
        <v>96105296</v>
      </c>
    </row>
    <row r="756" spans="1:7">
      <c r="A756" s="33">
        <v>42671</v>
      </c>
      <c r="B756" s="29">
        <v>688</v>
      </c>
      <c r="C756" s="34">
        <v>690444</v>
      </c>
      <c r="D756" s="34">
        <v>684162</v>
      </c>
      <c r="E756" s="92" t="s">
        <v>5473</v>
      </c>
      <c r="F756" s="89">
        <v>886618</v>
      </c>
      <c r="G756" s="29">
        <v>81145504</v>
      </c>
    </row>
    <row r="757" spans="1:7">
      <c r="A757" s="33">
        <v>42672</v>
      </c>
      <c r="B757" s="34">
        <v>690289</v>
      </c>
      <c r="C757" s="34">
        <v>720402</v>
      </c>
      <c r="D757" s="34">
        <v>690052</v>
      </c>
      <c r="E757" s="92" t="s">
        <v>5474</v>
      </c>
      <c r="F757" s="89">
        <v>892687</v>
      </c>
      <c r="G757" s="29" t="s">
        <v>5318</v>
      </c>
    </row>
    <row r="758" spans="1:7">
      <c r="A758" s="33">
        <v>42673</v>
      </c>
      <c r="B758" s="34">
        <v>714118</v>
      </c>
      <c r="C758" s="34">
        <v>714118</v>
      </c>
      <c r="D758" s="34">
        <v>696475</v>
      </c>
      <c r="E758" s="92" t="s">
        <v>1694</v>
      </c>
      <c r="F758" s="89">
        <v>895026</v>
      </c>
      <c r="G758" s="29" t="s">
        <v>5475</v>
      </c>
    </row>
    <row r="759" spans="1:7">
      <c r="A759" s="33">
        <v>42674</v>
      </c>
      <c r="B759" s="29" t="s">
        <v>5476</v>
      </c>
      <c r="C759" s="34">
        <v>709289</v>
      </c>
      <c r="D759" s="34">
        <v>691682</v>
      </c>
      <c r="E759" s="92" t="s">
        <v>1698</v>
      </c>
      <c r="F759" s="89">
        <v>896183</v>
      </c>
      <c r="G759" s="29">
        <v>97064400</v>
      </c>
    </row>
    <row r="760" spans="1:7">
      <c r="A760" s="33">
        <v>42675</v>
      </c>
      <c r="B760" s="34">
        <v>701337</v>
      </c>
      <c r="C760" s="34">
        <v>736452</v>
      </c>
      <c r="D760" s="34">
        <v>701337</v>
      </c>
      <c r="E760" s="92" t="s">
        <v>4429</v>
      </c>
      <c r="F760" s="89">
        <v>898822</v>
      </c>
      <c r="G760" s="29" t="s">
        <v>5395</v>
      </c>
    </row>
    <row r="761" spans="1:7">
      <c r="A761" s="33">
        <v>42676</v>
      </c>
      <c r="B761" s="34">
        <v>730066</v>
      </c>
      <c r="C761" s="34">
        <v>740829</v>
      </c>
      <c r="D761" s="34">
        <v>722349</v>
      </c>
      <c r="E761" s="92" t="s">
        <v>5477</v>
      </c>
      <c r="F761" s="89">
        <v>899073</v>
      </c>
      <c r="G761" s="29">
        <v>84865200</v>
      </c>
    </row>
    <row r="762" spans="1:7">
      <c r="A762" s="33">
        <v>42677</v>
      </c>
      <c r="B762" s="34">
        <v>742346</v>
      </c>
      <c r="C762" s="34">
        <v>745773</v>
      </c>
      <c r="D762" s="34">
        <v>678156</v>
      </c>
      <c r="E762" s="92" t="s">
        <v>5478</v>
      </c>
      <c r="F762" s="89">
        <v>901542</v>
      </c>
      <c r="G762" s="29" t="s">
        <v>5479</v>
      </c>
    </row>
    <row r="763" spans="1:7">
      <c r="A763" s="33">
        <v>42678</v>
      </c>
      <c r="B763" s="34">
        <v>689124</v>
      </c>
      <c r="C763" s="29" t="s">
        <v>5480</v>
      </c>
      <c r="D763" s="34">
        <v>685563</v>
      </c>
      <c r="E763" s="92" t="s">
        <v>4381</v>
      </c>
      <c r="F763" s="89">
        <v>902201</v>
      </c>
      <c r="G763" s="29">
        <v>99907696</v>
      </c>
    </row>
    <row r="764" spans="1:7">
      <c r="A764" s="33">
        <v>42679</v>
      </c>
      <c r="B764" s="34">
        <v>703525</v>
      </c>
      <c r="C764" s="29" t="s">
        <v>5481</v>
      </c>
      <c r="D764" s="34">
        <v>697739</v>
      </c>
      <c r="E764" s="92" t="s">
        <v>1734</v>
      </c>
      <c r="F764" s="89">
        <v>902828</v>
      </c>
      <c r="G764" s="29">
        <v>53752300</v>
      </c>
    </row>
    <row r="765" spans="1:7">
      <c r="A765" s="33">
        <v>42680</v>
      </c>
      <c r="B765" s="34">
        <v>703812</v>
      </c>
      <c r="C765" s="34">
        <v>714258</v>
      </c>
      <c r="D765" s="29" t="s">
        <v>5482</v>
      </c>
      <c r="E765" s="92" t="s">
        <v>5483</v>
      </c>
      <c r="F765" s="89">
        <v>907679</v>
      </c>
      <c r="G765" s="29">
        <v>59902200</v>
      </c>
    </row>
    <row r="766" spans="1:7">
      <c r="A766" s="33">
        <v>42681</v>
      </c>
      <c r="B766" s="34">
        <v>710736</v>
      </c>
      <c r="C766" s="34">
        <v>710736</v>
      </c>
      <c r="D766" s="34">
        <v>699903</v>
      </c>
      <c r="E766" s="92" t="s">
        <v>1690</v>
      </c>
      <c r="F766" s="89">
        <v>907938</v>
      </c>
      <c r="G766" s="29">
        <v>65047100</v>
      </c>
    </row>
    <row r="767" spans="1:7">
      <c r="A767" s="33">
        <v>42682</v>
      </c>
      <c r="B767" s="34">
        <v>703089</v>
      </c>
      <c r="C767" s="34">
        <v>712987</v>
      </c>
      <c r="D767" s="29" t="s">
        <v>5484</v>
      </c>
      <c r="E767" s="92" t="s">
        <v>5485</v>
      </c>
      <c r="F767" s="89">
        <v>908585</v>
      </c>
      <c r="G767" s="29">
        <v>79660800</v>
      </c>
    </row>
    <row r="768" spans="1:7">
      <c r="A768" s="33">
        <v>42683</v>
      </c>
      <c r="B768" s="34">
        <v>709825</v>
      </c>
      <c r="C768" s="34">
        <v>740046</v>
      </c>
      <c r="D768" s="29" t="s">
        <v>5486</v>
      </c>
      <c r="E768" s="92" t="s">
        <v>4405</v>
      </c>
      <c r="F768" s="89">
        <v>917586</v>
      </c>
      <c r="G768" s="29" t="s">
        <v>5270</v>
      </c>
    </row>
    <row r="769" spans="1:7">
      <c r="A769" s="33">
        <v>42684</v>
      </c>
      <c r="B769" s="34">
        <v>722844</v>
      </c>
      <c r="C769" s="34">
        <v>723018</v>
      </c>
      <c r="D769" s="29" t="s">
        <v>5487</v>
      </c>
      <c r="E769" s="92" t="s">
        <v>5488</v>
      </c>
      <c r="F769" s="89">
        <v>919496</v>
      </c>
      <c r="G769" s="29">
        <v>68807800</v>
      </c>
    </row>
    <row r="770" spans="1:7">
      <c r="A770" s="33">
        <v>42685</v>
      </c>
      <c r="B770" s="34">
        <v>715555</v>
      </c>
      <c r="C770" s="34">
        <v>718318</v>
      </c>
      <c r="D770" s="29" t="s">
        <v>5489</v>
      </c>
      <c r="E770" s="92" t="s">
        <v>1125</v>
      </c>
      <c r="F770" s="89">
        <v>920382</v>
      </c>
      <c r="G770" s="29">
        <v>63119700</v>
      </c>
    </row>
    <row r="771" spans="1:7">
      <c r="A771" s="33">
        <v>42686</v>
      </c>
      <c r="B771" s="34">
        <v>716752</v>
      </c>
      <c r="C771" s="34">
        <v>717148</v>
      </c>
      <c r="D771" s="34">
        <v>704035</v>
      </c>
      <c r="E771" s="92" t="s">
        <v>4401</v>
      </c>
      <c r="F771" s="89">
        <v>921012</v>
      </c>
      <c r="G771" s="29">
        <v>64622500</v>
      </c>
    </row>
    <row r="772" spans="1:7">
      <c r="A772" s="33">
        <v>42687</v>
      </c>
      <c r="B772" s="34">
        <v>705196</v>
      </c>
      <c r="C772" s="34">
        <v>705257</v>
      </c>
      <c r="D772" s="34">
        <v>687315</v>
      </c>
      <c r="E772" s="92" t="s">
        <v>5490</v>
      </c>
      <c r="F772" s="89">
        <v>921789</v>
      </c>
      <c r="G772" s="29" t="s">
        <v>4778</v>
      </c>
    </row>
    <row r="773" spans="1:7">
      <c r="A773" s="33">
        <v>42688</v>
      </c>
      <c r="B773" s="34">
        <v>701997</v>
      </c>
      <c r="C773" s="34">
        <v>706284</v>
      </c>
      <c r="D773" s="34">
        <v>699808</v>
      </c>
      <c r="E773" s="92" t="s">
        <v>5491</v>
      </c>
      <c r="F773" s="89">
        <v>921984</v>
      </c>
      <c r="G773" s="29">
        <v>62993000</v>
      </c>
    </row>
    <row r="774" spans="1:7">
      <c r="A774" s="33">
        <v>42689</v>
      </c>
      <c r="B774" s="34">
        <v>705794</v>
      </c>
      <c r="C774" s="34">
        <v>715718</v>
      </c>
      <c r="D774" s="29" t="s">
        <v>5492</v>
      </c>
      <c r="E774" s="92" t="s">
        <v>5493</v>
      </c>
      <c r="F774" s="89">
        <v>924673</v>
      </c>
      <c r="G774" s="29">
        <v>72038496</v>
      </c>
    </row>
    <row r="775" spans="1:7">
      <c r="A775" s="33">
        <v>42690</v>
      </c>
      <c r="B775" s="34">
        <v>711167</v>
      </c>
      <c r="C775" s="34">
        <v>747615</v>
      </c>
      <c r="D775" s="34">
        <v>709039</v>
      </c>
      <c r="E775" s="92" t="s">
        <v>1337</v>
      </c>
      <c r="F775" s="89">
        <v>933198</v>
      </c>
      <c r="G775" s="29" t="s">
        <v>5494</v>
      </c>
    </row>
    <row r="776" spans="1:7">
      <c r="A776" s="33">
        <v>42691</v>
      </c>
      <c r="B776" s="34">
        <v>744876</v>
      </c>
      <c r="C776" s="34">
        <v>755645</v>
      </c>
      <c r="D776" s="34">
        <v>739511</v>
      </c>
      <c r="E776" s="92" t="s">
        <v>1686</v>
      </c>
      <c r="F776" s="89">
        <v>961238</v>
      </c>
      <c r="G776" s="29" t="s">
        <v>5382</v>
      </c>
    </row>
    <row r="777" spans="1:7">
      <c r="A777" s="33">
        <v>42692</v>
      </c>
      <c r="B777" s="34">
        <v>740705</v>
      </c>
      <c r="C777" s="29" t="s">
        <v>4778</v>
      </c>
      <c r="D777" s="29" t="s">
        <v>5495</v>
      </c>
      <c r="E777" s="92" t="s">
        <v>4409</v>
      </c>
      <c r="F777" s="89">
        <v>963743</v>
      </c>
      <c r="G777" s="29">
        <v>87363104</v>
      </c>
    </row>
    <row r="778" spans="1:7">
      <c r="A778" s="33">
        <v>42693</v>
      </c>
      <c r="B778" s="34">
        <v>751833</v>
      </c>
      <c r="C778" s="34">
        <v>756237</v>
      </c>
      <c r="D778" s="34">
        <v>744467</v>
      </c>
      <c r="E778" s="92" t="s">
        <v>5496</v>
      </c>
      <c r="F778" s="89">
        <v>966725</v>
      </c>
      <c r="G778" s="29" t="s">
        <v>5268</v>
      </c>
    </row>
    <row r="779" spans="1:7">
      <c r="A779" s="33">
        <v>42694</v>
      </c>
      <c r="B779" s="34">
        <v>751879</v>
      </c>
      <c r="C779" s="29" t="s">
        <v>5497</v>
      </c>
      <c r="D779" s="34">
        <v>717944</v>
      </c>
      <c r="E779" s="92" t="s">
        <v>2063</v>
      </c>
      <c r="F779" s="89">
        <v>970403</v>
      </c>
      <c r="G779" s="29" t="s">
        <v>5498</v>
      </c>
    </row>
    <row r="780" spans="1:7">
      <c r="A780" s="33">
        <v>42695</v>
      </c>
      <c r="B780" s="34">
        <v>731265</v>
      </c>
      <c r="C780" s="29" t="s">
        <v>4778</v>
      </c>
      <c r="D780" s="29" t="s">
        <v>5499</v>
      </c>
      <c r="E780" s="92" t="s">
        <v>1793</v>
      </c>
      <c r="F780" s="89">
        <v>972779</v>
      </c>
      <c r="G780" s="29">
        <v>60802400</v>
      </c>
    </row>
    <row r="781" spans="1:7">
      <c r="A781" s="33">
        <v>42696</v>
      </c>
      <c r="B781" s="34">
        <v>739643</v>
      </c>
      <c r="C781" s="29" t="s">
        <v>5500</v>
      </c>
      <c r="D781" s="34">
        <v>736527</v>
      </c>
      <c r="E781" s="92" t="s">
        <v>4261</v>
      </c>
      <c r="F781" s="89">
        <v>973497</v>
      </c>
      <c r="G781" s="29" t="s">
        <v>5273</v>
      </c>
    </row>
    <row r="782" spans="1:7">
      <c r="A782" s="33">
        <v>42697</v>
      </c>
      <c r="B782" s="34">
        <v>751741</v>
      </c>
      <c r="C782" s="29" t="s">
        <v>5501</v>
      </c>
      <c r="D782" s="34">
        <v>738924</v>
      </c>
      <c r="E782" s="92" t="s">
        <v>1797</v>
      </c>
      <c r="F782" s="89">
        <v>973818</v>
      </c>
      <c r="G782" s="29">
        <v>76543800</v>
      </c>
    </row>
    <row r="783" spans="1:7">
      <c r="A783" s="33">
        <v>42698</v>
      </c>
      <c r="B783" s="29" t="s">
        <v>5502</v>
      </c>
      <c r="C783" s="34">
        <v>746832</v>
      </c>
      <c r="D783" s="29" t="s">
        <v>5503</v>
      </c>
      <c r="E783" s="92" t="s">
        <v>5504</v>
      </c>
      <c r="F783" s="89">
        <v>975921</v>
      </c>
      <c r="G783" s="29">
        <v>85919296</v>
      </c>
    </row>
    <row r="784" spans="1:7">
      <c r="A784" s="33">
        <v>42699</v>
      </c>
      <c r="B784" s="34">
        <v>740442</v>
      </c>
      <c r="C784" s="34">
        <v>741649</v>
      </c>
      <c r="D784" s="34">
        <v>734591</v>
      </c>
      <c r="E784" s="92" t="s">
        <v>2067</v>
      </c>
      <c r="F784" s="89">
        <v>988674</v>
      </c>
      <c r="G784" s="29">
        <v>67807600</v>
      </c>
    </row>
    <row r="785" spans="1:7">
      <c r="A785" s="33">
        <v>42700</v>
      </c>
      <c r="B785" s="34">
        <v>741511</v>
      </c>
      <c r="C785" s="34">
        <v>742214</v>
      </c>
      <c r="D785" s="34">
        <v>729625</v>
      </c>
      <c r="E785" s="92" t="s">
        <v>4273</v>
      </c>
      <c r="F785" s="89">
        <v>989023</v>
      </c>
      <c r="G785" s="29">
        <v>54962700</v>
      </c>
    </row>
    <row r="786" spans="1:7">
      <c r="A786" s="33">
        <v>42701</v>
      </c>
      <c r="B786" s="34">
        <v>735437</v>
      </c>
      <c r="C786" s="34">
        <v>739018</v>
      </c>
      <c r="D786" s="34">
        <v>731085</v>
      </c>
      <c r="E786" s="92" t="s">
        <v>5505</v>
      </c>
      <c r="F786" s="89">
        <v>990642</v>
      </c>
      <c r="G786" s="29">
        <v>52601800</v>
      </c>
    </row>
    <row r="787" spans="1:7">
      <c r="A787" s="33">
        <v>42702</v>
      </c>
      <c r="B787" s="34">
        <v>732484</v>
      </c>
      <c r="C787" s="34">
        <v>738006</v>
      </c>
      <c r="D787" s="34">
        <v>732484</v>
      </c>
      <c r="E787" s="92" t="s">
        <v>4397</v>
      </c>
      <c r="F787" s="89">
        <v>994383</v>
      </c>
      <c r="G787" s="29">
        <v>61888600</v>
      </c>
    </row>
    <row r="788" spans="1:7">
      <c r="A788" s="33">
        <v>42703</v>
      </c>
      <c r="B788" s="34">
        <v>736329</v>
      </c>
      <c r="C788" s="34">
        <v>737471</v>
      </c>
      <c r="D788" s="34">
        <v>734559</v>
      </c>
      <c r="E788" s="92" t="s">
        <v>1956</v>
      </c>
      <c r="F788" s="89">
        <v>998325</v>
      </c>
      <c r="G788" s="29">
        <v>68511104</v>
      </c>
    </row>
    <row r="789" spans="1:7">
      <c r="A789" s="33">
        <v>42704</v>
      </c>
      <c r="B789" s="34">
        <v>736284</v>
      </c>
      <c r="C789" s="34">
        <v>747929</v>
      </c>
      <c r="D789" s="34">
        <v>736265</v>
      </c>
      <c r="E789" s="92" t="s">
        <v>4257</v>
      </c>
      <c r="F789" s="89">
        <v>999181</v>
      </c>
      <c r="G789" s="29">
        <v>84070800</v>
      </c>
    </row>
    <row r="790" spans="1:7">
      <c r="A790" s="33">
        <v>42705</v>
      </c>
      <c r="B790" s="34">
        <v>746046</v>
      </c>
      <c r="C790" s="34">
        <v>758275</v>
      </c>
      <c r="D790" s="34">
        <v>746046</v>
      </c>
      <c r="E790" s="92" t="s">
        <v>5506</v>
      </c>
      <c r="F790" s="89">
        <v>3236762</v>
      </c>
      <c r="G790" s="29">
        <v>80461904</v>
      </c>
    </row>
    <row r="791" spans="1:7">
      <c r="A791" s="33">
        <v>42706</v>
      </c>
      <c r="B791" s="34">
        <v>757545</v>
      </c>
      <c r="C791" s="34">
        <v>781296</v>
      </c>
      <c r="D791" s="34">
        <v>757545</v>
      </c>
      <c r="E791" s="92" t="s">
        <v>2043</v>
      </c>
      <c r="F791" s="89">
        <v>3242485</v>
      </c>
      <c r="G791" s="29" t="s">
        <v>5507</v>
      </c>
    </row>
    <row r="792" spans="1:7">
      <c r="A792" s="33">
        <v>42707</v>
      </c>
      <c r="B792" s="34">
        <v>778248</v>
      </c>
      <c r="C792" s="29" t="s">
        <v>4778</v>
      </c>
      <c r="D792" s="34">
        <v>764856</v>
      </c>
      <c r="E792" s="92" t="s">
        <v>1944</v>
      </c>
      <c r="F792" s="89">
        <v>3252839</v>
      </c>
      <c r="G792" s="29">
        <v>69547296</v>
      </c>
    </row>
    <row r="793" spans="1:7">
      <c r="A793" s="33">
        <v>42708</v>
      </c>
      <c r="B793" s="34">
        <v>771638</v>
      </c>
      <c r="C793" s="34">
        <v>773872</v>
      </c>
      <c r="D793" s="34">
        <v>768161</v>
      </c>
      <c r="E793" s="92" t="s">
        <v>5508</v>
      </c>
      <c r="F793" s="89">
        <v>3313677</v>
      </c>
      <c r="G793" s="29">
        <v>60557900</v>
      </c>
    </row>
    <row r="794" spans="1:7">
      <c r="A794" s="33">
        <v>42709</v>
      </c>
      <c r="B794" s="34">
        <v>773394</v>
      </c>
      <c r="C794" s="34">
        <v>773468</v>
      </c>
      <c r="D794" s="34">
        <v>751713</v>
      </c>
      <c r="E794" s="92" t="s">
        <v>1333</v>
      </c>
      <c r="F794" s="89">
        <v>3399472</v>
      </c>
      <c r="G794" s="29" t="s">
        <v>5257</v>
      </c>
    </row>
    <row r="795" spans="1:7">
      <c r="A795" s="33">
        <v>42710</v>
      </c>
      <c r="B795" s="29" t="s">
        <v>5509</v>
      </c>
      <c r="C795" s="34">
        <v>765622</v>
      </c>
      <c r="D795" s="29" t="s">
        <v>5509</v>
      </c>
      <c r="E795" s="92" t="s">
        <v>5510</v>
      </c>
      <c r="F795" s="89">
        <v>3413768</v>
      </c>
      <c r="G795" s="29" t="s">
        <v>5282</v>
      </c>
    </row>
    <row r="796" spans="1:7">
      <c r="A796" s="33">
        <v>42711</v>
      </c>
      <c r="B796" s="34">
        <v>764211</v>
      </c>
      <c r="C796" s="34">
        <v>771543</v>
      </c>
      <c r="D796" s="29" t="s">
        <v>5511</v>
      </c>
      <c r="E796" s="92" t="s">
        <v>1948</v>
      </c>
      <c r="F796" s="89">
        <v>3419937</v>
      </c>
      <c r="G796" s="29">
        <v>96426096</v>
      </c>
    </row>
    <row r="797" spans="1:7">
      <c r="A797" s="33">
        <v>42712</v>
      </c>
      <c r="B797" s="34">
        <v>768076</v>
      </c>
      <c r="C797" s="34">
        <v>774698</v>
      </c>
      <c r="D797" s="34">
        <v>765946</v>
      </c>
      <c r="E797" s="92" t="s">
        <v>1141</v>
      </c>
      <c r="F797" s="89">
        <v>3424588</v>
      </c>
      <c r="G797" s="29">
        <v>80111904</v>
      </c>
    </row>
    <row r="798" spans="1:7">
      <c r="A798" s="33">
        <v>42713</v>
      </c>
      <c r="B798" s="34">
        <v>769944</v>
      </c>
      <c r="C798" s="34">
        <v>774528</v>
      </c>
      <c r="D798" s="34">
        <v>769649</v>
      </c>
      <c r="E798" s="92" t="s">
        <v>2059</v>
      </c>
      <c r="F798" s="89">
        <v>3448117</v>
      </c>
      <c r="G798" s="29">
        <v>68705296</v>
      </c>
    </row>
    <row r="799" spans="1:7">
      <c r="A799" s="33">
        <v>42714</v>
      </c>
      <c r="B799" s="34">
        <v>773023</v>
      </c>
      <c r="C799" s="34">
        <v>777092</v>
      </c>
      <c r="D799" s="29" t="s">
        <v>5512</v>
      </c>
      <c r="E799" s="92" t="s">
        <v>379</v>
      </c>
      <c r="F799" s="89">
        <v>3457793</v>
      </c>
      <c r="G799" s="29">
        <v>53843100</v>
      </c>
    </row>
    <row r="800" spans="1:7">
      <c r="A800" s="33">
        <v>42715</v>
      </c>
      <c r="B800" s="34">
        <v>774752</v>
      </c>
      <c r="C800" s="29" t="s">
        <v>4778</v>
      </c>
      <c r="D800" s="34">
        <v>765412</v>
      </c>
      <c r="E800" s="92" t="s">
        <v>858</v>
      </c>
      <c r="F800" s="89">
        <v>3459154</v>
      </c>
      <c r="G800" s="29">
        <v>57313400</v>
      </c>
    </row>
    <row r="801" spans="1:7">
      <c r="A801" s="33">
        <v>42716</v>
      </c>
      <c r="B801" s="29" t="s">
        <v>5513</v>
      </c>
      <c r="C801" s="34">
        <v>781922</v>
      </c>
      <c r="D801" s="29" t="s">
        <v>5513</v>
      </c>
      <c r="E801" s="92" t="s">
        <v>5514</v>
      </c>
      <c r="F801" s="89">
        <v>3464013</v>
      </c>
      <c r="G801" s="29">
        <v>76571000</v>
      </c>
    </row>
    <row r="802" spans="1:7">
      <c r="A802" s="33">
        <v>42717</v>
      </c>
      <c r="B802" s="34">
        <v>780647</v>
      </c>
      <c r="C802" s="29" t="s">
        <v>5515</v>
      </c>
      <c r="D802" s="34">
        <v>777962</v>
      </c>
      <c r="E802" s="92" t="s">
        <v>5516</v>
      </c>
      <c r="F802" s="89">
        <v>3466357</v>
      </c>
      <c r="G802" s="29">
        <v>81645600</v>
      </c>
    </row>
    <row r="803" spans="1:7">
      <c r="A803" s="33">
        <v>42718</v>
      </c>
      <c r="B803" s="34">
        <v>780005</v>
      </c>
      <c r="C803" s="34">
        <v>782034</v>
      </c>
      <c r="D803" s="34">
        <v>776839</v>
      </c>
      <c r="E803" s="92" t="s">
        <v>5311</v>
      </c>
      <c r="F803" s="89">
        <v>3486182</v>
      </c>
      <c r="G803" s="29">
        <v>75979000</v>
      </c>
    </row>
    <row r="804" spans="1:7">
      <c r="A804" s="33">
        <v>42719</v>
      </c>
      <c r="B804" s="29" t="s">
        <v>5517</v>
      </c>
      <c r="C804" s="34">
        <v>781435</v>
      </c>
      <c r="D804" s="34">
        <v>777802</v>
      </c>
      <c r="E804" s="92" t="s">
        <v>1305</v>
      </c>
      <c r="F804" s="89">
        <v>3487945</v>
      </c>
      <c r="G804" s="29">
        <v>81580096</v>
      </c>
    </row>
    <row r="805" spans="1:7">
      <c r="A805" s="33">
        <v>42720</v>
      </c>
      <c r="B805" s="34">
        <v>778963</v>
      </c>
      <c r="C805" s="34">
        <v>785032</v>
      </c>
      <c r="D805" s="34">
        <v>778963</v>
      </c>
      <c r="E805" s="92" t="s">
        <v>1738</v>
      </c>
      <c r="F805" s="89">
        <v>3502656</v>
      </c>
      <c r="G805" s="29">
        <v>83608200</v>
      </c>
    </row>
    <row r="806" spans="1:7">
      <c r="A806" s="33">
        <v>42721</v>
      </c>
      <c r="B806" s="34">
        <v>785166</v>
      </c>
      <c r="C806" s="34">
        <v>792509</v>
      </c>
      <c r="D806" s="34">
        <v>784864</v>
      </c>
      <c r="E806" s="92" t="s">
        <v>5518</v>
      </c>
      <c r="F806" s="89">
        <v>3521061</v>
      </c>
      <c r="G806" s="29">
        <v>78989800</v>
      </c>
    </row>
    <row r="807" spans="1:7">
      <c r="A807" s="33">
        <v>42722</v>
      </c>
      <c r="B807" s="34">
        <v>791008</v>
      </c>
      <c r="C807" s="34">
        <v>794737</v>
      </c>
      <c r="D807" s="34">
        <v>788026</v>
      </c>
      <c r="E807" s="92" t="s">
        <v>5519</v>
      </c>
      <c r="F807" s="89">
        <v>3521102</v>
      </c>
      <c r="G807" s="29">
        <v>60524400</v>
      </c>
    </row>
    <row r="808" spans="1:7">
      <c r="A808" s="33">
        <v>42723</v>
      </c>
      <c r="B808" s="34">
        <v>790692</v>
      </c>
      <c r="C808" s="34">
        <v>793611</v>
      </c>
      <c r="D808" s="29" t="s">
        <v>5520</v>
      </c>
      <c r="E808" s="92" t="s">
        <v>1840</v>
      </c>
      <c r="F808" s="89">
        <v>3545865</v>
      </c>
      <c r="G808" s="29">
        <v>74886400</v>
      </c>
    </row>
    <row r="809" spans="1:7">
      <c r="A809" s="33">
        <v>42724</v>
      </c>
      <c r="B809" s="34">
        <v>792247</v>
      </c>
      <c r="C809" s="34">
        <v>801337</v>
      </c>
      <c r="D809" s="34">
        <v>791497</v>
      </c>
      <c r="E809" s="92" t="s">
        <v>5521</v>
      </c>
      <c r="F809" s="89">
        <v>3552953</v>
      </c>
      <c r="G809" s="29">
        <v>99629296</v>
      </c>
    </row>
    <row r="810" spans="1:7">
      <c r="A810" s="33">
        <v>42725</v>
      </c>
      <c r="B810" s="34">
        <v>800644</v>
      </c>
      <c r="C810" s="34">
        <v>834281</v>
      </c>
      <c r="D810" s="34">
        <v>799405</v>
      </c>
      <c r="E810" s="92" t="s">
        <v>2079</v>
      </c>
      <c r="F810" s="89">
        <v>3576032</v>
      </c>
      <c r="G810" s="29" t="s">
        <v>5522</v>
      </c>
    </row>
    <row r="811" spans="1:7">
      <c r="A811" s="33">
        <v>42726</v>
      </c>
      <c r="B811" s="29" t="s">
        <v>5523</v>
      </c>
      <c r="C811" s="34">
        <v>875782</v>
      </c>
      <c r="D811" s="34">
        <v>834149</v>
      </c>
      <c r="E811" s="92" t="s">
        <v>2051</v>
      </c>
      <c r="F811" s="89">
        <v>3583966</v>
      </c>
      <c r="G811" s="35">
        <v>200000000</v>
      </c>
    </row>
    <row r="812" spans="1:7">
      <c r="A812" s="33">
        <v>42727</v>
      </c>
      <c r="B812" s="34">
        <v>864888</v>
      </c>
      <c r="C812" s="34">
        <v>925117</v>
      </c>
      <c r="D812" s="34">
        <v>864677</v>
      </c>
      <c r="E812" s="92" t="s">
        <v>5524</v>
      </c>
      <c r="F812" s="89">
        <v>3585123</v>
      </c>
      <c r="G812" s="29" t="s">
        <v>5525</v>
      </c>
    </row>
    <row r="813" spans="1:7">
      <c r="A813" s="33">
        <v>42728</v>
      </c>
      <c r="B813" s="29" t="s">
        <v>5526</v>
      </c>
      <c r="C813" s="34">
        <v>923479</v>
      </c>
      <c r="D813" s="34">
        <v>886335</v>
      </c>
      <c r="E813" s="92" t="s">
        <v>383</v>
      </c>
      <c r="F813" s="89">
        <v>3599766</v>
      </c>
      <c r="G813" s="29" t="s">
        <v>5353</v>
      </c>
    </row>
    <row r="814" spans="1:7">
      <c r="A814" s="33">
        <v>42729</v>
      </c>
      <c r="B814" s="34">
        <v>899652</v>
      </c>
      <c r="C814" s="34">
        <v>899652</v>
      </c>
      <c r="D814" s="34">
        <v>862424</v>
      </c>
      <c r="E814" s="92" t="s">
        <v>953</v>
      </c>
      <c r="F814" s="89">
        <v>3600865</v>
      </c>
      <c r="G814" s="29" t="s">
        <v>5527</v>
      </c>
    </row>
    <row r="815" spans="1:7">
      <c r="A815" s="33">
        <v>42730</v>
      </c>
      <c r="B815" s="34">
        <v>896905</v>
      </c>
      <c r="C815" s="34">
        <v>913184</v>
      </c>
      <c r="D815" s="34">
        <v>896898</v>
      </c>
      <c r="E815" s="92" t="s">
        <v>2039</v>
      </c>
      <c r="F815" s="89">
        <v>3601014</v>
      </c>
      <c r="G815" s="29" t="s">
        <v>5528</v>
      </c>
    </row>
    <row r="816" spans="1:7">
      <c r="A816" s="33">
        <v>42731</v>
      </c>
      <c r="B816" s="34">
        <v>908354</v>
      </c>
      <c r="C816" s="34">
        <v>940048</v>
      </c>
      <c r="D816" s="34">
        <v>904255</v>
      </c>
      <c r="E816" s="92" t="s">
        <v>1848</v>
      </c>
      <c r="F816" s="89">
        <v>3604577</v>
      </c>
      <c r="G816" s="29" t="s">
        <v>5529</v>
      </c>
    </row>
    <row r="817" spans="1:7">
      <c r="A817" s="33">
        <v>42732</v>
      </c>
      <c r="B817" s="34">
        <v>934831</v>
      </c>
      <c r="C817" s="34">
        <v>975921</v>
      </c>
      <c r="D817" s="34">
        <v>934831</v>
      </c>
      <c r="E817" s="92" t="s">
        <v>5530</v>
      </c>
      <c r="F817" s="89">
        <v>3614234</v>
      </c>
      <c r="G817" s="29" t="s">
        <v>5531</v>
      </c>
    </row>
    <row r="818" spans="1:7">
      <c r="A818" s="33">
        <v>42733</v>
      </c>
      <c r="B818" s="34">
        <v>975125</v>
      </c>
      <c r="C818" s="34">
        <v>979397</v>
      </c>
      <c r="D818" s="34">
        <v>954503</v>
      </c>
      <c r="E818" s="92" t="s">
        <v>4421</v>
      </c>
      <c r="F818" s="89">
        <v>3616881</v>
      </c>
      <c r="G818" s="29" t="s">
        <v>5532</v>
      </c>
    </row>
    <row r="819" spans="1:7">
      <c r="A819" s="33">
        <v>42734</v>
      </c>
      <c r="B819" s="34">
        <v>972535</v>
      </c>
      <c r="C819" s="34">
        <v>972535</v>
      </c>
      <c r="D819" s="34">
        <v>934833</v>
      </c>
      <c r="E819" s="92" t="s">
        <v>1844</v>
      </c>
      <c r="F819" s="89">
        <v>3620811</v>
      </c>
      <c r="G819" s="29" t="s">
        <v>5366</v>
      </c>
    </row>
    <row r="820" spans="1:7">
      <c r="A820" s="33">
        <v>42735</v>
      </c>
      <c r="B820" s="34">
        <v>960627</v>
      </c>
      <c r="C820" s="34">
        <v>963743</v>
      </c>
      <c r="D820" s="34">
        <v>947236</v>
      </c>
      <c r="E820" s="92" t="s">
        <v>5533</v>
      </c>
      <c r="F820" s="89">
        <v>3629788</v>
      </c>
      <c r="G820" s="29">
        <v>99135104</v>
      </c>
    </row>
    <row r="821" spans="1:7">
      <c r="A821" s="33">
        <v>42736</v>
      </c>
      <c r="B821" s="34">
        <v>963658</v>
      </c>
      <c r="C821" s="29" t="s">
        <v>5534</v>
      </c>
      <c r="D821" s="34">
        <v>958699</v>
      </c>
      <c r="E821" s="92" t="s">
        <v>1118</v>
      </c>
      <c r="F821" s="89">
        <v>3630675</v>
      </c>
      <c r="G821" s="29" t="s">
        <v>5535</v>
      </c>
    </row>
    <row r="822" spans="1:7">
      <c r="A822" s="33">
        <v>42737</v>
      </c>
      <c r="B822" s="34">
        <v>998617</v>
      </c>
      <c r="C822" s="29" t="s">
        <v>5536</v>
      </c>
      <c r="D822" s="34">
        <v>996702</v>
      </c>
      <c r="E822" s="92" t="s">
        <v>5537</v>
      </c>
      <c r="F822" s="89">
        <v>3632071</v>
      </c>
      <c r="G822" s="29" t="s">
        <v>5538</v>
      </c>
    </row>
    <row r="823" spans="1:7">
      <c r="A823" s="33">
        <v>42738</v>
      </c>
      <c r="B823" s="29" t="s">
        <v>5539</v>
      </c>
      <c r="C823" s="29" t="s">
        <v>5540</v>
      </c>
      <c r="D823" s="29" t="s">
        <v>5539</v>
      </c>
      <c r="E823" s="92" t="s">
        <v>5541</v>
      </c>
      <c r="F823" s="89">
        <v>3648431</v>
      </c>
      <c r="G823" s="29" t="s">
        <v>5542</v>
      </c>
    </row>
    <row r="824" spans="1:7">
      <c r="A824" s="33">
        <v>42739</v>
      </c>
      <c r="B824" s="29" t="s">
        <v>5543</v>
      </c>
      <c r="C824" s="29" t="s">
        <v>5544</v>
      </c>
      <c r="D824" s="29" t="s">
        <v>5543</v>
      </c>
      <c r="E824" s="92" t="s">
        <v>1114</v>
      </c>
      <c r="F824" s="89">
        <v>3653529</v>
      </c>
      <c r="G824" s="29" t="s">
        <v>5545</v>
      </c>
    </row>
    <row r="825" spans="1:7">
      <c r="A825" s="33">
        <v>42740</v>
      </c>
      <c r="B825" s="29" t="s">
        <v>5546</v>
      </c>
      <c r="C825" s="29" t="s">
        <v>4778</v>
      </c>
      <c r="D825" s="34">
        <v>910417</v>
      </c>
      <c r="E825" s="92" t="s">
        <v>5547</v>
      </c>
      <c r="F825" s="89">
        <v>3654833</v>
      </c>
      <c r="G825" s="29" t="s">
        <v>5548</v>
      </c>
    </row>
    <row r="826" spans="1:7">
      <c r="A826" s="33">
        <v>42741</v>
      </c>
      <c r="B826" s="29" t="s">
        <v>5549</v>
      </c>
      <c r="C826" s="29" t="s">
        <v>5550</v>
      </c>
      <c r="D826" s="34">
        <v>883944</v>
      </c>
      <c r="E826" s="92" t="s">
        <v>4226</v>
      </c>
      <c r="F826" s="89">
        <v>3655007</v>
      </c>
      <c r="G826" s="29" t="s">
        <v>5551</v>
      </c>
    </row>
    <row r="827" spans="1:7">
      <c r="A827" s="33">
        <v>42742</v>
      </c>
      <c r="B827" s="34">
        <v>903487</v>
      </c>
      <c r="C827" s="34">
        <v>908585</v>
      </c>
      <c r="D827" s="34">
        <v>823556</v>
      </c>
      <c r="E827" s="92" t="s">
        <v>5552</v>
      </c>
      <c r="F827" s="89">
        <v>3657839</v>
      </c>
      <c r="G827" s="29" t="s">
        <v>5553</v>
      </c>
    </row>
    <row r="828" spans="1:7">
      <c r="A828" s="33">
        <v>42743</v>
      </c>
      <c r="B828" s="34">
        <v>908175</v>
      </c>
      <c r="C828" s="34">
        <v>942724</v>
      </c>
      <c r="D828" s="34">
        <v>887249</v>
      </c>
      <c r="E828" s="92" t="s">
        <v>2047</v>
      </c>
      <c r="F828" s="89">
        <v>3661301</v>
      </c>
      <c r="G828" s="29" t="s">
        <v>5440</v>
      </c>
    </row>
    <row r="829" spans="1:7">
      <c r="A829" s="33">
        <v>42744</v>
      </c>
      <c r="B829" s="34">
        <v>913244</v>
      </c>
      <c r="C829" s="34">
        <v>913686</v>
      </c>
      <c r="D829" s="34">
        <v>879807</v>
      </c>
      <c r="E829" s="92" t="s">
        <v>4425</v>
      </c>
      <c r="F829" s="89">
        <v>3671204</v>
      </c>
      <c r="G829" s="29" t="s">
        <v>5383</v>
      </c>
    </row>
    <row r="830" spans="1:7">
      <c r="A830" s="33">
        <v>42745</v>
      </c>
      <c r="B830" s="29" t="s">
        <v>5554</v>
      </c>
      <c r="C830" s="34">
        <v>914873</v>
      </c>
      <c r="D830" s="29" t="s">
        <v>5555</v>
      </c>
      <c r="E830" s="92" t="s">
        <v>5556</v>
      </c>
      <c r="F830" s="89">
        <v>3673836</v>
      </c>
      <c r="G830" s="29" t="s">
        <v>5282</v>
      </c>
    </row>
    <row r="831" spans="1:7">
      <c r="A831" s="33">
        <v>42746</v>
      </c>
      <c r="B831" s="34">
        <v>908115</v>
      </c>
      <c r="C831" s="34">
        <v>919448</v>
      </c>
      <c r="D831" s="34">
        <v>762765</v>
      </c>
      <c r="E831" s="92" t="s">
        <v>4417</v>
      </c>
      <c r="F831" s="89">
        <v>3678564</v>
      </c>
      <c r="G831" s="29" t="s">
        <v>5557</v>
      </c>
    </row>
    <row r="832" spans="1:7">
      <c r="A832" s="33">
        <v>42747</v>
      </c>
      <c r="B832" s="34">
        <v>775178</v>
      </c>
      <c r="C832" s="34">
        <v>826246</v>
      </c>
      <c r="D832" s="34">
        <v>755756</v>
      </c>
      <c r="E832" s="92" t="s">
        <v>5558</v>
      </c>
      <c r="F832" s="89">
        <v>3678925</v>
      </c>
      <c r="G832" s="29" t="s">
        <v>5538</v>
      </c>
    </row>
    <row r="833" spans="1:7">
      <c r="A833" s="33">
        <v>42748</v>
      </c>
      <c r="B833" s="34">
        <v>803737</v>
      </c>
      <c r="C833" s="34">
        <v>829001</v>
      </c>
      <c r="D833" s="34">
        <v>780003</v>
      </c>
      <c r="E833" s="92" t="s">
        <v>1137</v>
      </c>
      <c r="F833" s="89">
        <v>3687365</v>
      </c>
      <c r="G833" s="29" t="s">
        <v>5559</v>
      </c>
    </row>
    <row r="834" spans="1:7">
      <c r="A834" s="33">
        <v>42749</v>
      </c>
      <c r="B834" s="34">
        <v>825142</v>
      </c>
      <c r="C834" s="34">
        <v>835085</v>
      </c>
      <c r="D834" s="34">
        <v>812456</v>
      </c>
      <c r="E834" s="92" t="s">
        <v>2071</v>
      </c>
      <c r="F834" s="89">
        <v>3690188</v>
      </c>
      <c r="G834" s="29">
        <v>93063296</v>
      </c>
    </row>
    <row r="835" spans="1:7">
      <c r="A835" s="33">
        <v>42750</v>
      </c>
      <c r="B835" s="34">
        <v>818142</v>
      </c>
      <c r="C835" s="34">
        <v>823307</v>
      </c>
      <c r="D835" s="34">
        <v>812871</v>
      </c>
      <c r="E835" s="92" t="s">
        <v>2055</v>
      </c>
      <c r="F835" s="89">
        <v>3696059</v>
      </c>
      <c r="G835" s="29">
        <v>71013600</v>
      </c>
    </row>
    <row r="836" spans="1:7">
      <c r="A836" s="33">
        <v>42751</v>
      </c>
      <c r="B836" s="34">
        <v>821783</v>
      </c>
      <c r="C836" s="29" t="s">
        <v>5560</v>
      </c>
      <c r="D836" s="34">
        <v>820271</v>
      </c>
      <c r="E836" s="92" t="s">
        <v>2111</v>
      </c>
      <c r="F836" s="89">
        <v>3706052</v>
      </c>
      <c r="G836" s="29">
        <v>82755200</v>
      </c>
    </row>
    <row r="837" spans="1:7">
      <c r="A837" s="33">
        <v>42752</v>
      </c>
      <c r="B837" s="34">
        <v>830946</v>
      </c>
      <c r="C837" s="34">
        <v>910561</v>
      </c>
      <c r="D837" s="34">
        <v>830796</v>
      </c>
      <c r="E837" s="92" t="s">
        <v>1936</v>
      </c>
      <c r="F837" s="89">
        <v>3745951</v>
      </c>
      <c r="G837" s="29" t="s">
        <v>5561</v>
      </c>
    </row>
    <row r="838" spans="1:7">
      <c r="A838" s="33">
        <v>42753</v>
      </c>
      <c r="B838" s="34">
        <v>909373</v>
      </c>
      <c r="C838" s="34">
        <v>917499</v>
      </c>
      <c r="D838" s="34">
        <v>858304</v>
      </c>
      <c r="E838" s="92" t="s">
        <v>5562</v>
      </c>
      <c r="F838" s="89">
        <v>3753995</v>
      </c>
      <c r="G838" s="29" t="s">
        <v>4778</v>
      </c>
    </row>
    <row r="839" spans="1:7">
      <c r="A839" s="33">
        <v>42754</v>
      </c>
      <c r="B839" s="34">
        <v>888335</v>
      </c>
      <c r="C839" s="34">
        <v>904614</v>
      </c>
      <c r="D839" s="34">
        <v>884338</v>
      </c>
      <c r="E839" s="92" t="s">
        <v>4413</v>
      </c>
      <c r="F839" s="89">
        <v>3761557</v>
      </c>
      <c r="G839" s="29" t="s">
        <v>5257</v>
      </c>
    </row>
    <row r="840" spans="1:7">
      <c r="A840" s="33">
        <v>42755</v>
      </c>
      <c r="B840" s="34">
        <v>898172</v>
      </c>
      <c r="C840" s="34">
        <v>899398</v>
      </c>
      <c r="D840" s="34">
        <v>887008</v>
      </c>
      <c r="E840" s="92" t="s">
        <v>2075</v>
      </c>
      <c r="F840" s="89">
        <v>3810427</v>
      </c>
      <c r="G840" s="29">
        <v>86728400</v>
      </c>
    </row>
    <row r="841" spans="1:7">
      <c r="A841" s="33">
        <v>42756</v>
      </c>
      <c r="B841" s="34">
        <v>895549</v>
      </c>
      <c r="C841" s="34">
        <v>927367</v>
      </c>
      <c r="D841" s="34">
        <v>895535</v>
      </c>
      <c r="E841" s="92" t="s">
        <v>4222</v>
      </c>
      <c r="F841" s="89">
        <v>3815491</v>
      </c>
      <c r="G841" s="29" t="s">
        <v>5268</v>
      </c>
    </row>
    <row r="842" spans="1:7">
      <c r="A842" s="33">
        <v>42757</v>
      </c>
      <c r="B842" s="34">
        <v>922205</v>
      </c>
      <c r="C842" s="34">
        <v>937525</v>
      </c>
      <c r="D842" s="34">
        <v>897564</v>
      </c>
      <c r="E842" s="92" t="s">
        <v>5563</v>
      </c>
      <c r="F842" s="89">
        <v>3820409</v>
      </c>
      <c r="G842" s="29" t="s">
        <v>5564</v>
      </c>
    </row>
    <row r="843" spans="1:7">
      <c r="A843" s="33">
        <v>42758</v>
      </c>
      <c r="B843" s="34">
        <v>925499</v>
      </c>
      <c r="C843" s="34">
        <v>928266</v>
      </c>
      <c r="D843" s="34">
        <v>916738</v>
      </c>
      <c r="E843" s="92" t="s">
        <v>1920</v>
      </c>
      <c r="F843" s="89">
        <v>3836741</v>
      </c>
      <c r="G843" s="29">
        <v>73588600</v>
      </c>
    </row>
    <row r="844" spans="1:7">
      <c r="A844" s="33">
        <v>42759</v>
      </c>
      <c r="B844" s="34">
        <v>910677</v>
      </c>
      <c r="C844" s="34">
        <v>924145</v>
      </c>
      <c r="D844" s="34">
        <v>892286</v>
      </c>
      <c r="E844" s="92" t="s">
        <v>1109</v>
      </c>
      <c r="F844" s="89">
        <v>3847176</v>
      </c>
      <c r="G844" s="29" t="s">
        <v>5268</v>
      </c>
    </row>
    <row r="845" spans="1:7">
      <c r="A845" s="33">
        <v>42760</v>
      </c>
      <c r="B845" s="34">
        <v>891924</v>
      </c>
      <c r="C845" s="34">
        <v>903252</v>
      </c>
      <c r="D845" s="34">
        <v>891687</v>
      </c>
      <c r="E845" s="92" t="s">
        <v>1900</v>
      </c>
      <c r="F845" s="89">
        <v>3851047</v>
      </c>
      <c r="G845" s="29" t="s">
        <v>5565</v>
      </c>
    </row>
    <row r="846" spans="1:7">
      <c r="A846" s="33">
        <v>42761</v>
      </c>
      <c r="B846" s="34">
        <v>902395</v>
      </c>
      <c r="C846" s="34">
        <v>919326</v>
      </c>
      <c r="D846" s="34">
        <v>902224</v>
      </c>
      <c r="E846" s="92" t="s">
        <v>375</v>
      </c>
      <c r="F846" s="89">
        <v>3854358</v>
      </c>
      <c r="G846" s="29" t="s">
        <v>5270</v>
      </c>
    </row>
    <row r="847" spans="1:7">
      <c r="A847" s="33">
        <v>42762</v>
      </c>
      <c r="B847" s="34">
        <v>918359</v>
      </c>
      <c r="C847" s="34">
        <v>923223</v>
      </c>
      <c r="D847" s="34">
        <v>915846</v>
      </c>
      <c r="E847" s="92" t="s">
        <v>1940</v>
      </c>
      <c r="F847" s="89">
        <v>3854785</v>
      </c>
      <c r="G847" s="29" t="s">
        <v>5566</v>
      </c>
    </row>
    <row r="848" spans="1:7">
      <c r="A848" s="33">
        <v>42763</v>
      </c>
      <c r="B848" s="34">
        <v>919811</v>
      </c>
      <c r="C848" s="34">
        <v>923911</v>
      </c>
      <c r="D848" s="34">
        <v>919811</v>
      </c>
      <c r="E848" s="92" t="s">
        <v>878</v>
      </c>
      <c r="F848" s="89">
        <v>3857298</v>
      </c>
      <c r="G848" s="29">
        <v>68979600</v>
      </c>
    </row>
    <row r="849" spans="1:7">
      <c r="A849" s="33">
        <v>42764</v>
      </c>
      <c r="B849" s="34">
        <v>922067</v>
      </c>
      <c r="C849" s="34">
        <v>923418</v>
      </c>
      <c r="D849" s="34">
        <v>919148</v>
      </c>
      <c r="E849" s="92" t="s">
        <v>483</v>
      </c>
      <c r="F849" s="89">
        <v>3857718</v>
      </c>
      <c r="G849" s="29">
        <v>60851700</v>
      </c>
    </row>
    <row r="850" spans="1:7">
      <c r="A850" s="33">
        <v>42765</v>
      </c>
      <c r="B850" s="34">
        <v>920151</v>
      </c>
      <c r="C850" s="34">
        <v>923048</v>
      </c>
      <c r="D850" s="34">
        <v>919474</v>
      </c>
      <c r="E850" s="92" t="s">
        <v>5567</v>
      </c>
      <c r="F850" s="89">
        <v>3859584</v>
      </c>
      <c r="G850" s="29">
        <v>78227296</v>
      </c>
    </row>
    <row r="851" spans="1:7">
      <c r="A851" s="33">
        <v>42766</v>
      </c>
      <c r="B851" s="34">
        <v>920959</v>
      </c>
      <c r="C851" s="34">
        <v>972019</v>
      </c>
      <c r="D851" s="34">
        <v>920959</v>
      </c>
      <c r="E851" s="92" t="s">
        <v>2087</v>
      </c>
      <c r="F851" s="89">
        <v>3864415</v>
      </c>
      <c r="G851" s="29" t="s">
        <v>5347</v>
      </c>
    </row>
    <row r="852" spans="1:7">
      <c r="A852" s="33">
        <v>42767</v>
      </c>
      <c r="B852" s="34">
        <v>970941</v>
      </c>
      <c r="C852" s="34">
        <v>989114</v>
      </c>
      <c r="D852" s="34">
        <v>970742</v>
      </c>
      <c r="E852" s="92" t="s">
        <v>5568</v>
      </c>
      <c r="F852" s="89">
        <v>3865953</v>
      </c>
      <c r="G852" s="29" t="s">
        <v>5569</v>
      </c>
    </row>
    <row r="853" spans="1:7">
      <c r="A853" s="33">
        <v>42768</v>
      </c>
      <c r="B853" s="34">
        <v>990001</v>
      </c>
      <c r="C853" s="29" t="s">
        <v>5570</v>
      </c>
      <c r="D853" s="34">
        <v>983221</v>
      </c>
      <c r="E853" s="92" t="s">
        <v>1872</v>
      </c>
      <c r="F853" s="89">
        <v>3882696</v>
      </c>
      <c r="G853" s="29" t="s">
        <v>5571</v>
      </c>
    </row>
    <row r="854" spans="1:7">
      <c r="A854" s="33">
        <v>42769</v>
      </c>
      <c r="B854" s="29" t="s">
        <v>5572</v>
      </c>
      <c r="C854" s="29" t="s">
        <v>5573</v>
      </c>
      <c r="D854" s="29" t="s">
        <v>5574</v>
      </c>
      <c r="E854" s="92" t="s">
        <v>910</v>
      </c>
      <c r="F854" s="89">
        <v>3894131</v>
      </c>
      <c r="G854" s="29" t="s">
        <v>5575</v>
      </c>
    </row>
    <row r="855" spans="1:7">
      <c r="A855" s="33">
        <v>42770</v>
      </c>
      <c r="B855" s="29" t="s">
        <v>5576</v>
      </c>
      <c r="C855" s="29" t="s">
        <v>5577</v>
      </c>
      <c r="D855" s="29" t="s">
        <v>5578</v>
      </c>
      <c r="E855" s="92" t="s">
        <v>1129</v>
      </c>
      <c r="F855" s="89">
        <v>3896375</v>
      </c>
      <c r="G855" s="29" t="s">
        <v>5561</v>
      </c>
    </row>
    <row r="856" spans="1:7">
      <c r="A856" s="33">
        <v>42771</v>
      </c>
      <c r="B856" s="29" t="s">
        <v>5579</v>
      </c>
      <c r="C856" s="29" t="s">
        <v>5580</v>
      </c>
      <c r="D856" s="29" t="s">
        <v>5581</v>
      </c>
      <c r="E856" s="92" t="s">
        <v>402</v>
      </c>
      <c r="F856" s="89">
        <v>3896544</v>
      </c>
      <c r="G856" s="29" t="s">
        <v>5582</v>
      </c>
    </row>
    <row r="857" spans="1:7">
      <c r="A857" s="33">
        <v>42772</v>
      </c>
      <c r="B857" s="29" t="s">
        <v>5583</v>
      </c>
      <c r="C857" s="29" t="s">
        <v>5584</v>
      </c>
      <c r="D857" s="29" t="s">
        <v>5585</v>
      </c>
      <c r="E857" s="92" t="s">
        <v>1896</v>
      </c>
      <c r="F857" s="89">
        <v>3901132</v>
      </c>
      <c r="G857" s="29" t="s">
        <v>5387</v>
      </c>
    </row>
    <row r="858" spans="1:7">
      <c r="A858" s="33">
        <v>42773</v>
      </c>
      <c r="B858" s="29" t="s">
        <v>5586</v>
      </c>
      <c r="C858" s="29" t="s">
        <v>5587</v>
      </c>
      <c r="D858" s="29" t="s">
        <v>5586</v>
      </c>
      <c r="E858" s="92" t="s">
        <v>1876</v>
      </c>
      <c r="F858" s="89">
        <v>3903943</v>
      </c>
      <c r="G858" s="29" t="s">
        <v>5571</v>
      </c>
    </row>
    <row r="859" spans="1:7">
      <c r="A859" s="33">
        <v>42774</v>
      </c>
      <c r="B859" s="29" t="s">
        <v>5588</v>
      </c>
      <c r="C859" s="29" t="s">
        <v>5589</v>
      </c>
      <c r="D859" s="29" t="s">
        <v>5590</v>
      </c>
      <c r="E859" s="92" t="s">
        <v>5310</v>
      </c>
      <c r="F859" s="89">
        <v>3905227</v>
      </c>
      <c r="G859" s="29" t="s">
        <v>5591</v>
      </c>
    </row>
    <row r="860" spans="1:7">
      <c r="A860" s="33">
        <v>42775</v>
      </c>
      <c r="B860" s="29" t="s">
        <v>5592</v>
      </c>
      <c r="C860" s="29" t="s">
        <v>5593</v>
      </c>
      <c r="D860" s="34">
        <v>953344</v>
      </c>
      <c r="E860" s="92" t="s">
        <v>949</v>
      </c>
      <c r="F860" s="89">
        <v>3906717</v>
      </c>
      <c r="G860" s="29" t="s">
        <v>5594</v>
      </c>
    </row>
    <row r="861" spans="1:7">
      <c r="A861" s="33">
        <v>42776</v>
      </c>
      <c r="B861" s="34">
        <v>995632</v>
      </c>
      <c r="C861" s="34">
        <v>998905</v>
      </c>
      <c r="D861" s="34">
        <v>946691</v>
      </c>
      <c r="E861" s="92" t="s">
        <v>5595</v>
      </c>
      <c r="F861" s="89">
        <v>3909156</v>
      </c>
      <c r="G861" s="29" t="s">
        <v>5596</v>
      </c>
    </row>
    <row r="862" spans="1:7">
      <c r="A862" s="33">
        <v>42777</v>
      </c>
      <c r="B862" s="34">
        <v>988898</v>
      </c>
      <c r="C862" s="29" t="s">
        <v>5597</v>
      </c>
      <c r="D862" s="29" t="s">
        <v>5598</v>
      </c>
      <c r="E862" s="92" t="s">
        <v>5599</v>
      </c>
      <c r="F862" s="89">
        <v>3911484</v>
      </c>
      <c r="G862" s="29" t="s">
        <v>5232</v>
      </c>
    </row>
    <row r="863" spans="1:7">
      <c r="A863" s="33">
        <v>42778</v>
      </c>
      <c r="B863" s="29" t="s">
        <v>5600</v>
      </c>
      <c r="C863" s="29" t="s">
        <v>5601</v>
      </c>
      <c r="D863" s="34">
        <v>996921</v>
      </c>
      <c r="E863" s="92" t="s">
        <v>1928</v>
      </c>
      <c r="F863" s="89">
        <v>3915714</v>
      </c>
      <c r="G863" s="29" t="s">
        <v>4778</v>
      </c>
    </row>
    <row r="864" spans="1:7">
      <c r="A864" s="33">
        <v>42779</v>
      </c>
      <c r="B864" s="34">
        <v>998885</v>
      </c>
      <c r="C864" s="29" t="s">
        <v>5602</v>
      </c>
      <c r="D864" s="34">
        <v>976002</v>
      </c>
      <c r="E864" s="92" t="s">
        <v>487</v>
      </c>
      <c r="F864" s="89">
        <v>3923919</v>
      </c>
      <c r="G864" s="29" t="s">
        <v>5475</v>
      </c>
    </row>
    <row r="865" spans="1:7">
      <c r="A865" s="33">
        <v>42780</v>
      </c>
      <c r="B865" s="34">
        <v>991735</v>
      </c>
      <c r="C865" s="29" t="s">
        <v>5603</v>
      </c>
      <c r="D865" s="34">
        <v>986471</v>
      </c>
      <c r="E865" s="92" t="s">
        <v>5604</v>
      </c>
      <c r="F865" s="89">
        <v>3924369</v>
      </c>
      <c r="G865" s="29" t="s">
        <v>5353</v>
      </c>
    </row>
    <row r="866" spans="1:7">
      <c r="A866" s="33">
        <v>42781</v>
      </c>
      <c r="B866" s="29" t="s">
        <v>5605</v>
      </c>
      <c r="C866" s="29" t="s">
        <v>5606</v>
      </c>
      <c r="D866" s="29" t="s">
        <v>5607</v>
      </c>
      <c r="E866" s="92" t="s">
        <v>5608</v>
      </c>
      <c r="F866" s="89">
        <v>3943409</v>
      </c>
      <c r="G866" s="29">
        <v>89759400</v>
      </c>
    </row>
    <row r="867" spans="1:7">
      <c r="A867" s="33">
        <v>42782</v>
      </c>
      <c r="B867" s="29" t="s">
        <v>5609</v>
      </c>
      <c r="C867" s="29" t="s">
        <v>5610</v>
      </c>
      <c r="D867" s="29" t="s">
        <v>5609</v>
      </c>
      <c r="E867" s="92" t="s">
        <v>5611</v>
      </c>
      <c r="F867" s="89">
        <v>3947094</v>
      </c>
      <c r="G867" s="29" t="s">
        <v>5298</v>
      </c>
    </row>
    <row r="868" spans="1:7">
      <c r="A868" s="33">
        <v>42783</v>
      </c>
      <c r="B868" s="29" t="s">
        <v>5612</v>
      </c>
      <c r="C868" s="29" t="s">
        <v>5613</v>
      </c>
      <c r="D868" s="29" t="s">
        <v>5614</v>
      </c>
      <c r="E868" s="92" t="s">
        <v>1924</v>
      </c>
      <c r="F868" s="89">
        <v>3956894</v>
      </c>
      <c r="G868" s="29" t="s">
        <v>5372</v>
      </c>
    </row>
    <row r="869" spans="1:7">
      <c r="A869" s="33">
        <v>42784</v>
      </c>
      <c r="B869" s="29" t="s">
        <v>5615</v>
      </c>
      <c r="C869" s="29" t="s">
        <v>5616</v>
      </c>
      <c r="D869" s="29" t="s">
        <v>5617</v>
      </c>
      <c r="E869" s="92" t="s">
        <v>1782</v>
      </c>
      <c r="F869" s="89">
        <v>3960911</v>
      </c>
      <c r="G869" s="29">
        <v>99073504</v>
      </c>
    </row>
    <row r="870" spans="1:7">
      <c r="A870" s="33">
        <v>42785</v>
      </c>
      <c r="B870" s="29" t="s">
        <v>5618</v>
      </c>
      <c r="C870" s="29" t="s">
        <v>5619</v>
      </c>
      <c r="D870" s="29" t="s">
        <v>5620</v>
      </c>
      <c r="E870" s="92" t="s">
        <v>1912</v>
      </c>
      <c r="F870" s="89">
        <v>3963071</v>
      </c>
      <c r="G870" s="29">
        <v>77423296</v>
      </c>
    </row>
    <row r="871" spans="1:7">
      <c r="A871" s="33">
        <v>42786</v>
      </c>
      <c r="B871" s="29" t="s">
        <v>5621</v>
      </c>
      <c r="C871" s="29" t="s">
        <v>5622</v>
      </c>
      <c r="D871" s="29" t="s">
        <v>5623</v>
      </c>
      <c r="E871" s="92" t="s">
        <v>870</v>
      </c>
      <c r="F871" s="89">
        <v>3963314</v>
      </c>
      <c r="G871" s="29" t="s">
        <v>5382</v>
      </c>
    </row>
    <row r="872" spans="1:7">
      <c r="A872" s="33">
        <v>42787</v>
      </c>
      <c r="B872" s="29" t="s">
        <v>5624</v>
      </c>
      <c r="C872" s="29" t="s">
        <v>5625</v>
      </c>
      <c r="D872" s="29" t="s">
        <v>5626</v>
      </c>
      <c r="E872" s="92" t="s">
        <v>4218</v>
      </c>
      <c r="F872" s="89">
        <v>3985081</v>
      </c>
      <c r="G872" s="29" t="s">
        <v>5366</v>
      </c>
    </row>
    <row r="873" spans="1:7">
      <c r="A873" s="33">
        <v>42788</v>
      </c>
      <c r="B873" s="29" t="s">
        <v>5627</v>
      </c>
      <c r="C873" s="29" t="s">
        <v>5628</v>
      </c>
      <c r="D873" s="29" t="s">
        <v>5629</v>
      </c>
      <c r="E873" s="92" t="s">
        <v>2091</v>
      </c>
      <c r="F873" s="89">
        <v>4005527</v>
      </c>
      <c r="G873" s="29" t="s">
        <v>5372</v>
      </c>
    </row>
    <row r="874" spans="1:7">
      <c r="A874" s="33">
        <v>42789</v>
      </c>
      <c r="B874" s="29" t="s">
        <v>5630</v>
      </c>
      <c r="C874" s="29" t="s">
        <v>5631</v>
      </c>
      <c r="D874" s="29" t="s">
        <v>5632</v>
      </c>
      <c r="E874" s="92" t="s">
        <v>2103</v>
      </c>
      <c r="F874" s="89">
        <v>4014183</v>
      </c>
      <c r="G874" s="29" t="s">
        <v>5633</v>
      </c>
    </row>
    <row r="875" spans="1:7">
      <c r="A875" s="33">
        <v>42790</v>
      </c>
      <c r="B875" s="29" t="s">
        <v>5634</v>
      </c>
      <c r="C875" s="29" t="s">
        <v>5635</v>
      </c>
      <c r="D875" s="29" t="s">
        <v>5636</v>
      </c>
      <c r="E875" s="92" t="s">
        <v>1778</v>
      </c>
      <c r="F875" s="89">
        <v>4017269</v>
      </c>
      <c r="G875" s="29" t="s">
        <v>5412</v>
      </c>
    </row>
    <row r="876" spans="1:7">
      <c r="A876" s="33">
        <v>42791</v>
      </c>
      <c r="B876" s="29" t="s">
        <v>5637</v>
      </c>
      <c r="C876" s="29" t="s">
        <v>5638</v>
      </c>
      <c r="D876" s="29" t="s">
        <v>5639</v>
      </c>
      <c r="E876" s="92" t="s">
        <v>2099</v>
      </c>
      <c r="F876" s="89">
        <v>4022168</v>
      </c>
      <c r="G876" s="29" t="s">
        <v>5640</v>
      </c>
    </row>
    <row r="877" spans="1:7">
      <c r="A877" s="33">
        <v>42792</v>
      </c>
      <c r="B877" s="29" t="s">
        <v>5641</v>
      </c>
      <c r="C877" s="29" t="s">
        <v>5642</v>
      </c>
      <c r="D877" s="29" t="s">
        <v>5643</v>
      </c>
      <c r="E877" s="92" t="s">
        <v>882</v>
      </c>
      <c r="F877" s="89">
        <v>4023968</v>
      </c>
      <c r="G877" s="29" t="s">
        <v>5282</v>
      </c>
    </row>
    <row r="878" spans="1:7">
      <c r="A878" s="33">
        <v>42793</v>
      </c>
      <c r="B878" s="29" t="s">
        <v>5644</v>
      </c>
      <c r="C878" s="29" t="s">
        <v>5645</v>
      </c>
      <c r="D878" s="29" t="s">
        <v>5646</v>
      </c>
      <c r="E878" s="92" t="s">
        <v>1852</v>
      </c>
      <c r="F878" s="89">
        <v>4025229</v>
      </c>
      <c r="G878" s="29" t="s">
        <v>5270</v>
      </c>
    </row>
    <row r="879" spans="1:7">
      <c r="A879" s="33">
        <v>42794</v>
      </c>
      <c r="B879" s="29" t="s">
        <v>5647</v>
      </c>
      <c r="C879" s="29" t="s">
        <v>5648</v>
      </c>
      <c r="D879" s="29" t="s">
        <v>5649</v>
      </c>
      <c r="E879" s="92" t="s">
        <v>5650</v>
      </c>
      <c r="F879" s="89">
        <v>4025248</v>
      </c>
      <c r="G879" s="29" t="s">
        <v>5542</v>
      </c>
    </row>
    <row r="880" spans="1:7">
      <c r="A880" s="33">
        <v>42795</v>
      </c>
      <c r="B880" s="29" t="s">
        <v>5651</v>
      </c>
      <c r="C880" s="29" t="s">
        <v>5652</v>
      </c>
      <c r="D880" s="29" t="s">
        <v>5653</v>
      </c>
      <c r="E880" s="92" t="s">
        <v>1904</v>
      </c>
      <c r="F880" s="89">
        <v>4029327</v>
      </c>
      <c r="G880" s="29" t="s">
        <v>5654</v>
      </c>
    </row>
    <row r="881" spans="1:7">
      <c r="A881" s="33">
        <v>42796</v>
      </c>
      <c r="B881" s="29" t="s">
        <v>5655</v>
      </c>
      <c r="C881" s="29" t="s">
        <v>5656</v>
      </c>
      <c r="D881" s="29" t="s">
        <v>5657</v>
      </c>
      <c r="E881" s="92" t="s">
        <v>874</v>
      </c>
      <c r="F881" s="89">
        <v>4030848</v>
      </c>
      <c r="G881" s="29" t="s">
        <v>5658</v>
      </c>
    </row>
    <row r="882" spans="1:7">
      <c r="A882" s="33">
        <v>42797</v>
      </c>
      <c r="B882" s="29" t="s">
        <v>5659</v>
      </c>
      <c r="C882" s="29" t="s">
        <v>4778</v>
      </c>
      <c r="D882" s="29" t="s">
        <v>5659</v>
      </c>
      <c r="E882" s="92" t="s">
        <v>387</v>
      </c>
      <c r="F882" s="89">
        <v>4032507</v>
      </c>
      <c r="G882" s="29" t="s">
        <v>5660</v>
      </c>
    </row>
    <row r="883" spans="1:7">
      <c r="A883" s="33">
        <v>42798</v>
      </c>
      <c r="B883" s="29" t="s">
        <v>5661</v>
      </c>
      <c r="C883" s="29" t="s">
        <v>5662</v>
      </c>
      <c r="D883" s="29" t="s">
        <v>5663</v>
      </c>
      <c r="E883" s="92" t="s">
        <v>957</v>
      </c>
      <c r="F883" s="89">
        <v>4035296</v>
      </c>
      <c r="G883" s="29" t="s">
        <v>5664</v>
      </c>
    </row>
    <row r="884" spans="1:7">
      <c r="A884" s="33">
        <v>42799</v>
      </c>
      <c r="B884" s="29" t="s">
        <v>5665</v>
      </c>
      <c r="C884" s="29" t="s">
        <v>5666</v>
      </c>
      <c r="D884" s="29" t="s">
        <v>5667</v>
      </c>
      <c r="E884" s="92" t="s">
        <v>1868</v>
      </c>
      <c r="F884" s="89">
        <v>4035826</v>
      </c>
      <c r="G884" s="29" t="s">
        <v>5385</v>
      </c>
    </row>
    <row r="885" spans="1:7">
      <c r="A885" s="33">
        <v>42800</v>
      </c>
      <c r="B885" s="29" t="s">
        <v>5668</v>
      </c>
      <c r="C885" s="29" t="s">
        <v>4778</v>
      </c>
      <c r="D885" s="29" t="s">
        <v>5669</v>
      </c>
      <c r="E885" s="92" t="s">
        <v>1860</v>
      </c>
      <c r="F885" s="89">
        <v>4048726</v>
      </c>
      <c r="G885" s="29" t="s">
        <v>5498</v>
      </c>
    </row>
    <row r="886" spans="1:7">
      <c r="A886" s="33">
        <v>42801</v>
      </c>
      <c r="B886" s="29" t="s">
        <v>5670</v>
      </c>
      <c r="C886" s="29" t="s">
        <v>5671</v>
      </c>
      <c r="D886" s="29" t="s">
        <v>5672</v>
      </c>
      <c r="E886" s="92" t="s">
        <v>5673</v>
      </c>
      <c r="F886" s="89">
        <v>4069107</v>
      </c>
      <c r="G886" s="29" t="s">
        <v>5674</v>
      </c>
    </row>
    <row r="887" spans="1:7">
      <c r="A887" s="33">
        <v>42802</v>
      </c>
      <c r="B887" s="29" t="s">
        <v>5675</v>
      </c>
      <c r="C887" s="29" t="s">
        <v>5676</v>
      </c>
      <c r="D887" s="29" t="s">
        <v>5677</v>
      </c>
      <c r="E887" s="92" t="s">
        <v>1133</v>
      </c>
      <c r="F887" s="89">
        <v>4076633</v>
      </c>
      <c r="G887" s="29" t="s">
        <v>5678</v>
      </c>
    </row>
    <row r="888" spans="1:7">
      <c r="A888" s="33">
        <v>42803</v>
      </c>
      <c r="B888" s="29" t="s">
        <v>5679</v>
      </c>
      <c r="C888" s="29" t="s">
        <v>5680</v>
      </c>
      <c r="D888" s="29" t="s">
        <v>5681</v>
      </c>
      <c r="E888" s="92" t="s">
        <v>480</v>
      </c>
      <c r="F888" s="89">
        <v>4078599</v>
      </c>
      <c r="G888" s="29" t="s">
        <v>5682</v>
      </c>
    </row>
    <row r="889" spans="1:7">
      <c r="A889" s="33">
        <v>42804</v>
      </c>
      <c r="B889" s="29" t="s">
        <v>5683</v>
      </c>
      <c r="C889" s="29" t="s">
        <v>5684</v>
      </c>
      <c r="D889" s="29" t="s">
        <v>5685</v>
      </c>
      <c r="E889" s="92" t="s">
        <v>1770</v>
      </c>
      <c r="F889" s="89">
        <v>4087066</v>
      </c>
      <c r="G889" s="29" t="s">
        <v>5686</v>
      </c>
    </row>
    <row r="890" spans="1:7">
      <c r="A890" s="33">
        <v>42805</v>
      </c>
      <c r="B890" s="29" t="s">
        <v>5687</v>
      </c>
      <c r="C890" s="29" t="s">
        <v>5688</v>
      </c>
      <c r="D890" s="29" t="s">
        <v>5687</v>
      </c>
      <c r="E890" s="92" t="s">
        <v>2083</v>
      </c>
      <c r="F890" s="89">
        <v>4087476</v>
      </c>
      <c r="G890" s="29" t="s">
        <v>5689</v>
      </c>
    </row>
    <row r="891" spans="1:7">
      <c r="A891" s="33">
        <v>42806</v>
      </c>
      <c r="B891" s="29" t="s">
        <v>5631</v>
      </c>
      <c r="C891" s="29" t="s">
        <v>5690</v>
      </c>
      <c r="D891" s="29" t="s">
        <v>5691</v>
      </c>
      <c r="E891" s="92" t="s">
        <v>1908</v>
      </c>
      <c r="F891" s="89">
        <v>4098375</v>
      </c>
      <c r="G891" s="29" t="s">
        <v>5692</v>
      </c>
    </row>
    <row r="892" spans="1:7">
      <c r="A892" s="33">
        <v>42807</v>
      </c>
      <c r="B892" s="29" t="s">
        <v>5693</v>
      </c>
      <c r="C892" s="29" t="s">
        <v>5694</v>
      </c>
      <c r="D892" s="29" t="s">
        <v>5695</v>
      </c>
      <c r="E892" s="92" t="s">
        <v>961</v>
      </c>
      <c r="F892" s="89">
        <v>4105404</v>
      </c>
      <c r="G892" s="29" t="s">
        <v>5696</v>
      </c>
    </row>
    <row r="893" spans="1:7">
      <c r="A893" s="33">
        <v>42808</v>
      </c>
      <c r="B893" s="29" t="s">
        <v>5676</v>
      </c>
      <c r="C893" s="29" t="s">
        <v>5697</v>
      </c>
      <c r="D893" s="29" t="s">
        <v>5698</v>
      </c>
      <c r="E893" s="92" t="s">
        <v>5699</v>
      </c>
      <c r="F893" s="89">
        <v>4134441</v>
      </c>
      <c r="G893" s="29" t="s">
        <v>5700</v>
      </c>
    </row>
    <row r="894" spans="1:7">
      <c r="A894" s="33">
        <v>42809</v>
      </c>
      <c r="B894" s="29" t="s">
        <v>5701</v>
      </c>
      <c r="C894" s="29" t="s">
        <v>5702</v>
      </c>
      <c r="D894" s="29" t="s">
        <v>5703</v>
      </c>
      <c r="E894" s="92" t="s">
        <v>1774</v>
      </c>
      <c r="F894" s="89">
        <v>4139878</v>
      </c>
      <c r="G894" s="29" t="s">
        <v>5704</v>
      </c>
    </row>
    <row r="895" spans="1:7">
      <c r="A895" s="33">
        <v>42810</v>
      </c>
      <c r="B895" s="29" t="s">
        <v>5705</v>
      </c>
      <c r="C895" s="29" t="s">
        <v>5706</v>
      </c>
      <c r="D895" s="29" t="s">
        <v>5707</v>
      </c>
      <c r="E895" s="92" t="s">
        <v>4155</v>
      </c>
      <c r="F895" s="89">
        <v>4142527</v>
      </c>
      <c r="G895" s="29" t="s">
        <v>5708</v>
      </c>
    </row>
    <row r="896" spans="1:7">
      <c r="A896" s="33">
        <v>42811</v>
      </c>
      <c r="B896" s="29" t="s">
        <v>5709</v>
      </c>
      <c r="C896" s="29" t="s">
        <v>5709</v>
      </c>
      <c r="D896" s="29" t="s">
        <v>5710</v>
      </c>
      <c r="E896" s="92" t="s">
        <v>4210</v>
      </c>
      <c r="F896" s="89">
        <v>4158183</v>
      </c>
      <c r="G896" s="29" t="s">
        <v>5711</v>
      </c>
    </row>
    <row r="897" spans="1:7">
      <c r="A897" s="33">
        <v>42812</v>
      </c>
      <c r="B897" s="29" t="s">
        <v>5712</v>
      </c>
      <c r="C897" s="29" t="s">
        <v>5713</v>
      </c>
      <c r="D897" s="34">
        <v>957655</v>
      </c>
      <c r="E897" s="92" t="s">
        <v>1932</v>
      </c>
      <c r="F897" s="89">
        <v>4214672</v>
      </c>
      <c r="G897" s="29" t="s">
        <v>5714</v>
      </c>
    </row>
    <row r="898" spans="1:7">
      <c r="A898" s="33">
        <v>42813</v>
      </c>
      <c r="B898" s="29" t="s">
        <v>5715</v>
      </c>
      <c r="C898" s="29" t="s">
        <v>5716</v>
      </c>
      <c r="D898" s="29" t="s">
        <v>5715</v>
      </c>
      <c r="E898" s="92" t="s">
        <v>4206</v>
      </c>
      <c r="F898" s="89">
        <v>4278847</v>
      </c>
      <c r="G898" s="29" t="s">
        <v>5594</v>
      </c>
    </row>
    <row r="899" spans="1:7">
      <c r="A899" s="33">
        <v>42814</v>
      </c>
      <c r="B899" s="29" t="s">
        <v>5717</v>
      </c>
      <c r="C899" s="29" t="s">
        <v>5718</v>
      </c>
      <c r="D899" s="29" t="s">
        <v>5719</v>
      </c>
      <c r="E899" s="92" t="s">
        <v>4194</v>
      </c>
      <c r="F899" s="89">
        <v>4879878</v>
      </c>
      <c r="G899" s="29" t="s">
        <v>5720</v>
      </c>
    </row>
    <row r="900" spans="1:7">
      <c r="A900" s="33">
        <v>42815</v>
      </c>
      <c r="B900" s="29" t="s">
        <v>5721</v>
      </c>
      <c r="C900" s="29" t="s">
        <v>5722</v>
      </c>
      <c r="D900" s="29" t="s">
        <v>5721</v>
      </c>
      <c r="E900" s="92" t="s">
        <v>5723</v>
      </c>
      <c r="F900" s="89">
        <v>4922799</v>
      </c>
      <c r="G900" s="29" t="s">
        <v>5724</v>
      </c>
    </row>
    <row r="901" spans="1:7">
      <c r="A901" s="33">
        <v>42816</v>
      </c>
      <c r="B901" s="29" t="s">
        <v>5725</v>
      </c>
      <c r="C901" s="29" t="s">
        <v>5725</v>
      </c>
      <c r="D901" s="29" t="s">
        <v>5726</v>
      </c>
      <c r="E901" s="92" t="s">
        <v>1766</v>
      </c>
      <c r="F901" s="89">
        <v>4970788</v>
      </c>
      <c r="G901" s="29" t="s">
        <v>5727</v>
      </c>
    </row>
    <row r="902" spans="1:7">
      <c r="A902" s="33">
        <v>42817</v>
      </c>
      <c r="B902" s="29" t="s">
        <v>5728</v>
      </c>
      <c r="C902" s="29" t="s">
        <v>5729</v>
      </c>
      <c r="D902" s="29" t="s">
        <v>5730</v>
      </c>
      <c r="E902" s="92" t="s">
        <v>2107</v>
      </c>
      <c r="F902" s="89">
        <v>4973022</v>
      </c>
      <c r="G902" s="29" t="s">
        <v>5731</v>
      </c>
    </row>
    <row r="903" spans="1:7">
      <c r="A903" s="33">
        <v>42818</v>
      </c>
      <c r="B903" s="29" t="s">
        <v>5732</v>
      </c>
      <c r="C903" s="29" t="s">
        <v>5733</v>
      </c>
      <c r="D903" s="34">
        <v>934358</v>
      </c>
      <c r="E903" s="92" t="s">
        <v>4190</v>
      </c>
      <c r="F903" s="89">
        <v>5036681</v>
      </c>
      <c r="G903" s="29" t="s">
        <v>5734</v>
      </c>
    </row>
    <row r="904" spans="1:7">
      <c r="A904" s="33">
        <v>42819</v>
      </c>
      <c r="B904" s="29" t="s">
        <v>5735</v>
      </c>
      <c r="C904" s="34">
        <v>975761</v>
      </c>
      <c r="D904" s="34">
        <v>903713</v>
      </c>
      <c r="E904" s="92" t="s">
        <v>2095</v>
      </c>
      <c r="F904" s="89">
        <v>5059817</v>
      </c>
      <c r="G904" s="29" t="s">
        <v>5736</v>
      </c>
    </row>
    <row r="905" spans="1:7">
      <c r="A905" s="33">
        <v>42820</v>
      </c>
      <c r="B905" s="34">
        <v>974015</v>
      </c>
      <c r="C905" s="29" t="s">
        <v>5737</v>
      </c>
      <c r="D905" s="34">
        <v>954186</v>
      </c>
      <c r="E905" s="92" t="s">
        <v>4214</v>
      </c>
      <c r="F905" s="89">
        <v>5064488</v>
      </c>
      <c r="G905" s="29" t="s">
        <v>5738</v>
      </c>
    </row>
    <row r="906" spans="1:7">
      <c r="A906" s="33">
        <v>42821</v>
      </c>
      <c r="B906" s="34">
        <v>972055</v>
      </c>
      <c r="C906" s="29" t="s">
        <v>5739</v>
      </c>
      <c r="D906" s="34">
        <v>971984</v>
      </c>
      <c r="E906" s="92" t="s">
        <v>1880</v>
      </c>
      <c r="F906" s="89">
        <v>5067108</v>
      </c>
      <c r="G906" s="29" t="s">
        <v>5740</v>
      </c>
    </row>
    <row r="907" spans="1:7">
      <c r="A907" s="33">
        <v>42822</v>
      </c>
      <c r="B907" s="29" t="s">
        <v>5741</v>
      </c>
      <c r="C907" s="29" t="s">
        <v>5742</v>
      </c>
      <c r="D907" s="29" t="s">
        <v>5743</v>
      </c>
      <c r="E907" s="92" t="s">
        <v>5744</v>
      </c>
      <c r="F907" s="89">
        <v>5089539</v>
      </c>
      <c r="G907" s="29" t="s">
        <v>5745</v>
      </c>
    </row>
    <row r="908" spans="1:7">
      <c r="A908" s="33">
        <v>42823</v>
      </c>
      <c r="B908" s="29" t="s">
        <v>5746</v>
      </c>
      <c r="C908" s="29" t="s">
        <v>5747</v>
      </c>
      <c r="D908" s="29" t="s">
        <v>5748</v>
      </c>
      <c r="E908" s="92" t="s">
        <v>906</v>
      </c>
      <c r="F908" s="89">
        <v>5096586</v>
      </c>
      <c r="G908" s="29" t="s">
        <v>5704</v>
      </c>
    </row>
    <row r="909" spans="1:7">
      <c r="A909" s="33">
        <v>42824</v>
      </c>
      <c r="B909" s="29" t="s">
        <v>5749</v>
      </c>
      <c r="C909" s="29" t="s">
        <v>5750</v>
      </c>
      <c r="D909" s="29" t="s">
        <v>5751</v>
      </c>
      <c r="E909" s="92" t="s">
        <v>862</v>
      </c>
      <c r="F909" s="89">
        <v>5167722</v>
      </c>
      <c r="G909" s="29" t="s">
        <v>5752</v>
      </c>
    </row>
    <row r="910" spans="1:7">
      <c r="A910" s="33">
        <v>42825</v>
      </c>
      <c r="B910" s="29" t="s">
        <v>5753</v>
      </c>
      <c r="C910" s="29" t="s">
        <v>5754</v>
      </c>
      <c r="D910" s="29" t="s">
        <v>5753</v>
      </c>
      <c r="E910" s="92" t="s">
        <v>5755</v>
      </c>
      <c r="F910" s="89">
        <v>5198897</v>
      </c>
      <c r="G910" s="29" t="s">
        <v>5756</v>
      </c>
    </row>
    <row r="911" spans="1:7">
      <c r="A911" s="33">
        <v>42826</v>
      </c>
      <c r="B911" s="29" t="s">
        <v>5757</v>
      </c>
      <c r="C911" s="29" t="s">
        <v>5758</v>
      </c>
      <c r="D911" s="29" t="s">
        <v>5759</v>
      </c>
      <c r="E911" s="92" t="s">
        <v>4198</v>
      </c>
      <c r="F911" s="89">
        <v>5200366</v>
      </c>
      <c r="G911" s="29" t="s">
        <v>5760</v>
      </c>
    </row>
    <row r="912" spans="1:7">
      <c r="A912" s="33">
        <v>42827</v>
      </c>
      <c r="B912" s="29" t="s">
        <v>5761</v>
      </c>
      <c r="C912" s="29" t="s">
        <v>5762</v>
      </c>
      <c r="D912" s="29" t="s">
        <v>5763</v>
      </c>
      <c r="E912" s="92" t="s">
        <v>4175</v>
      </c>
      <c r="F912" s="89">
        <v>5204958</v>
      </c>
      <c r="G912" s="29" t="s">
        <v>5764</v>
      </c>
    </row>
    <row r="913" spans="1:7">
      <c r="A913" s="33">
        <v>42828</v>
      </c>
      <c r="B913" s="29" t="s">
        <v>5765</v>
      </c>
      <c r="C913" s="29" t="s">
        <v>5766</v>
      </c>
      <c r="D913" s="29" t="s">
        <v>5765</v>
      </c>
      <c r="E913" s="92" t="s">
        <v>472</v>
      </c>
      <c r="F913" s="89">
        <v>5210516</v>
      </c>
      <c r="G913" s="29" t="s">
        <v>5767</v>
      </c>
    </row>
    <row r="914" spans="1:7">
      <c r="A914" s="33">
        <v>42829</v>
      </c>
      <c r="B914" s="29" t="s">
        <v>5768</v>
      </c>
      <c r="C914" s="29" t="s">
        <v>5769</v>
      </c>
      <c r="D914" s="29" t="s">
        <v>5770</v>
      </c>
      <c r="E914" s="92" t="s">
        <v>4182</v>
      </c>
      <c r="F914" s="89">
        <v>5225629</v>
      </c>
      <c r="G914" s="29" t="s">
        <v>5736</v>
      </c>
    </row>
    <row r="915" spans="1:7">
      <c r="A915" s="33">
        <v>42830</v>
      </c>
      <c r="B915" s="29" t="s">
        <v>5771</v>
      </c>
      <c r="C915" s="29" t="s">
        <v>5772</v>
      </c>
      <c r="D915" s="29" t="s">
        <v>5773</v>
      </c>
      <c r="E915" s="92" t="s">
        <v>5774</v>
      </c>
      <c r="F915" s="89">
        <v>5238438</v>
      </c>
      <c r="G915" s="29" t="s">
        <v>5775</v>
      </c>
    </row>
    <row r="916" spans="1:7">
      <c r="A916" s="33">
        <v>42831</v>
      </c>
      <c r="B916" s="29" t="s">
        <v>5776</v>
      </c>
      <c r="C916" s="29" t="s">
        <v>5777</v>
      </c>
      <c r="D916" s="29" t="s">
        <v>5776</v>
      </c>
      <c r="E916" s="92" t="s">
        <v>5778</v>
      </c>
      <c r="F916" s="89">
        <v>5247353</v>
      </c>
      <c r="G916" s="29" t="s">
        <v>5779</v>
      </c>
    </row>
    <row r="917" spans="1:7">
      <c r="A917" s="33">
        <v>42832</v>
      </c>
      <c r="B917" s="29" t="s">
        <v>5780</v>
      </c>
      <c r="C917" s="29" t="s">
        <v>5781</v>
      </c>
      <c r="D917" s="29" t="s">
        <v>5782</v>
      </c>
      <c r="E917" s="92" t="s">
        <v>4171</v>
      </c>
      <c r="F917" s="89">
        <v>5251938</v>
      </c>
      <c r="G917" s="29" t="s">
        <v>5783</v>
      </c>
    </row>
    <row r="918" spans="1:7">
      <c r="A918" s="33">
        <v>42833</v>
      </c>
      <c r="B918" s="29" t="s">
        <v>5784</v>
      </c>
      <c r="C918" s="29" t="s">
        <v>5785</v>
      </c>
      <c r="D918" s="29" t="s">
        <v>5786</v>
      </c>
      <c r="E918" s="92" t="s">
        <v>933</v>
      </c>
      <c r="F918" s="89">
        <v>5268291</v>
      </c>
      <c r="G918" s="29" t="s">
        <v>5787</v>
      </c>
    </row>
    <row r="919" spans="1:7">
      <c r="A919" s="33">
        <v>42834</v>
      </c>
      <c r="B919" s="29" t="s">
        <v>5788</v>
      </c>
      <c r="C919" s="29" t="s">
        <v>5789</v>
      </c>
      <c r="D919" s="29" t="s">
        <v>5790</v>
      </c>
      <c r="E919" s="92" t="s">
        <v>1107</v>
      </c>
      <c r="F919" s="89">
        <v>5279348</v>
      </c>
      <c r="G919" s="29" t="s">
        <v>5791</v>
      </c>
    </row>
    <row r="920" spans="1:7">
      <c r="A920" s="33">
        <v>42835</v>
      </c>
      <c r="B920" s="29" t="s">
        <v>5792</v>
      </c>
      <c r="C920" s="29" t="s">
        <v>5793</v>
      </c>
      <c r="D920" s="29" t="s">
        <v>5794</v>
      </c>
      <c r="E920" s="92" t="s">
        <v>941</v>
      </c>
      <c r="F920" s="89">
        <v>5285139</v>
      </c>
      <c r="G920" s="29" t="s">
        <v>5795</v>
      </c>
    </row>
    <row r="921" spans="1:7">
      <c r="A921" s="33">
        <v>42836</v>
      </c>
      <c r="B921" s="29" t="s">
        <v>5796</v>
      </c>
      <c r="C921" s="29" t="s">
        <v>5797</v>
      </c>
      <c r="D921" s="29" t="s">
        <v>5796</v>
      </c>
      <c r="E921" s="92" t="s">
        <v>898</v>
      </c>
      <c r="F921" s="89">
        <v>5289771</v>
      </c>
      <c r="G921" s="29" t="s">
        <v>5795</v>
      </c>
    </row>
    <row r="922" spans="1:7">
      <c r="A922" s="33">
        <v>42837</v>
      </c>
      <c r="B922" s="29" t="s">
        <v>5798</v>
      </c>
      <c r="C922" s="29" t="s">
        <v>5799</v>
      </c>
      <c r="D922" s="29" t="s">
        <v>5800</v>
      </c>
      <c r="E922" s="92" t="s">
        <v>398</v>
      </c>
      <c r="F922" s="89">
        <v>5298386</v>
      </c>
      <c r="G922" s="29" t="s">
        <v>5801</v>
      </c>
    </row>
    <row r="923" spans="1:7">
      <c r="A923" s="33">
        <v>42838</v>
      </c>
      <c r="B923" s="29" t="s">
        <v>5802</v>
      </c>
      <c r="C923" s="29" t="s">
        <v>5803</v>
      </c>
      <c r="D923" s="29" t="s">
        <v>5769</v>
      </c>
      <c r="E923" s="92" t="s">
        <v>4135</v>
      </c>
      <c r="F923" s="89">
        <v>5303813</v>
      </c>
      <c r="G923" s="29" t="s">
        <v>5551</v>
      </c>
    </row>
    <row r="924" spans="1:7">
      <c r="A924" s="33">
        <v>42839</v>
      </c>
      <c r="B924" s="29" t="s">
        <v>5804</v>
      </c>
      <c r="C924" s="29" t="s">
        <v>5805</v>
      </c>
      <c r="D924" s="29" t="s">
        <v>5806</v>
      </c>
      <c r="E924" s="92" t="s">
        <v>5807</v>
      </c>
      <c r="F924" s="89">
        <v>5314531</v>
      </c>
      <c r="G924" s="29" t="s">
        <v>5808</v>
      </c>
    </row>
    <row r="925" spans="1:7">
      <c r="A925" s="33">
        <v>42840</v>
      </c>
      <c r="B925" s="29" t="s">
        <v>5809</v>
      </c>
      <c r="C925" s="29">
        <v>1188</v>
      </c>
      <c r="D925" s="29" t="s">
        <v>5810</v>
      </c>
      <c r="E925" s="92" t="s">
        <v>1864</v>
      </c>
      <c r="F925" s="89">
        <v>5324552</v>
      </c>
      <c r="G925" s="29" t="s">
        <v>5811</v>
      </c>
    </row>
    <row r="926" spans="1:7">
      <c r="A926" s="33">
        <v>42841</v>
      </c>
      <c r="B926" s="29" t="s">
        <v>5812</v>
      </c>
      <c r="C926" s="29" t="s">
        <v>5813</v>
      </c>
      <c r="D926" s="29" t="s">
        <v>5812</v>
      </c>
      <c r="E926" s="92" t="s">
        <v>4186</v>
      </c>
      <c r="F926" s="89">
        <v>5337886</v>
      </c>
      <c r="G926" s="29" t="s">
        <v>5664</v>
      </c>
    </row>
    <row r="927" spans="1:7">
      <c r="A927" s="33">
        <v>42842</v>
      </c>
      <c r="B927" s="29" t="s">
        <v>5814</v>
      </c>
      <c r="C927" s="29" t="s">
        <v>5815</v>
      </c>
      <c r="D927" s="29" t="s">
        <v>5784</v>
      </c>
      <c r="E927" s="92" t="s">
        <v>4202</v>
      </c>
      <c r="F927" s="89">
        <v>5350727</v>
      </c>
      <c r="G927" s="29" t="s">
        <v>5371</v>
      </c>
    </row>
    <row r="928" spans="1:7">
      <c r="A928" s="33">
        <v>42843</v>
      </c>
      <c r="B928" s="29" t="s">
        <v>5816</v>
      </c>
      <c r="C928" s="29" t="s">
        <v>5817</v>
      </c>
      <c r="D928" s="29" t="s">
        <v>5816</v>
      </c>
      <c r="E928" s="92" t="s">
        <v>1788</v>
      </c>
      <c r="F928" s="89">
        <v>5392315</v>
      </c>
      <c r="G928" s="29" t="s">
        <v>5818</v>
      </c>
    </row>
    <row r="929" spans="1:7">
      <c r="A929" s="33">
        <v>42844</v>
      </c>
      <c r="B929" s="29" t="s">
        <v>5819</v>
      </c>
      <c r="C929" s="29" t="s">
        <v>4778</v>
      </c>
      <c r="D929" s="29" t="s">
        <v>5820</v>
      </c>
      <c r="E929" s="92" t="s">
        <v>1762</v>
      </c>
      <c r="F929" s="89">
        <v>5399365</v>
      </c>
      <c r="G929" s="29" t="s">
        <v>5821</v>
      </c>
    </row>
    <row r="930" spans="1:7">
      <c r="A930" s="33">
        <v>42845</v>
      </c>
      <c r="B930" s="29" t="s">
        <v>5822</v>
      </c>
      <c r="C930" s="29" t="s">
        <v>5823</v>
      </c>
      <c r="D930" s="29" t="s">
        <v>5824</v>
      </c>
      <c r="E930" s="92" t="s">
        <v>4139</v>
      </c>
      <c r="F930" s="89">
        <v>5402697</v>
      </c>
      <c r="G930" s="29" t="s">
        <v>5825</v>
      </c>
    </row>
    <row r="931" spans="1:7">
      <c r="A931" s="33">
        <v>42846</v>
      </c>
      <c r="B931" s="29" t="s">
        <v>5826</v>
      </c>
      <c r="C931" s="29" t="s">
        <v>5827</v>
      </c>
      <c r="D931" s="29" t="s">
        <v>5828</v>
      </c>
      <c r="E931" s="92" t="s">
        <v>1856</v>
      </c>
      <c r="F931" s="89">
        <v>5464867</v>
      </c>
      <c r="G931" s="29" t="s">
        <v>4778</v>
      </c>
    </row>
    <row r="932" spans="1:7">
      <c r="A932" s="33">
        <v>42847</v>
      </c>
      <c r="B932" s="29" t="s">
        <v>5829</v>
      </c>
      <c r="C932" s="29" t="s">
        <v>5830</v>
      </c>
      <c r="D932" s="29" t="s">
        <v>5831</v>
      </c>
      <c r="E932" s="92" t="s">
        <v>4143</v>
      </c>
      <c r="F932" s="89">
        <v>5563707</v>
      </c>
      <c r="G932" s="29" t="s">
        <v>5731</v>
      </c>
    </row>
    <row r="933" spans="1:7">
      <c r="A933" s="33">
        <v>42848</v>
      </c>
      <c r="B933" s="29" t="s">
        <v>5832</v>
      </c>
      <c r="C933" s="29" t="s">
        <v>5833</v>
      </c>
      <c r="D933" s="29" t="s">
        <v>5834</v>
      </c>
      <c r="E933" s="92" t="s">
        <v>5835</v>
      </c>
      <c r="F933" s="89">
        <v>5572362</v>
      </c>
      <c r="G933" s="29" t="s">
        <v>5836</v>
      </c>
    </row>
    <row r="934" spans="1:7">
      <c r="A934" s="33">
        <v>42849</v>
      </c>
      <c r="B934" s="29" t="s">
        <v>5837</v>
      </c>
      <c r="C934" s="29" t="s">
        <v>5838</v>
      </c>
      <c r="D934" s="29" t="s">
        <v>5837</v>
      </c>
      <c r="E934" s="92" t="s">
        <v>1786</v>
      </c>
      <c r="F934" s="89">
        <v>5746807</v>
      </c>
      <c r="G934" s="29" t="s">
        <v>5839</v>
      </c>
    </row>
    <row r="935" spans="1:7">
      <c r="A935" s="33">
        <v>42850</v>
      </c>
      <c r="B935" s="29" t="s">
        <v>5840</v>
      </c>
      <c r="C935" s="29" t="s">
        <v>5841</v>
      </c>
      <c r="D935" s="29" t="s">
        <v>5842</v>
      </c>
      <c r="E935" s="92" t="s">
        <v>476</v>
      </c>
      <c r="F935" s="89">
        <v>5795708</v>
      </c>
      <c r="G935" s="29" t="s">
        <v>5364</v>
      </c>
    </row>
    <row r="936" spans="1:7">
      <c r="A936" s="33">
        <v>42851</v>
      </c>
      <c r="B936" s="29" t="s">
        <v>5843</v>
      </c>
      <c r="C936" s="29" t="s">
        <v>5844</v>
      </c>
      <c r="D936" s="29" t="s">
        <v>5845</v>
      </c>
      <c r="E936" s="92" t="s">
        <v>5846</v>
      </c>
      <c r="F936" s="89">
        <v>5829501</v>
      </c>
      <c r="G936" s="29" t="s">
        <v>5847</v>
      </c>
    </row>
    <row r="937" spans="1:7">
      <c r="A937" s="33">
        <v>42852</v>
      </c>
      <c r="B937" s="29" t="s">
        <v>5848</v>
      </c>
      <c r="C937" s="29" t="s">
        <v>5849</v>
      </c>
      <c r="D937" s="29" t="s">
        <v>5850</v>
      </c>
      <c r="E937" s="92" t="s">
        <v>913</v>
      </c>
      <c r="F937" s="89">
        <v>5830255</v>
      </c>
      <c r="G937" s="29" t="s">
        <v>5851</v>
      </c>
    </row>
    <row r="938" spans="1:7">
      <c r="A938" s="33">
        <v>42853</v>
      </c>
      <c r="B938" s="29" t="s">
        <v>5852</v>
      </c>
      <c r="C938" s="29" t="s">
        <v>5853</v>
      </c>
      <c r="D938" s="29" t="s">
        <v>5854</v>
      </c>
      <c r="E938" s="92" t="s">
        <v>1758</v>
      </c>
      <c r="F938" s="89">
        <v>5831167</v>
      </c>
      <c r="G938" s="29" t="s">
        <v>5855</v>
      </c>
    </row>
    <row r="939" spans="1:7">
      <c r="A939" s="33">
        <v>42854</v>
      </c>
      <c r="B939" s="29" t="s">
        <v>5856</v>
      </c>
      <c r="C939" s="29" t="s">
        <v>5857</v>
      </c>
      <c r="D939" s="29" t="s">
        <v>5858</v>
      </c>
      <c r="E939" s="92" t="s">
        <v>406</v>
      </c>
      <c r="F939" s="89">
        <v>5922043</v>
      </c>
      <c r="G939" s="29" t="s">
        <v>5859</v>
      </c>
    </row>
    <row r="940" spans="1:7">
      <c r="A940" s="33">
        <v>42855</v>
      </c>
      <c r="B940" s="29" t="s">
        <v>5860</v>
      </c>
      <c r="C940" s="29" t="s">
        <v>5861</v>
      </c>
      <c r="D940" s="29" t="s">
        <v>5862</v>
      </c>
      <c r="E940" s="92" t="s">
        <v>371</v>
      </c>
      <c r="F940" s="89">
        <v>5982458</v>
      </c>
      <c r="G940" s="29" t="s">
        <v>5863</v>
      </c>
    </row>
    <row r="941" spans="1:7">
      <c r="A941" s="33">
        <v>42856</v>
      </c>
      <c r="B941" s="29" t="s">
        <v>5864</v>
      </c>
      <c r="C941" s="29" t="s">
        <v>5865</v>
      </c>
      <c r="D941" s="29" t="s">
        <v>5864</v>
      </c>
      <c r="E941" s="92" t="s">
        <v>5866</v>
      </c>
      <c r="F941" s="89">
        <v>6174529</v>
      </c>
      <c r="G941" s="29" t="s">
        <v>5867</v>
      </c>
    </row>
    <row r="942" spans="1:7">
      <c r="A942" s="33">
        <v>42857</v>
      </c>
      <c r="B942" s="29" t="s">
        <v>5868</v>
      </c>
      <c r="C942" s="29" t="s">
        <v>5869</v>
      </c>
      <c r="D942" s="29" t="s">
        <v>5870</v>
      </c>
      <c r="E942" s="92" t="s">
        <v>5871</v>
      </c>
      <c r="F942" s="89">
        <v>6185066</v>
      </c>
      <c r="G942" s="29" t="s">
        <v>5872</v>
      </c>
    </row>
    <row r="943" spans="1:7">
      <c r="A943" s="33">
        <v>42858</v>
      </c>
      <c r="B943" s="29" t="s">
        <v>5873</v>
      </c>
      <c r="C943" s="29" t="s">
        <v>5874</v>
      </c>
      <c r="D943" s="29" t="s">
        <v>5875</v>
      </c>
      <c r="E943" s="92" t="s">
        <v>937</v>
      </c>
      <c r="F943" s="89">
        <v>6191193</v>
      </c>
      <c r="G943" s="29" t="s">
        <v>4778</v>
      </c>
    </row>
    <row r="944" spans="1:7">
      <c r="A944" s="33">
        <v>42859</v>
      </c>
      <c r="B944" s="29" t="s">
        <v>5876</v>
      </c>
      <c r="C944" s="29" t="s">
        <v>5877</v>
      </c>
      <c r="D944" s="29" t="s">
        <v>5876</v>
      </c>
      <c r="E944" s="92" t="s">
        <v>4131</v>
      </c>
      <c r="F944" s="89">
        <v>6198778</v>
      </c>
      <c r="G944" s="29" t="s">
        <v>5878</v>
      </c>
    </row>
    <row r="945" spans="1:7">
      <c r="A945" s="33">
        <v>42860</v>
      </c>
      <c r="B945" s="29" t="s">
        <v>5879</v>
      </c>
      <c r="C945" s="29" t="s">
        <v>5880</v>
      </c>
      <c r="D945" s="29" t="s">
        <v>5881</v>
      </c>
      <c r="E945" s="92" t="s">
        <v>902</v>
      </c>
      <c r="F945" s="89">
        <v>6242194</v>
      </c>
      <c r="G945" s="29" t="s">
        <v>5882</v>
      </c>
    </row>
    <row r="946" spans="1:7">
      <c r="A946" s="33">
        <v>42861</v>
      </c>
      <c r="B946" s="29" t="s">
        <v>5883</v>
      </c>
      <c r="C946" s="29" t="s">
        <v>5884</v>
      </c>
      <c r="D946" s="29" t="s">
        <v>5885</v>
      </c>
      <c r="E946" s="92" t="s">
        <v>5886</v>
      </c>
      <c r="F946" s="89">
        <v>6378849</v>
      </c>
      <c r="G946" s="29" t="s">
        <v>5887</v>
      </c>
    </row>
    <row r="947" spans="1:7">
      <c r="A947" s="33">
        <v>42862</v>
      </c>
      <c r="B947" s="29" t="s">
        <v>5888</v>
      </c>
      <c r="C947" s="29" t="s">
        <v>5889</v>
      </c>
      <c r="D947" s="29" t="s">
        <v>5890</v>
      </c>
      <c r="E947" s="92" t="s">
        <v>1750</v>
      </c>
      <c r="F947" s="89">
        <v>6416315</v>
      </c>
      <c r="G947" s="29" t="s">
        <v>5891</v>
      </c>
    </row>
    <row r="948" spans="1:7">
      <c r="A948" s="33">
        <v>42863</v>
      </c>
      <c r="B948" s="29" t="s">
        <v>5892</v>
      </c>
      <c r="C948" s="29" t="s">
        <v>5893</v>
      </c>
      <c r="D948" s="29" t="s">
        <v>5892</v>
      </c>
      <c r="E948" s="92" t="s">
        <v>418</v>
      </c>
      <c r="F948" s="89">
        <v>6429842</v>
      </c>
      <c r="G948" s="29" t="s">
        <v>5894</v>
      </c>
    </row>
    <row r="949" spans="1:7">
      <c r="A949" s="33">
        <v>42864</v>
      </c>
      <c r="B949" s="29" t="s">
        <v>5895</v>
      </c>
      <c r="C949" s="29" t="s">
        <v>5896</v>
      </c>
      <c r="D949" s="29" t="s">
        <v>5897</v>
      </c>
      <c r="E949" s="92" t="s">
        <v>4163</v>
      </c>
      <c r="F949" s="89">
        <v>6438645</v>
      </c>
      <c r="G949" s="29" t="s">
        <v>5898</v>
      </c>
    </row>
    <row r="950" spans="1:7">
      <c r="A950" s="33">
        <v>42865</v>
      </c>
      <c r="B950" s="29" t="s">
        <v>5899</v>
      </c>
      <c r="C950" s="29" t="s">
        <v>5900</v>
      </c>
      <c r="D950" s="29" t="s">
        <v>5901</v>
      </c>
      <c r="E950" s="92" t="s">
        <v>4167</v>
      </c>
      <c r="F950" s="89">
        <v>6469798</v>
      </c>
      <c r="G950" s="29" t="s">
        <v>5902</v>
      </c>
    </row>
    <row r="951" spans="1:7">
      <c r="A951" s="33">
        <v>42866</v>
      </c>
      <c r="B951" s="29" t="s">
        <v>5903</v>
      </c>
      <c r="C951" s="29" t="s">
        <v>4778</v>
      </c>
      <c r="D951" s="29" t="s">
        <v>5904</v>
      </c>
      <c r="E951" s="92" t="s">
        <v>2114</v>
      </c>
      <c r="F951" s="89">
        <v>6606776</v>
      </c>
      <c r="G951" s="29" t="s">
        <v>5905</v>
      </c>
    </row>
    <row r="952" spans="1:7">
      <c r="A952" s="33">
        <v>42867</v>
      </c>
      <c r="B952" s="29" t="s">
        <v>5906</v>
      </c>
      <c r="C952" s="29" t="s">
        <v>5907</v>
      </c>
      <c r="D952" s="29" t="s">
        <v>5908</v>
      </c>
      <c r="E952" s="92" t="s">
        <v>4147</v>
      </c>
      <c r="F952" s="89">
        <v>6640515</v>
      </c>
      <c r="G952" s="29" t="s">
        <v>5909</v>
      </c>
    </row>
    <row r="953" spans="1:7">
      <c r="A953" s="33">
        <v>42868</v>
      </c>
      <c r="B953" s="29" t="s">
        <v>5910</v>
      </c>
      <c r="C953" s="29" t="s">
        <v>5911</v>
      </c>
      <c r="D953" s="29" t="s">
        <v>5912</v>
      </c>
      <c r="E953" s="92" t="s">
        <v>5913</v>
      </c>
      <c r="F953" s="89">
        <v>6681063</v>
      </c>
      <c r="G953" s="29" t="s">
        <v>5767</v>
      </c>
    </row>
    <row r="954" spans="1:7">
      <c r="A954" s="33">
        <v>42869</v>
      </c>
      <c r="B954" s="29" t="s">
        <v>5914</v>
      </c>
      <c r="C954" s="29" t="s">
        <v>5915</v>
      </c>
      <c r="D954" s="29" t="s">
        <v>5916</v>
      </c>
      <c r="E954" s="92" t="s">
        <v>1742</v>
      </c>
      <c r="F954" s="89">
        <v>6733387</v>
      </c>
      <c r="G954" s="29" t="s">
        <v>5917</v>
      </c>
    </row>
    <row r="955" spans="1:7">
      <c r="A955" s="33">
        <v>42870</v>
      </c>
      <c r="B955" s="29" t="s">
        <v>5918</v>
      </c>
      <c r="C955" s="29" t="s">
        <v>5919</v>
      </c>
      <c r="D955" s="29" t="s">
        <v>5920</v>
      </c>
      <c r="E955" s="92" t="s">
        <v>5921</v>
      </c>
      <c r="F955" s="89">
        <v>6734804</v>
      </c>
      <c r="G955" s="29" t="s">
        <v>5922</v>
      </c>
    </row>
    <row r="956" spans="1:7">
      <c r="A956" s="33">
        <v>42871</v>
      </c>
      <c r="B956" s="29" t="s">
        <v>5923</v>
      </c>
      <c r="C956" s="29" t="s">
        <v>5924</v>
      </c>
      <c r="D956" s="29" t="s">
        <v>5925</v>
      </c>
      <c r="E956" s="92" t="s">
        <v>5926</v>
      </c>
      <c r="F956" s="89">
        <v>6791129</v>
      </c>
      <c r="G956" s="29" t="s">
        <v>5927</v>
      </c>
    </row>
    <row r="957" spans="1:7">
      <c r="A957" s="33">
        <v>42872</v>
      </c>
      <c r="B957" s="29" t="s">
        <v>5928</v>
      </c>
      <c r="C957" s="29" t="s">
        <v>5929</v>
      </c>
      <c r="D957" s="29" t="s">
        <v>5930</v>
      </c>
      <c r="E957" s="92" t="s">
        <v>5931</v>
      </c>
      <c r="F957" s="89">
        <v>6793625</v>
      </c>
      <c r="G957" s="29" t="s">
        <v>5932</v>
      </c>
    </row>
    <row r="958" spans="1:7">
      <c r="A958" s="33">
        <v>42873</v>
      </c>
      <c r="B958" s="29" t="s">
        <v>5933</v>
      </c>
      <c r="C958" s="29" t="s">
        <v>5934</v>
      </c>
      <c r="D958" s="29" t="s">
        <v>5935</v>
      </c>
      <c r="E958" s="92" t="s">
        <v>1746</v>
      </c>
      <c r="F958" s="89">
        <v>6842428</v>
      </c>
      <c r="G958" s="29" t="s">
        <v>5936</v>
      </c>
    </row>
    <row r="959" spans="1:7">
      <c r="A959" s="33">
        <v>42874</v>
      </c>
      <c r="B959" s="29" t="s">
        <v>5937</v>
      </c>
      <c r="C959" s="29" t="s">
        <v>5938</v>
      </c>
      <c r="D959" s="29" t="s">
        <v>5939</v>
      </c>
      <c r="E959" s="92" t="s">
        <v>5940</v>
      </c>
      <c r="F959" s="89">
        <v>6845038</v>
      </c>
      <c r="G959" s="29" t="s">
        <v>5941</v>
      </c>
    </row>
    <row r="960" spans="1:7">
      <c r="A960" s="33">
        <v>42875</v>
      </c>
      <c r="B960" s="29" t="s">
        <v>5942</v>
      </c>
      <c r="C960" s="29" t="s">
        <v>5943</v>
      </c>
      <c r="D960" s="29" t="s">
        <v>5944</v>
      </c>
      <c r="E960" s="92" t="s">
        <v>410</v>
      </c>
      <c r="F960" s="89">
        <v>6859083</v>
      </c>
      <c r="G960" s="29" t="s">
        <v>5945</v>
      </c>
    </row>
    <row r="961" spans="1:7">
      <c r="A961" s="33">
        <v>42876</v>
      </c>
      <c r="B961" s="29" t="s">
        <v>5946</v>
      </c>
      <c r="C961" s="29" t="s">
        <v>5947</v>
      </c>
      <c r="D961" s="29" t="s">
        <v>5948</v>
      </c>
      <c r="E961" s="92" t="s">
        <v>4159</v>
      </c>
      <c r="F961" s="89">
        <v>6865493</v>
      </c>
      <c r="G961" s="29" t="s">
        <v>5949</v>
      </c>
    </row>
    <row r="962" spans="1:7">
      <c r="A962" s="33">
        <v>42877</v>
      </c>
      <c r="B962" s="29" t="s">
        <v>5950</v>
      </c>
      <c r="C962" s="29" t="s">
        <v>5951</v>
      </c>
      <c r="D962" s="29" t="s">
        <v>5952</v>
      </c>
      <c r="E962" s="92" t="s">
        <v>421</v>
      </c>
      <c r="F962" s="89">
        <v>6867527</v>
      </c>
      <c r="G962" s="29" t="s">
        <v>5953</v>
      </c>
    </row>
    <row r="963" spans="1:7">
      <c r="A963" s="33">
        <v>42878</v>
      </c>
      <c r="B963" s="29" t="s">
        <v>5954</v>
      </c>
      <c r="C963" s="29" t="s">
        <v>5955</v>
      </c>
      <c r="D963" s="29" t="s">
        <v>5956</v>
      </c>
      <c r="E963" s="92" t="s">
        <v>2118</v>
      </c>
      <c r="F963" s="89">
        <v>6880323</v>
      </c>
      <c r="G963" s="29" t="s">
        <v>5957</v>
      </c>
    </row>
    <row r="964" spans="1:7">
      <c r="A964" s="33">
        <v>42879</v>
      </c>
      <c r="B964" s="29" t="s">
        <v>5958</v>
      </c>
      <c r="C964" s="29" t="s">
        <v>5959</v>
      </c>
      <c r="D964" s="29" t="s">
        <v>5958</v>
      </c>
      <c r="E964" s="92" t="s">
        <v>5960</v>
      </c>
      <c r="F964" s="89">
        <v>6881958</v>
      </c>
      <c r="G964" s="29" t="s">
        <v>5961</v>
      </c>
    </row>
    <row r="965" spans="1:7">
      <c r="A965" s="33">
        <v>42880</v>
      </c>
      <c r="B965" s="29" t="s">
        <v>5962</v>
      </c>
      <c r="C965" s="29" t="s">
        <v>5963</v>
      </c>
      <c r="D965" s="29" t="s">
        <v>5964</v>
      </c>
      <c r="E965" s="92" t="s">
        <v>1009</v>
      </c>
      <c r="F965" s="89">
        <v>6971092</v>
      </c>
      <c r="G965" s="29" t="s">
        <v>5965</v>
      </c>
    </row>
    <row r="966" spans="1:7">
      <c r="A966" s="33">
        <v>42881</v>
      </c>
      <c r="B966" s="29" t="s">
        <v>5966</v>
      </c>
      <c r="C966" s="29" t="s">
        <v>5967</v>
      </c>
      <c r="D966" s="29" t="s">
        <v>5968</v>
      </c>
      <c r="E966" s="92" t="s">
        <v>921</v>
      </c>
      <c r="F966" s="89">
        <v>6972372</v>
      </c>
      <c r="G966" s="29" t="s">
        <v>5969</v>
      </c>
    </row>
    <row r="967" spans="1:7">
      <c r="A967" s="33">
        <v>42882</v>
      </c>
      <c r="B967" s="29" t="s">
        <v>5970</v>
      </c>
      <c r="C967" s="29" t="s">
        <v>5971</v>
      </c>
      <c r="D967" s="29" t="s">
        <v>5972</v>
      </c>
      <c r="E967" s="92" t="s">
        <v>5973</v>
      </c>
      <c r="F967" s="89">
        <v>7116804</v>
      </c>
      <c r="G967" s="29" t="s">
        <v>5974</v>
      </c>
    </row>
    <row r="968" spans="1:7">
      <c r="A968" s="33">
        <v>42883</v>
      </c>
      <c r="B968" s="29" t="s">
        <v>5975</v>
      </c>
      <c r="C968" s="29" t="s">
        <v>5976</v>
      </c>
      <c r="D968" s="29" t="s">
        <v>5975</v>
      </c>
      <c r="E968" s="92" t="s">
        <v>4178</v>
      </c>
      <c r="F968" s="89">
        <v>7117208</v>
      </c>
      <c r="G968" s="29" t="s">
        <v>5949</v>
      </c>
    </row>
    <row r="969" spans="1:7">
      <c r="A969" s="33">
        <v>42884</v>
      </c>
      <c r="B969" s="29" t="s">
        <v>5977</v>
      </c>
      <c r="C969" s="29" t="s">
        <v>5978</v>
      </c>
      <c r="D969" s="29" t="s">
        <v>5979</v>
      </c>
      <c r="E969" s="92" t="s">
        <v>414</v>
      </c>
      <c r="F969" s="89">
        <v>7124674</v>
      </c>
      <c r="G969" s="29" t="s">
        <v>5980</v>
      </c>
    </row>
    <row r="970" spans="1:7">
      <c r="A970" s="33">
        <v>42885</v>
      </c>
      <c r="B970" s="29" t="s">
        <v>5981</v>
      </c>
      <c r="C970" s="29" t="s">
        <v>5982</v>
      </c>
      <c r="D970" s="29" t="s">
        <v>5983</v>
      </c>
      <c r="E970" s="92" t="s">
        <v>965</v>
      </c>
      <c r="F970" s="89">
        <v>7146134</v>
      </c>
      <c r="G970" s="29" t="s">
        <v>5984</v>
      </c>
    </row>
    <row r="971" spans="1:7">
      <c r="A971" s="33">
        <v>42886</v>
      </c>
      <c r="B971" s="29" t="s">
        <v>5985</v>
      </c>
      <c r="C971" s="29" t="s">
        <v>5986</v>
      </c>
      <c r="D971" s="29" t="s">
        <v>5987</v>
      </c>
      <c r="E971" s="92" t="s">
        <v>5988</v>
      </c>
      <c r="F971" s="89">
        <v>7152302</v>
      </c>
      <c r="G971" s="29" t="s">
        <v>5989</v>
      </c>
    </row>
    <row r="972" spans="1:7">
      <c r="A972" s="33">
        <v>42887</v>
      </c>
      <c r="B972" s="29" t="s">
        <v>5990</v>
      </c>
      <c r="C972" s="29" t="s">
        <v>5991</v>
      </c>
      <c r="D972" s="29" t="s">
        <v>5990</v>
      </c>
      <c r="E972" s="92" t="s">
        <v>973</v>
      </c>
      <c r="F972" s="89">
        <v>7189425</v>
      </c>
      <c r="G972" s="29" t="s">
        <v>5992</v>
      </c>
    </row>
    <row r="973" spans="1:7">
      <c r="A973" s="33">
        <v>42888</v>
      </c>
      <c r="B973" s="29" t="s">
        <v>5993</v>
      </c>
      <c r="C973" s="29" t="s">
        <v>5994</v>
      </c>
      <c r="D973" s="29" t="s">
        <v>5995</v>
      </c>
      <c r="E973" s="92" t="s">
        <v>886</v>
      </c>
      <c r="F973" s="89">
        <v>7191159</v>
      </c>
      <c r="G973" s="29" t="s">
        <v>5996</v>
      </c>
    </row>
    <row r="974" spans="1:7">
      <c r="A974" s="33">
        <v>42889</v>
      </c>
      <c r="B974" s="29" t="s">
        <v>5997</v>
      </c>
      <c r="C974" s="29" t="s">
        <v>5998</v>
      </c>
      <c r="D974" s="29" t="s">
        <v>5999</v>
      </c>
      <c r="E974" s="92" t="s">
        <v>894</v>
      </c>
      <c r="F974" s="89">
        <v>7193599</v>
      </c>
      <c r="G974" s="29" t="s">
        <v>6000</v>
      </c>
    </row>
    <row r="975" spans="1:7">
      <c r="A975" s="33">
        <v>42890</v>
      </c>
      <c r="B975" s="29" t="s">
        <v>6001</v>
      </c>
      <c r="C975" s="29" t="s">
        <v>6002</v>
      </c>
      <c r="D975" s="29" t="s">
        <v>6003</v>
      </c>
      <c r="E975" s="92" t="s">
        <v>4127</v>
      </c>
      <c r="F975" s="89">
        <v>7200174</v>
      </c>
      <c r="G975" s="29" t="s">
        <v>6004</v>
      </c>
    </row>
    <row r="976" spans="1:7">
      <c r="A976" s="33">
        <v>42891</v>
      </c>
      <c r="B976" s="29" t="s">
        <v>6005</v>
      </c>
      <c r="C976" s="29" t="s">
        <v>6006</v>
      </c>
      <c r="D976" s="29" t="s">
        <v>6007</v>
      </c>
      <c r="E976" s="92" t="s">
        <v>969</v>
      </c>
      <c r="F976" s="89">
        <v>7202844</v>
      </c>
      <c r="G976" s="29" t="s">
        <v>6008</v>
      </c>
    </row>
    <row r="977" spans="1:7">
      <c r="A977" s="33">
        <v>42892</v>
      </c>
      <c r="B977" s="29" t="s">
        <v>6009</v>
      </c>
      <c r="C977" s="29" t="s">
        <v>6010</v>
      </c>
      <c r="D977" s="29" t="s">
        <v>6009</v>
      </c>
      <c r="E977" s="92" t="s">
        <v>390</v>
      </c>
      <c r="F977" s="89">
        <v>7204771</v>
      </c>
      <c r="G977" s="29" t="s">
        <v>6011</v>
      </c>
    </row>
    <row r="978" spans="1:7">
      <c r="A978" s="33">
        <v>42893</v>
      </c>
      <c r="B978" s="29" t="s">
        <v>6012</v>
      </c>
      <c r="C978" s="29" t="s">
        <v>4778</v>
      </c>
      <c r="D978" s="29" t="s">
        <v>6013</v>
      </c>
      <c r="E978" s="92" t="s">
        <v>945</v>
      </c>
      <c r="F978" s="89">
        <v>7217427</v>
      </c>
      <c r="G978" s="29" t="s">
        <v>6014</v>
      </c>
    </row>
    <row r="979" spans="1:7">
      <c r="A979" s="33">
        <v>42894</v>
      </c>
      <c r="B979" s="29" t="s">
        <v>6015</v>
      </c>
      <c r="C979" s="29" t="s">
        <v>6016</v>
      </c>
      <c r="D979" s="29" t="s">
        <v>6017</v>
      </c>
      <c r="E979" s="92" t="s">
        <v>917</v>
      </c>
      <c r="F979" s="89">
        <v>7218371</v>
      </c>
      <c r="G979" s="29" t="s">
        <v>6018</v>
      </c>
    </row>
    <row r="980" spans="1:7">
      <c r="A980" s="33">
        <v>42895</v>
      </c>
      <c r="B980" s="29" t="s">
        <v>6019</v>
      </c>
      <c r="C980" s="29" t="s">
        <v>6020</v>
      </c>
      <c r="D980" s="29" t="s">
        <v>6021</v>
      </c>
      <c r="E980" s="92" t="s">
        <v>425</v>
      </c>
      <c r="F980" s="89">
        <v>7218816</v>
      </c>
      <c r="G980" s="29" t="s">
        <v>6022</v>
      </c>
    </row>
    <row r="981" spans="1:7">
      <c r="A981" s="33">
        <v>42896</v>
      </c>
      <c r="B981" s="29" t="s">
        <v>6023</v>
      </c>
      <c r="C981" s="29" t="s">
        <v>6024</v>
      </c>
      <c r="D981" s="29" t="s">
        <v>6025</v>
      </c>
      <c r="E981" s="92" t="s">
        <v>4151</v>
      </c>
      <c r="F981" s="89">
        <v>7238967</v>
      </c>
      <c r="G981" s="29" t="s">
        <v>6026</v>
      </c>
    </row>
    <row r="982" spans="1:7">
      <c r="A982" s="33">
        <v>42897</v>
      </c>
      <c r="B982" s="29" t="s">
        <v>6027</v>
      </c>
      <c r="C982" s="29" t="s">
        <v>6028</v>
      </c>
      <c r="D982" s="29" t="s">
        <v>6029</v>
      </c>
      <c r="E982" s="92" t="s">
        <v>2122</v>
      </c>
      <c r="F982" s="89">
        <v>7243134</v>
      </c>
      <c r="G982" s="29" t="s">
        <v>6030</v>
      </c>
    </row>
    <row r="983" spans="1:7">
      <c r="A983" s="33">
        <v>42898</v>
      </c>
      <c r="B983" s="29" t="s">
        <v>6031</v>
      </c>
      <c r="C983" s="29" t="s">
        <v>4778</v>
      </c>
      <c r="D983" s="29" t="s">
        <v>6032</v>
      </c>
      <c r="E983" s="92" t="s">
        <v>4123</v>
      </c>
      <c r="F983" s="89">
        <v>7252035</v>
      </c>
      <c r="G983" s="29" t="s">
        <v>6033</v>
      </c>
    </row>
    <row r="984" spans="1:7">
      <c r="A984" s="33">
        <v>42899</v>
      </c>
      <c r="B984" s="29" t="s">
        <v>6034</v>
      </c>
      <c r="C984" s="29" t="s">
        <v>6035</v>
      </c>
      <c r="D984" s="29" t="s">
        <v>6036</v>
      </c>
      <c r="E984" s="92" t="s">
        <v>4100</v>
      </c>
      <c r="F984" s="89">
        <v>7257665</v>
      </c>
      <c r="G984" s="29" t="s">
        <v>6037</v>
      </c>
    </row>
    <row r="985" spans="1:7">
      <c r="A985" s="33">
        <v>42900</v>
      </c>
      <c r="B985" s="29" t="s">
        <v>6038</v>
      </c>
      <c r="C985" s="29" t="s">
        <v>6039</v>
      </c>
      <c r="D985" s="29" t="s">
        <v>6040</v>
      </c>
      <c r="E985" s="92" t="s">
        <v>1103</v>
      </c>
      <c r="F985" s="89">
        <v>7269685</v>
      </c>
      <c r="G985" s="29" t="s">
        <v>5974</v>
      </c>
    </row>
    <row r="986" spans="1:7">
      <c r="A986" s="33">
        <v>42901</v>
      </c>
      <c r="B986" s="29" t="s">
        <v>6041</v>
      </c>
      <c r="C986" s="29" t="s">
        <v>6042</v>
      </c>
      <c r="D986" s="29" t="s">
        <v>6043</v>
      </c>
      <c r="E986" s="92" t="s">
        <v>1028</v>
      </c>
      <c r="F986" s="89">
        <v>7271208</v>
      </c>
      <c r="G986" s="29" t="s">
        <v>6044</v>
      </c>
    </row>
    <row r="987" spans="1:7">
      <c r="A987" s="33">
        <v>42902</v>
      </c>
      <c r="B987" s="29" t="s">
        <v>6045</v>
      </c>
      <c r="C987" s="29" t="s">
        <v>6046</v>
      </c>
      <c r="D987" s="29" t="s">
        <v>6047</v>
      </c>
      <c r="E987" s="92" t="s">
        <v>6048</v>
      </c>
      <c r="F987" s="89">
        <v>7271781</v>
      </c>
      <c r="G987" s="29" t="s">
        <v>6049</v>
      </c>
    </row>
    <row r="988" spans="1:7">
      <c r="A988" s="33">
        <v>42903</v>
      </c>
      <c r="B988" s="29" t="s">
        <v>6050</v>
      </c>
      <c r="C988" s="29" t="s">
        <v>6051</v>
      </c>
      <c r="D988" s="29" t="s">
        <v>6052</v>
      </c>
      <c r="E988" s="92" t="s">
        <v>6053</v>
      </c>
      <c r="F988" s="89">
        <v>7275156</v>
      </c>
      <c r="G988" s="29" t="s">
        <v>6054</v>
      </c>
    </row>
    <row r="989" spans="1:7">
      <c r="A989" s="33">
        <v>42904</v>
      </c>
      <c r="B989" s="29" t="s">
        <v>6055</v>
      </c>
      <c r="C989" s="29" t="s">
        <v>6056</v>
      </c>
      <c r="D989" s="29" t="s">
        <v>6057</v>
      </c>
      <c r="E989" s="92" t="s">
        <v>4111</v>
      </c>
      <c r="F989" s="89">
        <v>7276803</v>
      </c>
      <c r="G989" s="29" t="s">
        <v>6058</v>
      </c>
    </row>
    <row r="990" spans="1:7">
      <c r="A990" s="33">
        <v>42905</v>
      </c>
      <c r="B990" s="29" t="s">
        <v>6059</v>
      </c>
      <c r="C990" s="29" t="s">
        <v>6060</v>
      </c>
      <c r="D990" s="29" t="s">
        <v>6059</v>
      </c>
      <c r="E990" s="92" t="s">
        <v>4115</v>
      </c>
      <c r="F990" s="89">
        <v>7290088</v>
      </c>
      <c r="G990" s="29" t="s">
        <v>6061</v>
      </c>
    </row>
    <row r="991" spans="1:7">
      <c r="A991" s="33">
        <v>42906</v>
      </c>
      <c r="B991" s="29" t="s">
        <v>6062</v>
      </c>
      <c r="C991" s="29" t="s">
        <v>4778</v>
      </c>
      <c r="D991" s="29" t="s">
        <v>6063</v>
      </c>
      <c r="E991" s="92" t="s">
        <v>1013</v>
      </c>
      <c r="F991" s="89">
        <v>7292995</v>
      </c>
      <c r="G991" s="29" t="s">
        <v>6064</v>
      </c>
    </row>
    <row r="992" spans="1:7">
      <c r="A992" s="33">
        <v>42907</v>
      </c>
      <c r="B992" s="29" t="s">
        <v>6065</v>
      </c>
      <c r="C992" s="29" t="s">
        <v>6066</v>
      </c>
      <c r="D992" s="29" t="s">
        <v>6067</v>
      </c>
      <c r="E992" s="92" t="s">
        <v>4119</v>
      </c>
      <c r="F992" s="89">
        <v>7296578</v>
      </c>
      <c r="G992" s="29" t="s">
        <v>6068</v>
      </c>
    </row>
    <row r="993" spans="1:7">
      <c r="A993" s="33">
        <v>42908</v>
      </c>
      <c r="B993" s="29" t="s">
        <v>6069</v>
      </c>
      <c r="C993" s="29" t="s">
        <v>6070</v>
      </c>
      <c r="D993" s="29" t="s">
        <v>6071</v>
      </c>
      <c r="E993" s="92" t="s">
        <v>6072</v>
      </c>
      <c r="F993" s="89">
        <v>7302089</v>
      </c>
      <c r="G993" s="29" t="s">
        <v>6073</v>
      </c>
    </row>
    <row r="994" spans="1:7">
      <c r="A994" s="33">
        <v>42909</v>
      </c>
      <c r="B994" s="29" t="s">
        <v>6074</v>
      </c>
      <c r="C994" s="29" t="s">
        <v>6075</v>
      </c>
      <c r="D994" s="29" t="s">
        <v>6076</v>
      </c>
      <c r="E994" s="92" t="s">
        <v>4104</v>
      </c>
      <c r="F994" s="89">
        <v>7320146</v>
      </c>
      <c r="G994" s="29" t="s">
        <v>5945</v>
      </c>
    </row>
    <row r="995" spans="1:7">
      <c r="A995" s="33">
        <v>42910</v>
      </c>
      <c r="B995" s="29" t="s">
        <v>6077</v>
      </c>
      <c r="C995" s="29" t="s">
        <v>6078</v>
      </c>
      <c r="D995" s="29" t="s">
        <v>6079</v>
      </c>
      <c r="E995" s="92" t="s">
        <v>6080</v>
      </c>
      <c r="F995" s="89">
        <v>7321988</v>
      </c>
      <c r="G995" s="29" t="s">
        <v>6081</v>
      </c>
    </row>
    <row r="996" spans="1:7">
      <c r="A996" s="33">
        <v>42911</v>
      </c>
      <c r="B996" s="29" t="s">
        <v>6082</v>
      </c>
      <c r="C996" s="29" t="s">
        <v>6083</v>
      </c>
      <c r="D996" s="29" t="s">
        <v>6084</v>
      </c>
      <c r="E996" s="92" t="s">
        <v>6085</v>
      </c>
      <c r="F996" s="89">
        <v>7322532</v>
      </c>
      <c r="G996" s="29" t="s">
        <v>5941</v>
      </c>
    </row>
    <row r="997" spans="1:7">
      <c r="A997" s="33">
        <v>42912</v>
      </c>
      <c r="B997" s="29" t="s">
        <v>6086</v>
      </c>
      <c r="C997" s="29" t="s">
        <v>6087</v>
      </c>
      <c r="D997" s="29" t="s">
        <v>6088</v>
      </c>
      <c r="E997" s="92" t="s">
        <v>866</v>
      </c>
      <c r="F997" s="89">
        <v>7334099</v>
      </c>
      <c r="G997" s="29" t="s">
        <v>6089</v>
      </c>
    </row>
    <row r="998" spans="1:7">
      <c r="A998" s="33">
        <v>42913</v>
      </c>
      <c r="B998" s="29" t="s">
        <v>6090</v>
      </c>
      <c r="C998" s="29" t="s">
        <v>6091</v>
      </c>
      <c r="D998" s="29" t="s">
        <v>6092</v>
      </c>
      <c r="E998" s="92" t="s">
        <v>4107</v>
      </c>
      <c r="F998" s="89">
        <v>7343896</v>
      </c>
      <c r="G998" s="29" t="s">
        <v>6093</v>
      </c>
    </row>
    <row r="999" spans="1:7">
      <c r="A999" s="33">
        <v>42914</v>
      </c>
      <c r="B999" s="29" t="s">
        <v>6094</v>
      </c>
      <c r="C999" s="29" t="s">
        <v>6095</v>
      </c>
      <c r="D999" s="29" t="s">
        <v>6096</v>
      </c>
      <c r="E999" s="92" t="s">
        <v>6097</v>
      </c>
      <c r="F999" s="89">
        <v>7344884</v>
      </c>
      <c r="G999" s="29" t="s">
        <v>6058</v>
      </c>
    </row>
    <row r="1000" spans="1:7">
      <c r="A1000" s="33">
        <v>42915</v>
      </c>
      <c r="B1000" s="29" t="s">
        <v>6098</v>
      </c>
      <c r="C1000" s="29" t="s">
        <v>6099</v>
      </c>
      <c r="D1000" s="29" t="s">
        <v>6100</v>
      </c>
      <c r="E1000" s="92" t="s">
        <v>1024</v>
      </c>
      <c r="F1000" s="89">
        <v>7397797</v>
      </c>
      <c r="G1000" s="29" t="s">
        <v>6101</v>
      </c>
    </row>
    <row r="1001" spans="1:7">
      <c r="A1001" s="33">
        <v>42916</v>
      </c>
      <c r="B1001" s="29" t="s">
        <v>6102</v>
      </c>
      <c r="C1001" s="29" t="s">
        <v>6103</v>
      </c>
      <c r="D1001" s="29" t="s">
        <v>6104</v>
      </c>
      <c r="E1001" s="92" t="s">
        <v>4096</v>
      </c>
      <c r="F1001" s="89">
        <v>7400899</v>
      </c>
      <c r="G1001" s="29" t="s">
        <v>6105</v>
      </c>
    </row>
    <row r="1002" spans="1:7">
      <c r="A1002" s="33">
        <v>42917</v>
      </c>
      <c r="B1002" s="29" t="s">
        <v>6106</v>
      </c>
      <c r="C1002" s="29" t="s">
        <v>6107</v>
      </c>
      <c r="D1002" s="29" t="s">
        <v>6108</v>
      </c>
      <c r="E1002" s="92" t="s">
        <v>989</v>
      </c>
      <c r="F1002" s="89">
        <v>7410657</v>
      </c>
      <c r="G1002" s="29" t="s">
        <v>6109</v>
      </c>
    </row>
    <row r="1003" spans="1:7">
      <c r="A1003" s="33">
        <v>42918</v>
      </c>
      <c r="B1003" s="29" t="s">
        <v>6110</v>
      </c>
      <c r="C1003" s="29" t="s">
        <v>6111</v>
      </c>
      <c r="D1003" s="29" t="s">
        <v>6112</v>
      </c>
      <c r="E1003" s="92" t="s">
        <v>1001</v>
      </c>
      <c r="F1003" s="89">
        <v>7411317</v>
      </c>
      <c r="G1003" s="29" t="s">
        <v>6113</v>
      </c>
    </row>
    <row r="1004" spans="1:7">
      <c r="A1004" s="33">
        <v>42919</v>
      </c>
      <c r="B1004" s="29" t="s">
        <v>6114</v>
      </c>
      <c r="C1004" s="29">
        <v>2595</v>
      </c>
      <c r="D1004" s="29" t="s">
        <v>6115</v>
      </c>
      <c r="E1004" s="92" t="s">
        <v>890</v>
      </c>
      <c r="F1004" s="89">
        <v>7422653</v>
      </c>
      <c r="G1004" s="29" t="s">
        <v>6116</v>
      </c>
    </row>
    <row r="1005" spans="1:7">
      <c r="A1005" s="33">
        <v>42920</v>
      </c>
      <c r="B1005" s="29">
        <v>2561</v>
      </c>
      <c r="C1005" s="29" t="s">
        <v>6117</v>
      </c>
      <c r="D1005" s="29" t="s">
        <v>6118</v>
      </c>
      <c r="E1005" s="92" t="s">
        <v>4088</v>
      </c>
      <c r="F1005" s="89">
        <v>7424292</v>
      </c>
      <c r="G1005" s="29" t="s">
        <v>6119</v>
      </c>
    </row>
    <row r="1006" spans="1:7">
      <c r="A1006" s="33">
        <v>42921</v>
      </c>
      <c r="B1006" s="29" t="s">
        <v>6120</v>
      </c>
      <c r="C1006" s="29" t="s">
        <v>6121</v>
      </c>
      <c r="D1006" s="29" t="s">
        <v>6122</v>
      </c>
      <c r="E1006" s="92" t="s">
        <v>4076</v>
      </c>
      <c r="F1006" s="89">
        <v>7429725</v>
      </c>
      <c r="G1006" s="29" t="s">
        <v>6123</v>
      </c>
    </row>
    <row r="1007" spans="1:7">
      <c r="A1007" s="33">
        <v>42922</v>
      </c>
      <c r="B1007" s="29" t="s">
        <v>6124</v>
      </c>
      <c r="C1007" s="29" t="s">
        <v>6125</v>
      </c>
      <c r="D1007" s="29" t="s">
        <v>6126</v>
      </c>
      <c r="E1007" s="92" t="s">
        <v>4092</v>
      </c>
      <c r="F1007" s="89">
        <v>7448308</v>
      </c>
      <c r="G1007" s="29" t="s">
        <v>6127</v>
      </c>
    </row>
    <row r="1008" spans="1:7">
      <c r="A1008" s="33">
        <v>42923</v>
      </c>
      <c r="B1008" s="29" t="s">
        <v>6128</v>
      </c>
      <c r="C1008" s="29" t="s">
        <v>6129</v>
      </c>
      <c r="D1008" s="29" t="s">
        <v>6130</v>
      </c>
      <c r="E1008" s="92" t="s">
        <v>1005</v>
      </c>
      <c r="F1008" s="89">
        <v>7463106</v>
      </c>
      <c r="G1008" s="29" t="s">
        <v>6131</v>
      </c>
    </row>
    <row r="1009" spans="1:7">
      <c r="A1009" s="33">
        <v>42924</v>
      </c>
      <c r="B1009" s="29" t="s">
        <v>6132</v>
      </c>
      <c r="C1009" s="29" t="s">
        <v>6133</v>
      </c>
      <c r="D1009" s="29" t="s">
        <v>6134</v>
      </c>
      <c r="E1009" s="92" t="s">
        <v>460</v>
      </c>
      <c r="F1009" s="89">
        <v>7493489</v>
      </c>
      <c r="G1009" s="29" t="s">
        <v>6135</v>
      </c>
    </row>
    <row r="1010" spans="1:7">
      <c r="A1010" s="33">
        <v>42925</v>
      </c>
      <c r="B1010" s="29" t="s">
        <v>6136</v>
      </c>
      <c r="C1010" s="29" t="s">
        <v>6137</v>
      </c>
      <c r="D1010" s="29" t="s">
        <v>6138</v>
      </c>
      <c r="E1010" s="92" t="s">
        <v>1099</v>
      </c>
      <c r="F1010" s="89">
        <v>7511589</v>
      </c>
      <c r="G1010" s="29" t="s">
        <v>6139</v>
      </c>
    </row>
    <row r="1011" spans="1:7">
      <c r="A1011" s="33">
        <v>42926</v>
      </c>
      <c r="B1011" s="29" t="s">
        <v>6140</v>
      </c>
      <c r="C1011" s="29" t="s">
        <v>6141</v>
      </c>
      <c r="D1011" s="29" t="s">
        <v>6142</v>
      </c>
      <c r="E1011" s="92" t="s">
        <v>464</v>
      </c>
      <c r="F1011" s="89">
        <v>7514672</v>
      </c>
      <c r="G1011" s="29" t="s">
        <v>6143</v>
      </c>
    </row>
    <row r="1012" spans="1:7">
      <c r="A1012" s="33">
        <v>42927</v>
      </c>
      <c r="B1012" s="29" t="s">
        <v>6144</v>
      </c>
      <c r="C1012" s="29" t="s">
        <v>6145</v>
      </c>
      <c r="D1012" s="29" t="s">
        <v>6146</v>
      </c>
      <c r="E1012" s="92" t="s">
        <v>1052</v>
      </c>
      <c r="F1012" s="89">
        <v>7531664</v>
      </c>
      <c r="G1012" s="29" t="s">
        <v>6147</v>
      </c>
    </row>
    <row r="1013" spans="1:7">
      <c r="A1013" s="33">
        <v>42928</v>
      </c>
      <c r="B1013" s="29" t="s">
        <v>6148</v>
      </c>
      <c r="C1013" s="29" t="s">
        <v>6149</v>
      </c>
      <c r="D1013" s="29" t="s">
        <v>6150</v>
      </c>
      <c r="E1013" s="92" t="s">
        <v>1032</v>
      </c>
      <c r="F1013" s="89">
        <v>7546997</v>
      </c>
      <c r="G1013" s="29" t="s">
        <v>6151</v>
      </c>
    </row>
    <row r="1014" spans="1:7">
      <c r="A1014" s="33">
        <v>42929</v>
      </c>
      <c r="B1014" s="29" t="s">
        <v>6152</v>
      </c>
      <c r="C1014" s="29" t="s">
        <v>6153</v>
      </c>
      <c r="D1014" s="29" t="s">
        <v>6154</v>
      </c>
      <c r="E1014" s="92" t="s">
        <v>6155</v>
      </c>
      <c r="F1014" s="89">
        <v>7550901</v>
      </c>
      <c r="G1014" s="29" t="s">
        <v>6156</v>
      </c>
    </row>
    <row r="1015" spans="1:7">
      <c r="A1015" s="33">
        <v>42930</v>
      </c>
      <c r="B1015" s="29" t="s">
        <v>6157</v>
      </c>
      <c r="C1015" s="29" t="s">
        <v>6158</v>
      </c>
      <c r="D1015" s="29" t="s">
        <v>6159</v>
      </c>
      <c r="E1015" s="92" t="s">
        <v>4084</v>
      </c>
      <c r="F1015" s="89">
        <v>7556238</v>
      </c>
      <c r="G1015" s="29" t="s">
        <v>6160</v>
      </c>
    </row>
    <row r="1016" spans="1:7">
      <c r="A1016" s="33">
        <v>42931</v>
      </c>
      <c r="B1016" s="29" t="s">
        <v>6161</v>
      </c>
      <c r="C1016" s="29" t="s">
        <v>6162</v>
      </c>
      <c r="D1016" s="29" t="s">
        <v>6163</v>
      </c>
      <c r="E1016" s="92" t="s">
        <v>2125</v>
      </c>
      <c r="F1016" s="89">
        <v>7564345</v>
      </c>
      <c r="G1016" s="29" t="s">
        <v>6164</v>
      </c>
    </row>
    <row r="1017" spans="1:7">
      <c r="A1017" s="33">
        <v>42932</v>
      </c>
      <c r="B1017" s="29" t="s">
        <v>6165</v>
      </c>
      <c r="C1017" s="29" t="s">
        <v>6166</v>
      </c>
      <c r="D1017" s="29" t="s">
        <v>6167</v>
      </c>
      <c r="E1017" s="92" t="s">
        <v>367</v>
      </c>
      <c r="F1017" s="89">
        <v>7569936</v>
      </c>
      <c r="G1017" s="29" t="s">
        <v>6058</v>
      </c>
    </row>
    <row r="1018" spans="1:7">
      <c r="A1018" s="33">
        <v>42933</v>
      </c>
      <c r="B1018" s="29" t="s">
        <v>6168</v>
      </c>
      <c r="C1018" s="29" t="s">
        <v>6169</v>
      </c>
      <c r="D1018" s="29" t="s">
        <v>6168</v>
      </c>
      <c r="E1018" s="92" t="s">
        <v>394</v>
      </c>
      <c r="F1018" s="89">
        <v>7679867</v>
      </c>
      <c r="G1018" s="29" t="s">
        <v>6049</v>
      </c>
    </row>
    <row r="1019" spans="1:7">
      <c r="A1019" s="33">
        <v>42934</v>
      </c>
      <c r="B1019" s="29" t="s">
        <v>6170</v>
      </c>
      <c r="C1019" s="29" t="s">
        <v>6171</v>
      </c>
      <c r="D1019" s="29" t="s">
        <v>6172</v>
      </c>
      <c r="E1019" s="92" t="s">
        <v>4080</v>
      </c>
      <c r="F1019" s="89">
        <v>7680066</v>
      </c>
      <c r="G1019" s="29" t="s">
        <v>6000</v>
      </c>
    </row>
    <row r="1020" spans="1:7">
      <c r="A1020" s="33">
        <v>42935</v>
      </c>
      <c r="B1020" s="29" t="s">
        <v>6173</v>
      </c>
      <c r="C1020" s="29" t="s">
        <v>6174</v>
      </c>
      <c r="D1020" s="29" t="s">
        <v>6175</v>
      </c>
      <c r="E1020" s="92" t="s">
        <v>4072</v>
      </c>
      <c r="F1020" s="89">
        <v>7688077</v>
      </c>
      <c r="G1020" s="29" t="s">
        <v>6176</v>
      </c>
    </row>
    <row r="1021" spans="1:7">
      <c r="A1021" s="33">
        <v>42936</v>
      </c>
      <c r="B1021" s="29" t="s">
        <v>6177</v>
      </c>
      <c r="C1021" s="29" t="s">
        <v>6178</v>
      </c>
      <c r="D1021" s="29" t="s">
        <v>6177</v>
      </c>
      <c r="E1021" s="92" t="s">
        <v>1020</v>
      </c>
      <c r="F1021" s="89">
        <v>7707771</v>
      </c>
      <c r="G1021" s="29" t="s">
        <v>6179</v>
      </c>
    </row>
    <row r="1022" spans="1:7">
      <c r="A1022" s="33">
        <v>42937</v>
      </c>
      <c r="B1022" s="29" t="s">
        <v>6180</v>
      </c>
      <c r="C1022" s="29" t="s">
        <v>6180</v>
      </c>
      <c r="D1022" s="29" t="s">
        <v>6181</v>
      </c>
      <c r="E1022" s="92" t="s">
        <v>1036</v>
      </c>
      <c r="F1022" s="89">
        <v>7761244</v>
      </c>
      <c r="G1022" s="29" t="s">
        <v>6093</v>
      </c>
    </row>
    <row r="1023" spans="1:7">
      <c r="A1023" s="33">
        <v>42938</v>
      </c>
      <c r="B1023" s="29" t="s">
        <v>6182</v>
      </c>
      <c r="C1023" s="29" t="s">
        <v>4778</v>
      </c>
      <c r="D1023" s="29" t="s">
        <v>6183</v>
      </c>
      <c r="E1023" s="92" t="s">
        <v>6184</v>
      </c>
      <c r="F1023" s="89">
        <v>7769219</v>
      </c>
      <c r="G1023" s="29" t="s">
        <v>6058</v>
      </c>
    </row>
    <row r="1024" spans="1:7">
      <c r="A1024" s="33">
        <v>42939</v>
      </c>
      <c r="B1024" s="29" t="s">
        <v>6185</v>
      </c>
      <c r="C1024" s="29" t="s">
        <v>6186</v>
      </c>
      <c r="D1024" s="29" t="s">
        <v>6187</v>
      </c>
      <c r="E1024" s="92" t="s">
        <v>1044</v>
      </c>
      <c r="F1024" s="89">
        <v>7795601</v>
      </c>
      <c r="G1024" s="29" t="s">
        <v>6188</v>
      </c>
    </row>
    <row r="1025" spans="1:7">
      <c r="A1025" s="33">
        <v>42940</v>
      </c>
      <c r="B1025" s="29" t="s">
        <v>6189</v>
      </c>
      <c r="C1025" s="29" t="s">
        <v>6190</v>
      </c>
      <c r="D1025" s="29" t="s">
        <v>6191</v>
      </c>
      <c r="E1025" s="92" t="s">
        <v>6192</v>
      </c>
      <c r="F1025" s="89">
        <v>7807059</v>
      </c>
      <c r="G1025" s="29" t="s">
        <v>6193</v>
      </c>
    </row>
    <row r="1026" spans="1:7">
      <c r="A1026" s="33">
        <v>42941</v>
      </c>
      <c r="B1026" s="29" t="s">
        <v>6194</v>
      </c>
      <c r="C1026" s="29" t="s">
        <v>6195</v>
      </c>
      <c r="D1026" s="29" t="s">
        <v>6196</v>
      </c>
      <c r="E1026" s="92" t="s">
        <v>985</v>
      </c>
      <c r="F1026" s="89">
        <v>7814915</v>
      </c>
      <c r="G1026" s="29" t="s">
        <v>6197</v>
      </c>
    </row>
    <row r="1027" spans="1:7">
      <c r="A1027" s="33">
        <v>42942</v>
      </c>
      <c r="B1027" s="29" t="s">
        <v>6198</v>
      </c>
      <c r="C1027" s="29" t="s">
        <v>6199</v>
      </c>
      <c r="D1027" s="29" t="s">
        <v>6200</v>
      </c>
      <c r="E1027" s="92" t="s">
        <v>1094</v>
      </c>
      <c r="F1027" s="89">
        <v>7822023</v>
      </c>
      <c r="G1027" s="29" t="s">
        <v>6201</v>
      </c>
    </row>
    <row r="1028" spans="1:7">
      <c r="A1028" s="33">
        <v>42943</v>
      </c>
      <c r="B1028" s="29" t="s">
        <v>6202</v>
      </c>
      <c r="C1028" s="29" t="s">
        <v>6203</v>
      </c>
      <c r="D1028" s="29" t="s">
        <v>6204</v>
      </c>
      <c r="E1028" s="92" t="s">
        <v>1016</v>
      </c>
      <c r="F1028" s="89">
        <v>7879071</v>
      </c>
      <c r="G1028" s="29" t="s">
        <v>6205</v>
      </c>
    </row>
    <row r="1029" spans="1:7">
      <c r="A1029" s="33">
        <v>42944</v>
      </c>
      <c r="B1029" s="29" t="s">
        <v>6206</v>
      </c>
      <c r="C1029" s="29" t="s">
        <v>6207</v>
      </c>
      <c r="D1029" s="29" t="s">
        <v>6206</v>
      </c>
      <c r="E1029" s="92" t="s">
        <v>925</v>
      </c>
      <c r="F1029" s="89">
        <v>7881847</v>
      </c>
      <c r="G1029" s="29" t="s">
        <v>5957</v>
      </c>
    </row>
    <row r="1030" spans="1:7">
      <c r="A1030" s="33">
        <v>42945</v>
      </c>
      <c r="B1030" s="29" t="s">
        <v>6208</v>
      </c>
      <c r="C1030" s="29" t="s">
        <v>6209</v>
      </c>
      <c r="D1030" s="29" t="s">
        <v>6210</v>
      </c>
      <c r="E1030" s="92" t="s">
        <v>6211</v>
      </c>
      <c r="F1030" s="89">
        <v>7884909</v>
      </c>
      <c r="G1030" s="29" t="s">
        <v>6113</v>
      </c>
    </row>
    <row r="1031" spans="1:7">
      <c r="A1031" s="33">
        <v>42946</v>
      </c>
      <c r="B1031" s="29" t="s">
        <v>6212</v>
      </c>
      <c r="C1031" s="29" t="s">
        <v>6213</v>
      </c>
      <c r="D1031" s="29" t="s">
        <v>6214</v>
      </c>
      <c r="E1031" s="92" t="s">
        <v>1048</v>
      </c>
      <c r="F1031" s="89">
        <v>7909729</v>
      </c>
      <c r="G1031" s="29" t="s">
        <v>6215</v>
      </c>
    </row>
    <row r="1032" spans="1:7">
      <c r="A1032" s="33">
        <v>42947</v>
      </c>
      <c r="B1032" s="29" t="s">
        <v>6216</v>
      </c>
      <c r="C1032" s="29" t="s">
        <v>6217</v>
      </c>
      <c r="D1032" s="29" t="s">
        <v>6218</v>
      </c>
      <c r="E1032" s="92" t="s">
        <v>929</v>
      </c>
      <c r="F1032" s="89">
        <v>7923645</v>
      </c>
      <c r="G1032" s="29" t="s">
        <v>6219</v>
      </c>
    </row>
    <row r="1033" spans="1:7">
      <c r="A1033" s="33">
        <v>42948</v>
      </c>
      <c r="B1033" s="29" t="s">
        <v>6220</v>
      </c>
      <c r="C1033" s="29" t="s">
        <v>6221</v>
      </c>
      <c r="D1033" s="29" t="s">
        <v>6222</v>
      </c>
      <c r="E1033" s="92" t="s">
        <v>456</v>
      </c>
      <c r="F1033" s="89">
        <v>7927714</v>
      </c>
      <c r="G1033" s="29" t="s">
        <v>5996</v>
      </c>
    </row>
    <row r="1034" spans="1:7">
      <c r="A1034" s="33">
        <v>42949</v>
      </c>
      <c r="B1034" s="29" t="s">
        <v>6223</v>
      </c>
      <c r="C1034" s="29" t="s">
        <v>6224</v>
      </c>
      <c r="D1034" s="29" t="s">
        <v>6225</v>
      </c>
      <c r="E1034" s="92" t="s">
        <v>6226</v>
      </c>
      <c r="F1034" s="89">
        <v>7954128</v>
      </c>
      <c r="G1034" s="29" t="s">
        <v>6227</v>
      </c>
    </row>
    <row r="1035" spans="1:7">
      <c r="A1035" s="33">
        <v>42950</v>
      </c>
      <c r="B1035" s="29" t="s">
        <v>6228</v>
      </c>
      <c r="C1035" s="29" t="s">
        <v>6229</v>
      </c>
      <c r="D1035" s="29" t="s">
        <v>6230</v>
      </c>
      <c r="E1035" s="92" t="s">
        <v>6231</v>
      </c>
      <c r="F1035" s="89">
        <v>7963328</v>
      </c>
      <c r="G1035" s="29" t="s">
        <v>6232</v>
      </c>
    </row>
    <row r="1036" spans="1:7">
      <c r="A1036" s="33">
        <v>42951</v>
      </c>
      <c r="B1036" s="29" t="s">
        <v>6233</v>
      </c>
      <c r="C1036" s="29" t="s">
        <v>6234</v>
      </c>
      <c r="D1036" s="29" t="s">
        <v>6235</v>
      </c>
      <c r="E1036" s="92" t="s">
        <v>1056</v>
      </c>
      <c r="F1036" s="89">
        <v>7973208</v>
      </c>
      <c r="G1036" s="35">
        <v>1000000000</v>
      </c>
    </row>
    <row r="1037" spans="1:7">
      <c r="A1037" s="33">
        <v>42952</v>
      </c>
      <c r="B1037" s="29" t="s">
        <v>6236</v>
      </c>
      <c r="C1037" s="29" t="s">
        <v>6237</v>
      </c>
      <c r="D1037" s="29" t="s">
        <v>6238</v>
      </c>
      <c r="E1037" s="92" t="s">
        <v>468</v>
      </c>
      <c r="F1037" s="89">
        <v>7978309</v>
      </c>
      <c r="G1037" s="29" t="s">
        <v>6239</v>
      </c>
    </row>
    <row r="1038" spans="1:7">
      <c r="A1038" s="33">
        <v>42953</v>
      </c>
      <c r="B1038" s="29" t="s">
        <v>6240</v>
      </c>
      <c r="C1038" s="29" t="s">
        <v>6241</v>
      </c>
      <c r="D1038" s="29" t="s">
        <v>6242</v>
      </c>
      <c r="E1038" s="92" t="s">
        <v>4068</v>
      </c>
      <c r="F1038" s="89">
        <v>7987372</v>
      </c>
      <c r="G1038" s="29" t="s">
        <v>6143</v>
      </c>
    </row>
    <row r="1039" spans="1:7">
      <c r="A1039" s="33">
        <v>42954</v>
      </c>
      <c r="B1039" s="29" t="s">
        <v>6243</v>
      </c>
      <c r="C1039" s="29" t="s">
        <v>6244</v>
      </c>
      <c r="D1039" s="29" t="s">
        <v>6245</v>
      </c>
      <c r="E1039" s="92" t="s">
        <v>433</v>
      </c>
      <c r="F1039" s="89">
        <v>7988156</v>
      </c>
      <c r="G1039" s="29" t="s">
        <v>6246</v>
      </c>
    </row>
    <row r="1040" spans="1:7">
      <c r="A1040" s="33">
        <v>42955</v>
      </c>
      <c r="B1040" s="29" t="s">
        <v>6247</v>
      </c>
      <c r="C1040" s="29" t="s">
        <v>6248</v>
      </c>
      <c r="D1040" s="29" t="s">
        <v>6249</v>
      </c>
      <c r="E1040" s="92" t="s">
        <v>1040</v>
      </c>
      <c r="F1040" s="89">
        <v>7988561</v>
      </c>
      <c r="G1040" s="29" t="s">
        <v>6030</v>
      </c>
    </row>
    <row r="1041" spans="1:7">
      <c r="A1041" s="33">
        <v>42956</v>
      </c>
      <c r="B1041" s="29" t="s">
        <v>6250</v>
      </c>
      <c r="C1041" s="29" t="s">
        <v>6251</v>
      </c>
      <c r="D1041" s="29" t="s">
        <v>6252</v>
      </c>
      <c r="E1041" s="92" t="s">
        <v>1064</v>
      </c>
      <c r="F1041" s="89">
        <v>7994416</v>
      </c>
      <c r="G1041" s="29" t="s">
        <v>6253</v>
      </c>
    </row>
    <row r="1042" spans="1:7">
      <c r="A1042" s="33">
        <v>42957</v>
      </c>
      <c r="B1042" s="29" t="s">
        <v>6254</v>
      </c>
      <c r="C1042" s="29" t="s">
        <v>6255</v>
      </c>
      <c r="D1042" s="29" t="s">
        <v>6256</v>
      </c>
      <c r="E1042" s="92" t="s">
        <v>359</v>
      </c>
      <c r="F1042" s="89">
        <v>8027268</v>
      </c>
      <c r="G1042" s="29" t="s">
        <v>6014</v>
      </c>
    </row>
    <row r="1043" spans="1:7">
      <c r="A1043" s="33">
        <v>42958</v>
      </c>
      <c r="B1043" s="29" t="s">
        <v>6257</v>
      </c>
      <c r="C1043" s="29" t="s">
        <v>6258</v>
      </c>
      <c r="D1043" s="29" t="s">
        <v>6259</v>
      </c>
      <c r="E1043" s="92" t="s">
        <v>1060</v>
      </c>
      <c r="F1043" s="89">
        <v>8037538</v>
      </c>
      <c r="G1043" s="29" t="s">
        <v>6026</v>
      </c>
    </row>
    <row r="1044" spans="1:7">
      <c r="A1044" s="33">
        <v>42959</v>
      </c>
      <c r="B1044" s="29" t="s">
        <v>6260</v>
      </c>
      <c r="C1044" s="29" t="s">
        <v>6261</v>
      </c>
      <c r="D1044" s="29" t="s">
        <v>6262</v>
      </c>
      <c r="E1044" s="92" t="s">
        <v>449</v>
      </c>
      <c r="F1044" s="89">
        <v>8043951</v>
      </c>
      <c r="G1044" s="29" t="s">
        <v>6263</v>
      </c>
    </row>
    <row r="1045" spans="1:7">
      <c r="A1045" s="33">
        <v>42960</v>
      </c>
      <c r="B1045" s="29" t="s">
        <v>6264</v>
      </c>
      <c r="C1045" s="29" t="s">
        <v>6265</v>
      </c>
      <c r="D1045" s="29" t="s">
        <v>6266</v>
      </c>
      <c r="E1045" s="92" t="s">
        <v>6267</v>
      </c>
      <c r="F1045" s="89">
        <v>8047527</v>
      </c>
      <c r="G1045" s="29" t="s">
        <v>6268</v>
      </c>
    </row>
    <row r="1046" spans="1:7">
      <c r="A1046" s="33">
        <v>42961</v>
      </c>
      <c r="B1046" s="29" t="s">
        <v>6269</v>
      </c>
      <c r="C1046" s="29" t="s">
        <v>5426</v>
      </c>
      <c r="D1046" s="29" t="s">
        <v>6270</v>
      </c>
      <c r="E1046" s="92" t="s">
        <v>981</v>
      </c>
      <c r="F1046" s="89">
        <v>8052544</v>
      </c>
      <c r="G1046" s="29" t="s">
        <v>6271</v>
      </c>
    </row>
    <row r="1047" spans="1:7">
      <c r="A1047" s="33">
        <v>42962</v>
      </c>
      <c r="B1047" s="29" t="s">
        <v>6272</v>
      </c>
      <c r="C1047" s="29" t="s">
        <v>6273</v>
      </c>
      <c r="D1047" s="29" t="s">
        <v>6274</v>
      </c>
      <c r="E1047" s="92" t="s">
        <v>445</v>
      </c>
      <c r="F1047" s="89">
        <v>8078203</v>
      </c>
      <c r="G1047" s="29" t="s">
        <v>6275</v>
      </c>
    </row>
    <row r="1048" spans="1:7">
      <c r="A1048" s="33">
        <v>42963</v>
      </c>
      <c r="B1048" s="29" t="s">
        <v>6276</v>
      </c>
      <c r="C1048" s="29" t="s">
        <v>6277</v>
      </c>
      <c r="D1048" s="29" t="s">
        <v>6278</v>
      </c>
      <c r="E1048" s="92" t="s">
        <v>1092</v>
      </c>
      <c r="F1048" s="89">
        <v>8079863</v>
      </c>
      <c r="G1048" s="29" t="s">
        <v>6279</v>
      </c>
    </row>
    <row r="1049" spans="1:7">
      <c r="A1049" s="33">
        <v>42964</v>
      </c>
      <c r="B1049" s="29" t="s">
        <v>6280</v>
      </c>
      <c r="C1049" s="29" t="s">
        <v>6281</v>
      </c>
      <c r="D1049" s="29" t="s">
        <v>6282</v>
      </c>
      <c r="E1049" s="92" t="s">
        <v>441</v>
      </c>
      <c r="F1049" s="89">
        <v>8103911</v>
      </c>
      <c r="G1049" s="29" t="s">
        <v>6283</v>
      </c>
    </row>
    <row r="1050" spans="1:7">
      <c r="A1050" s="33">
        <v>42965</v>
      </c>
      <c r="B1050" s="29" t="s">
        <v>6284</v>
      </c>
      <c r="C1050" s="29" t="s">
        <v>6285</v>
      </c>
      <c r="D1050" s="29" t="s">
        <v>6286</v>
      </c>
      <c r="E1050" s="92" t="s">
        <v>997</v>
      </c>
      <c r="F1050" s="89">
        <v>8104186</v>
      </c>
      <c r="G1050" s="29" t="s">
        <v>6287</v>
      </c>
    </row>
    <row r="1051" spans="1:7">
      <c r="A1051" s="33">
        <v>42966</v>
      </c>
      <c r="B1051" s="29" t="s">
        <v>6288</v>
      </c>
      <c r="C1051" s="29" t="s">
        <v>6289</v>
      </c>
      <c r="D1051" s="29" t="s">
        <v>6290</v>
      </c>
      <c r="E1051" s="92" t="s">
        <v>6291</v>
      </c>
      <c r="F1051" s="89">
        <v>8118968</v>
      </c>
      <c r="G1051" s="29" t="s">
        <v>6292</v>
      </c>
    </row>
    <row r="1052" spans="1:7">
      <c r="A1052" s="33">
        <v>42967</v>
      </c>
      <c r="B1052" s="29" t="s">
        <v>6293</v>
      </c>
      <c r="C1052" s="29" t="s">
        <v>6294</v>
      </c>
      <c r="D1052" s="29" t="s">
        <v>6295</v>
      </c>
      <c r="E1052" s="92" t="s">
        <v>6296</v>
      </c>
      <c r="F1052" s="89">
        <v>8144194</v>
      </c>
      <c r="G1052" s="29" t="s">
        <v>6297</v>
      </c>
    </row>
    <row r="1053" spans="1:7">
      <c r="A1053" s="33">
        <v>42968</v>
      </c>
      <c r="B1053" s="29" t="s">
        <v>6298</v>
      </c>
      <c r="C1053" s="29" t="s">
        <v>6299</v>
      </c>
      <c r="D1053" s="29" t="s">
        <v>6300</v>
      </c>
      <c r="E1053" s="92" t="s">
        <v>1088</v>
      </c>
      <c r="F1053" s="89">
        <v>8145857</v>
      </c>
      <c r="G1053" s="29" t="s">
        <v>6301</v>
      </c>
    </row>
    <row r="1054" spans="1:7">
      <c r="A1054" s="33">
        <v>42969</v>
      </c>
      <c r="B1054" s="29" t="s">
        <v>6302</v>
      </c>
      <c r="C1054" s="29" t="s">
        <v>6303</v>
      </c>
      <c r="D1054" s="29" t="s">
        <v>6304</v>
      </c>
      <c r="E1054" s="92" t="s">
        <v>437</v>
      </c>
      <c r="F1054" s="89">
        <v>8166554</v>
      </c>
      <c r="G1054" s="29" t="s">
        <v>6305</v>
      </c>
    </row>
    <row r="1055" spans="1:7">
      <c r="A1055" s="33">
        <v>42970</v>
      </c>
      <c r="B1055" s="29" t="s">
        <v>6306</v>
      </c>
      <c r="C1055" s="29" t="s">
        <v>6307</v>
      </c>
      <c r="D1055" s="29" t="s">
        <v>6308</v>
      </c>
      <c r="E1055" s="92" t="s">
        <v>363</v>
      </c>
      <c r="F1055" s="89">
        <v>8192494</v>
      </c>
      <c r="G1055" s="29" t="s">
        <v>6309</v>
      </c>
    </row>
    <row r="1056" spans="1:7">
      <c r="A1056" s="33">
        <v>42971</v>
      </c>
      <c r="B1056" s="29" t="s">
        <v>6310</v>
      </c>
      <c r="C1056" s="29" t="s">
        <v>6311</v>
      </c>
      <c r="D1056" s="29" t="s">
        <v>6312</v>
      </c>
      <c r="E1056" s="92" t="s">
        <v>1076</v>
      </c>
      <c r="F1056" s="89">
        <v>8197689</v>
      </c>
      <c r="G1056" s="29" t="s">
        <v>6313</v>
      </c>
    </row>
    <row r="1057" spans="1:7">
      <c r="A1057" s="33">
        <v>42972</v>
      </c>
      <c r="B1057" s="29" t="s">
        <v>6314</v>
      </c>
      <c r="C1057" s="29" t="s">
        <v>6315</v>
      </c>
      <c r="D1057" s="29" t="s">
        <v>6316</v>
      </c>
      <c r="E1057" s="92" t="s">
        <v>2206</v>
      </c>
      <c r="F1057" s="89">
        <v>8205168</v>
      </c>
      <c r="G1057" s="29" t="s">
        <v>5961</v>
      </c>
    </row>
    <row r="1058" spans="1:7">
      <c r="A1058" s="33">
        <v>42973</v>
      </c>
      <c r="B1058" s="29" t="s">
        <v>6317</v>
      </c>
      <c r="C1058" s="29" t="s">
        <v>6318</v>
      </c>
      <c r="D1058" s="29" t="s">
        <v>6319</v>
      </c>
      <c r="E1058" s="92" t="s">
        <v>1068</v>
      </c>
      <c r="F1058" s="89">
        <v>8205369</v>
      </c>
      <c r="G1058" s="29" t="s">
        <v>6000</v>
      </c>
    </row>
    <row r="1059" spans="1:7">
      <c r="A1059" s="33">
        <v>42974</v>
      </c>
      <c r="B1059" s="29" t="s">
        <v>6320</v>
      </c>
      <c r="C1059" s="29" t="s">
        <v>6321</v>
      </c>
      <c r="D1059" s="29" t="s">
        <v>6322</v>
      </c>
      <c r="E1059" s="92" t="s">
        <v>2202</v>
      </c>
      <c r="F1059" s="89">
        <v>8205939</v>
      </c>
      <c r="G1059" s="29" t="s">
        <v>5989</v>
      </c>
    </row>
    <row r="1060" spans="1:7">
      <c r="A1060" s="33">
        <v>42975</v>
      </c>
      <c r="B1060" s="29" t="s">
        <v>6323</v>
      </c>
      <c r="C1060" s="29" t="s">
        <v>6324</v>
      </c>
      <c r="D1060" s="29" t="s">
        <v>6325</v>
      </c>
      <c r="E1060" s="92" t="s">
        <v>977</v>
      </c>
      <c r="F1060" s="89">
        <v>8206146</v>
      </c>
      <c r="G1060" s="29" t="s">
        <v>6326</v>
      </c>
    </row>
    <row r="1061" spans="1:7">
      <c r="A1061" s="33">
        <v>42976</v>
      </c>
      <c r="B1061" s="29" t="s">
        <v>6327</v>
      </c>
      <c r="C1061" s="29" t="s">
        <v>6328</v>
      </c>
      <c r="D1061" s="29" t="s">
        <v>6329</v>
      </c>
      <c r="E1061" s="92" t="s">
        <v>993</v>
      </c>
      <c r="F1061" s="89">
        <v>8208995</v>
      </c>
      <c r="G1061" s="29" t="s">
        <v>4778</v>
      </c>
    </row>
    <row r="1062" spans="1:7">
      <c r="A1062" s="33">
        <v>42977</v>
      </c>
      <c r="B1062" s="29" t="s">
        <v>6330</v>
      </c>
      <c r="C1062" s="29" t="s">
        <v>6331</v>
      </c>
      <c r="D1062" s="29" t="s">
        <v>6332</v>
      </c>
      <c r="E1062" s="92" t="s">
        <v>6333</v>
      </c>
      <c r="F1062" s="89">
        <v>8222078</v>
      </c>
      <c r="G1062" s="29" t="s">
        <v>4778</v>
      </c>
    </row>
    <row r="1063" spans="1:7">
      <c r="A1063" s="33">
        <v>42978</v>
      </c>
      <c r="B1063" s="29" t="s">
        <v>6334</v>
      </c>
      <c r="C1063" s="29" t="s">
        <v>6335</v>
      </c>
      <c r="D1063" s="29" t="s">
        <v>6336</v>
      </c>
      <c r="E1063" s="92" t="s">
        <v>3691</v>
      </c>
      <c r="F1063" s="89">
        <v>8228783</v>
      </c>
      <c r="G1063" s="29" t="s">
        <v>5953</v>
      </c>
    </row>
    <row r="1064" spans="1:7">
      <c r="A1064" s="33">
        <v>42979</v>
      </c>
      <c r="B1064" s="29" t="s">
        <v>6337</v>
      </c>
      <c r="C1064" s="29" t="s">
        <v>5320</v>
      </c>
      <c r="D1064" s="29" t="s">
        <v>6338</v>
      </c>
      <c r="E1064" s="92" t="s">
        <v>1072</v>
      </c>
      <c r="F1064" s="89">
        <v>8230924</v>
      </c>
      <c r="G1064" s="29" t="s">
        <v>6339</v>
      </c>
    </row>
    <row r="1065" spans="1:7">
      <c r="A1065" s="33">
        <v>42980</v>
      </c>
      <c r="B1065" s="29" t="s">
        <v>6340</v>
      </c>
      <c r="C1065" s="29" t="s">
        <v>6341</v>
      </c>
      <c r="D1065" s="29" t="s">
        <v>6342</v>
      </c>
      <c r="E1065" s="92" t="s">
        <v>2226</v>
      </c>
      <c r="F1065" s="89">
        <v>8243721</v>
      </c>
      <c r="G1065" s="29" t="s">
        <v>6343</v>
      </c>
    </row>
    <row r="1066" spans="1:7">
      <c r="A1066" s="33">
        <v>42981</v>
      </c>
      <c r="B1066" s="29" t="s">
        <v>6344</v>
      </c>
      <c r="C1066" s="29" t="s">
        <v>6345</v>
      </c>
      <c r="D1066" s="29" t="s">
        <v>6346</v>
      </c>
      <c r="E1066" s="92" t="s">
        <v>2148</v>
      </c>
      <c r="F1066" s="89">
        <v>8245623</v>
      </c>
      <c r="G1066" s="29" t="s">
        <v>6347</v>
      </c>
    </row>
    <row r="1067" spans="1:7">
      <c r="A1067" s="33">
        <v>42982</v>
      </c>
      <c r="B1067" s="29" t="s">
        <v>6348</v>
      </c>
      <c r="C1067" s="29" t="s">
        <v>6348</v>
      </c>
      <c r="D1067" s="29" t="s">
        <v>6349</v>
      </c>
      <c r="E1067" s="92" t="s">
        <v>6350</v>
      </c>
      <c r="F1067" s="89">
        <v>8245915</v>
      </c>
      <c r="G1067" s="29" t="s">
        <v>6351</v>
      </c>
    </row>
    <row r="1068" spans="1:7">
      <c r="A1068" s="33">
        <v>42983</v>
      </c>
      <c r="B1068" s="29" t="s">
        <v>6352</v>
      </c>
      <c r="C1068" s="29" t="s">
        <v>6353</v>
      </c>
      <c r="D1068" s="29" t="s">
        <v>6354</v>
      </c>
      <c r="E1068" s="92" t="s">
        <v>3651</v>
      </c>
      <c r="F1068" s="89">
        <v>8251846</v>
      </c>
      <c r="G1068" s="29" t="s">
        <v>6355</v>
      </c>
    </row>
    <row r="1069" spans="1:7">
      <c r="A1069" s="33">
        <v>42984</v>
      </c>
      <c r="B1069" s="29" t="s">
        <v>6356</v>
      </c>
      <c r="C1069" s="29" t="s">
        <v>6357</v>
      </c>
      <c r="D1069" s="29" t="s">
        <v>6356</v>
      </c>
      <c r="E1069" s="92" t="s">
        <v>2230</v>
      </c>
      <c r="F1069" s="89">
        <v>8259992</v>
      </c>
      <c r="G1069" s="29" t="s">
        <v>6358</v>
      </c>
    </row>
    <row r="1070" spans="1:7">
      <c r="A1070" s="33">
        <v>42985</v>
      </c>
      <c r="B1070" s="29" t="s">
        <v>6359</v>
      </c>
      <c r="C1070" s="29" t="s">
        <v>4778</v>
      </c>
      <c r="D1070" s="29" t="s">
        <v>6360</v>
      </c>
      <c r="E1070" s="92" t="s">
        <v>2132</v>
      </c>
      <c r="F1070" s="89">
        <v>8293868</v>
      </c>
      <c r="G1070" s="29" t="s">
        <v>6361</v>
      </c>
    </row>
    <row r="1071" spans="1:7">
      <c r="A1071" s="33">
        <v>42986</v>
      </c>
      <c r="B1071" s="29" t="s">
        <v>6362</v>
      </c>
      <c r="C1071" s="29">
        <v>4661</v>
      </c>
      <c r="D1071" s="29" t="s">
        <v>6363</v>
      </c>
      <c r="E1071" s="92" t="s">
        <v>429</v>
      </c>
      <c r="F1071" s="89">
        <v>8309286</v>
      </c>
      <c r="G1071" s="29" t="s">
        <v>6355</v>
      </c>
    </row>
    <row r="1072" spans="1:7">
      <c r="A1072" s="33">
        <v>42987</v>
      </c>
      <c r="B1072" s="29" t="s">
        <v>6364</v>
      </c>
      <c r="C1072" s="29" t="s">
        <v>6365</v>
      </c>
      <c r="D1072" s="29" t="s">
        <v>6366</v>
      </c>
      <c r="E1072" s="92" t="s">
        <v>1080</v>
      </c>
      <c r="F1072" s="89">
        <v>8319473</v>
      </c>
      <c r="G1072" s="29" t="s">
        <v>6367</v>
      </c>
    </row>
    <row r="1073" spans="1:7">
      <c r="A1073" s="33">
        <v>42988</v>
      </c>
      <c r="B1073" s="29" t="s">
        <v>6368</v>
      </c>
      <c r="C1073" s="29" t="s">
        <v>6369</v>
      </c>
      <c r="D1073" s="29" t="s">
        <v>6370</v>
      </c>
      <c r="E1073" s="92" t="s">
        <v>3655</v>
      </c>
      <c r="F1073" s="89">
        <v>8321006</v>
      </c>
      <c r="G1073" s="29" t="s">
        <v>6371</v>
      </c>
    </row>
    <row r="1074" spans="1:7">
      <c r="A1074" s="33">
        <v>42989</v>
      </c>
      <c r="B1074" s="29" t="s">
        <v>6372</v>
      </c>
      <c r="C1074" s="29" t="s">
        <v>6373</v>
      </c>
      <c r="D1074" s="29" t="s">
        <v>6374</v>
      </c>
      <c r="E1074" s="92" t="s">
        <v>3631</v>
      </c>
      <c r="F1074" s="89">
        <v>8321757</v>
      </c>
      <c r="G1074" s="29" t="s">
        <v>6375</v>
      </c>
    </row>
    <row r="1075" spans="1:7">
      <c r="A1075" s="33">
        <v>42990</v>
      </c>
      <c r="B1075" s="29" t="s">
        <v>6376</v>
      </c>
      <c r="C1075" s="29" t="s">
        <v>6377</v>
      </c>
      <c r="D1075" s="29" t="s">
        <v>6378</v>
      </c>
      <c r="E1075" s="92" t="s">
        <v>3683</v>
      </c>
      <c r="F1075" s="89">
        <v>8336556</v>
      </c>
      <c r="G1075" s="29" t="s">
        <v>6379</v>
      </c>
    </row>
    <row r="1076" spans="1:7">
      <c r="A1076" s="33">
        <v>42991</v>
      </c>
      <c r="B1076" s="29" t="s">
        <v>6380</v>
      </c>
      <c r="C1076" s="29" t="s">
        <v>6380</v>
      </c>
      <c r="D1076" s="29" t="s">
        <v>6381</v>
      </c>
      <c r="E1076" s="92" t="s">
        <v>6382</v>
      </c>
      <c r="F1076" s="89">
        <v>8343276</v>
      </c>
      <c r="G1076" s="29" t="s">
        <v>6263</v>
      </c>
    </row>
    <row r="1077" spans="1:7">
      <c r="A1077" s="33">
        <v>42992</v>
      </c>
      <c r="B1077" s="29" t="s">
        <v>6383</v>
      </c>
      <c r="C1077" s="29" t="s">
        <v>6384</v>
      </c>
      <c r="D1077" s="29" t="s">
        <v>6385</v>
      </c>
      <c r="E1077" s="92" t="s">
        <v>3647</v>
      </c>
      <c r="F1077" s="89">
        <v>8367848</v>
      </c>
      <c r="G1077" s="29" t="s">
        <v>6343</v>
      </c>
    </row>
    <row r="1078" spans="1:7">
      <c r="A1078" s="33">
        <v>42993</v>
      </c>
      <c r="B1078" s="29" t="s">
        <v>6386</v>
      </c>
      <c r="C1078" s="29" t="s">
        <v>6387</v>
      </c>
      <c r="D1078" s="29" t="s">
        <v>6388</v>
      </c>
      <c r="E1078" s="92" t="s">
        <v>3619</v>
      </c>
      <c r="F1078" s="89">
        <v>8374687</v>
      </c>
      <c r="G1078" s="29" t="s">
        <v>6389</v>
      </c>
    </row>
    <row r="1079" spans="1:7">
      <c r="A1079" s="33">
        <v>42994</v>
      </c>
      <c r="B1079" s="29" t="s">
        <v>6390</v>
      </c>
      <c r="C1079" s="29" t="s">
        <v>6391</v>
      </c>
      <c r="D1079" s="29" t="s">
        <v>6392</v>
      </c>
      <c r="E1079" s="92" t="s">
        <v>3659</v>
      </c>
      <c r="F1079" s="89">
        <v>8393042</v>
      </c>
      <c r="G1079" s="29" t="s">
        <v>6393</v>
      </c>
    </row>
    <row r="1080" spans="1:7">
      <c r="A1080" s="33">
        <v>42995</v>
      </c>
      <c r="B1080" s="29" t="s">
        <v>6394</v>
      </c>
      <c r="C1080" s="29" t="s">
        <v>6395</v>
      </c>
      <c r="D1080" s="29" t="s">
        <v>6396</v>
      </c>
      <c r="E1080" s="92" t="s">
        <v>3364</v>
      </c>
      <c r="F1080" s="89">
        <v>8406516</v>
      </c>
      <c r="G1080" s="29" t="s">
        <v>6397</v>
      </c>
    </row>
    <row r="1081" spans="1:7">
      <c r="A1081" s="33">
        <v>42996</v>
      </c>
      <c r="B1081" s="29" t="s">
        <v>6398</v>
      </c>
      <c r="C1081" s="29" t="s">
        <v>6399</v>
      </c>
      <c r="D1081" s="29" t="s">
        <v>6398</v>
      </c>
      <c r="E1081" s="92" t="s">
        <v>3623</v>
      </c>
      <c r="F1081" s="89">
        <v>8445435</v>
      </c>
      <c r="G1081" s="29" t="s">
        <v>5953</v>
      </c>
    </row>
    <row r="1082" spans="1:7">
      <c r="A1082" s="33">
        <v>42997</v>
      </c>
      <c r="B1082" s="29" t="s">
        <v>6400</v>
      </c>
      <c r="C1082" s="29" t="s">
        <v>6401</v>
      </c>
      <c r="D1082" s="29" t="s">
        <v>6402</v>
      </c>
      <c r="E1082" s="92" t="s">
        <v>3643</v>
      </c>
      <c r="F1082" s="89">
        <v>8486993</v>
      </c>
      <c r="G1082" s="29" t="s">
        <v>6375</v>
      </c>
    </row>
    <row r="1083" spans="1:7">
      <c r="A1083" s="33">
        <v>42998</v>
      </c>
      <c r="B1083" s="29" t="s">
        <v>6403</v>
      </c>
      <c r="C1083" s="29" t="s">
        <v>4778</v>
      </c>
      <c r="D1083" s="29" t="s">
        <v>6404</v>
      </c>
      <c r="E1083" s="92" t="s">
        <v>2214</v>
      </c>
      <c r="F1083" s="89">
        <v>8491992</v>
      </c>
      <c r="G1083" s="29" t="s">
        <v>6405</v>
      </c>
    </row>
    <row r="1084" spans="1:7">
      <c r="A1084" s="33">
        <v>42999</v>
      </c>
      <c r="B1084" s="29" t="s">
        <v>6406</v>
      </c>
      <c r="C1084" s="29" t="s">
        <v>6407</v>
      </c>
      <c r="D1084" s="29" t="s">
        <v>6408</v>
      </c>
      <c r="E1084" s="92" t="s">
        <v>3639</v>
      </c>
      <c r="F1084" s="89">
        <v>8550761</v>
      </c>
      <c r="G1084" s="29" t="s">
        <v>6409</v>
      </c>
    </row>
    <row r="1085" spans="1:7">
      <c r="A1085" s="33">
        <v>43000</v>
      </c>
      <c r="B1085" s="29" t="s">
        <v>6410</v>
      </c>
      <c r="C1085" s="29" t="s">
        <v>6411</v>
      </c>
      <c r="D1085" s="29" t="s">
        <v>6412</v>
      </c>
      <c r="E1085" s="92" t="s">
        <v>452</v>
      </c>
      <c r="F1085" s="89">
        <v>8562454</v>
      </c>
      <c r="G1085" s="29" t="s">
        <v>6413</v>
      </c>
    </row>
    <row r="1086" spans="1:7">
      <c r="A1086" s="33">
        <v>43001</v>
      </c>
      <c r="B1086" s="29" t="s">
        <v>6414</v>
      </c>
      <c r="C1086" s="29" t="s">
        <v>6415</v>
      </c>
      <c r="D1086" s="29" t="s">
        <v>6416</v>
      </c>
      <c r="E1086" s="92" t="s">
        <v>3679</v>
      </c>
      <c r="F1086" s="89">
        <v>8574502</v>
      </c>
      <c r="G1086" s="29" t="s">
        <v>6417</v>
      </c>
    </row>
    <row r="1087" spans="1:7">
      <c r="A1087" s="33">
        <v>43002</v>
      </c>
      <c r="B1087" s="29" t="s">
        <v>6418</v>
      </c>
      <c r="C1087" s="29" t="s">
        <v>4778</v>
      </c>
      <c r="D1087" s="29" t="s">
        <v>6419</v>
      </c>
      <c r="E1087" s="92" t="s">
        <v>3360</v>
      </c>
      <c r="F1087" s="89">
        <v>8577976</v>
      </c>
      <c r="G1087" s="29" t="s">
        <v>6420</v>
      </c>
    </row>
    <row r="1088" spans="1:7">
      <c r="A1088" s="33">
        <v>43003</v>
      </c>
      <c r="B1088" s="29" t="s">
        <v>6421</v>
      </c>
      <c r="C1088" s="29" t="s">
        <v>6422</v>
      </c>
      <c r="D1088" s="29" t="s">
        <v>6421</v>
      </c>
      <c r="E1088" s="92" t="s">
        <v>3380</v>
      </c>
      <c r="F1088" s="89">
        <v>8586474</v>
      </c>
      <c r="G1088" s="29" t="s">
        <v>4778</v>
      </c>
    </row>
    <row r="1089" spans="1:7">
      <c r="A1089" s="33">
        <v>43004</v>
      </c>
      <c r="B1089" s="29" t="s">
        <v>6423</v>
      </c>
      <c r="C1089" s="29" t="s">
        <v>6424</v>
      </c>
      <c r="D1089" s="29" t="s">
        <v>6425</v>
      </c>
      <c r="E1089" s="92" t="s">
        <v>3687</v>
      </c>
      <c r="F1089" s="89">
        <v>8599509</v>
      </c>
      <c r="G1089" s="29" t="s">
        <v>6426</v>
      </c>
    </row>
    <row r="1090" spans="1:7">
      <c r="A1090" s="33">
        <v>43005</v>
      </c>
      <c r="B1090" s="29" t="s">
        <v>6427</v>
      </c>
      <c r="C1090" s="29" t="s">
        <v>6428</v>
      </c>
      <c r="D1090" s="29" t="s">
        <v>6429</v>
      </c>
      <c r="E1090" s="92" t="s">
        <v>3667</v>
      </c>
      <c r="F1090" s="89">
        <v>8601796</v>
      </c>
      <c r="G1090" s="29" t="s">
        <v>6430</v>
      </c>
    </row>
    <row r="1091" spans="1:7">
      <c r="A1091" s="33">
        <v>43006</v>
      </c>
      <c r="B1091" s="29" t="s">
        <v>6431</v>
      </c>
      <c r="C1091" s="29" t="s">
        <v>6432</v>
      </c>
      <c r="D1091" s="29" t="s">
        <v>6433</v>
      </c>
      <c r="E1091" s="92" t="s">
        <v>3695</v>
      </c>
      <c r="F1091" s="89">
        <v>8620566</v>
      </c>
      <c r="G1091" s="29" t="s">
        <v>6434</v>
      </c>
    </row>
    <row r="1092" spans="1:7">
      <c r="A1092" s="33">
        <v>43007</v>
      </c>
      <c r="B1092" s="29" t="s">
        <v>6435</v>
      </c>
      <c r="C1092" s="29" t="s">
        <v>6436</v>
      </c>
      <c r="D1092" s="29" t="s">
        <v>6437</v>
      </c>
      <c r="E1092" s="92" t="s">
        <v>2171</v>
      </c>
      <c r="F1092" s="89">
        <v>8657643</v>
      </c>
      <c r="G1092" s="29" t="s">
        <v>6008</v>
      </c>
    </row>
    <row r="1093" spans="1:7">
      <c r="A1093" s="33">
        <v>43008</v>
      </c>
      <c r="B1093" s="29" t="s">
        <v>6438</v>
      </c>
      <c r="C1093" s="29" t="s">
        <v>6439</v>
      </c>
      <c r="D1093" s="29" t="s">
        <v>6440</v>
      </c>
      <c r="E1093" s="92" t="s">
        <v>3368</v>
      </c>
      <c r="F1093" s="89">
        <v>8658554</v>
      </c>
      <c r="G1093" s="29" t="s">
        <v>6405</v>
      </c>
    </row>
    <row r="1094" spans="1:7">
      <c r="A1094" s="33">
        <v>43009</v>
      </c>
      <c r="B1094" s="29" t="s">
        <v>6441</v>
      </c>
      <c r="C1094" s="29" t="s">
        <v>5391</v>
      </c>
      <c r="D1094" s="29" t="s">
        <v>6442</v>
      </c>
      <c r="E1094" s="92" t="s">
        <v>3372</v>
      </c>
      <c r="F1094" s="89">
        <v>8659487</v>
      </c>
      <c r="G1094" s="29" t="s">
        <v>6405</v>
      </c>
    </row>
    <row r="1095" spans="1:7">
      <c r="A1095" s="33">
        <v>43010</v>
      </c>
      <c r="B1095" s="29" t="s">
        <v>6443</v>
      </c>
      <c r="C1095" s="29" t="s">
        <v>6444</v>
      </c>
      <c r="D1095" s="29" t="s">
        <v>6445</v>
      </c>
      <c r="E1095" s="92" t="s">
        <v>2159</v>
      </c>
      <c r="F1095" s="89">
        <v>8672455</v>
      </c>
      <c r="G1095" s="29" t="s">
        <v>6446</v>
      </c>
    </row>
    <row r="1096" spans="1:7">
      <c r="A1096" s="33">
        <v>43011</v>
      </c>
      <c r="B1096" s="29" t="s">
        <v>6447</v>
      </c>
      <c r="C1096" s="29" t="s">
        <v>6448</v>
      </c>
      <c r="D1096" s="29" t="s">
        <v>6449</v>
      </c>
      <c r="E1096" s="92" t="s">
        <v>2128</v>
      </c>
      <c r="F1096" s="89">
        <v>8673216</v>
      </c>
      <c r="G1096" s="29" t="s">
        <v>6450</v>
      </c>
    </row>
    <row r="1097" spans="1:7">
      <c r="A1097" s="33">
        <v>43012</v>
      </c>
      <c r="B1097" s="29" t="s">
        <v>6451</v>
      </c>
      <c r="C1097" s="29" t="s">
        <v>6452</v>
      </c>
      <c r="D1097" s="29" t="s">
        <v>6453</v>
      </c>
      <c r="E1097" s="92" t="s">
        <v>6454</v>
      </c>
      <c r="F1097" s="89">
        <v>8680876</v>
      </c>
      <c r="G1097" s="29" t="s">
        <v>6151</v>
      </c>
    </row>
    <row r="1098" spans="1:7">
      <c r="A1098" s="33">
        <v>43013</v>
      </c>
      <c r="B1098" s="29" t="s">
        <v>6455</v>
      </c>
      <c r="C1098" s="29" t="s">
        <v>6456</v>
      </c>
      <c r="D1098" s="29" t="s">
        <v>6457</v>
      </c>
      <c r="E1098" s="92" t="s">
        <v>3671</v>
      </c>
      <c r="F1098" s="89">
        <v>8693833</v>
      </c>
      <c r="G1098" s="29" t="s">
        <v>5941</v>
      </c>
    </row>
    <row r="1099" spans="1:7">
      <c r="A1099" s="33">
        <v>43014</v>
      </c>
      <c r="B1099" s="29" t="s">
        <v>6458</v>
      </c>
      <c r="C1099" s="29" t="s">
        <v>6459</v>
      </c>
      <c r="D1099" s="29" t="s">
        <v>6460</v>
      </c>
      <c r="E1099" s="92" t="s">
        <v>3627</v>
      </c>
      <c r="F1099" s="89">
        <v>8706245</v>
      </c>
      <c r="G1099" s="29" t="s">
        <v>6188</v>
      </c>
    </row>
    <row r="1100" spans="1:7">
      <c r="A1100" s="33">
        <v>43015</v>
      </c>
      <c r="B1100" s="29" t="s">
        <v>6461</v>
      </c>
      <c r="C1100" s="29" t="s">
        <v>6462</v>
      </c>
      <c r="D1100" s="29" t="s">
        <v>6463</v>
      </c>
      <c r="E1100" s="92" t="s">
        <v>3699</v>
      </c>
      <c r="F1100" s="89">
        <v>8708095</v>
      </c>
      <c r="G1100" s="29" t="s">
        <v>6464</v>
      </c>
    </row>
    <row r="1101" spans="1:7">
      <c r="A1101" s="33">
        <v>43016</v>
      </c>
      <c r="B1101" s="29" t="s">
        <v>6465</v>
      </c>
      <c r="C1101" s="29" t="s">
        <v>6466</v>
      </c>
      <c r="D1101" s="29" t="s">
        <v>6467</v>
      </c>
      <c r="E1101" s="92" t="s">
        <v>3352</v>
      </c>
      <c r="F1101" s="89">
        <v>8719962</v>
      </c>
      <c r="G1101" s="29" t="s">
        <v>6468</v>
      </c>
    </row>
    <row r="1102" spans="1:7">
      <c r="A1102" s="33">
        <v>43017</v>
      </c>
      <c r="B1102" s="29" t="s">
        <v>6469</v>
      </c>
      <c r="C1102" s="29" t="s">
        <v>6470</v>
      </c>
      <c r="D1102" s="29" t="s">
        <v>6471</v>
      </c>
      <c r="E1102" s="92" t="s">
        <v>2234</v>
      </c>
      <c r="F1102" s="89">
        <v>8723786</v>
      </c>
      <c r="G1102" s="29" t="s">
        <v>6472</v>
      </c>
    </row>
    <row r="1103" spans="1:7">
      <c r="A1103" s="33">
        <v>43018</v>
      </c>
      <c r="B1103" s="29" t="s">
        <v>6473</v>
      </c>
      <c r="C1103" s="29" t="s">
        <v>6474</v>
      </c>
      <c r="D1103" s="29" t="s">
        <v>6475</v>
      </c>
      <c r="E1103" s="92" t="s">
        <v>3675</v>
      </c>
      <c r="F1103" s="89">
        <v>8742958</v>
      </c>
      <c r="G1103" s="29" t="s">
        <v>6476</v>
      </c>
    </row>
    <row r="1104" spans="1:7">
      <c r="A1104" s="33">
        <v>43019</v>
      </c>
      <c r="B1104" s="29" t="s">
        <v>6477</v>
      </c>
      <c r="C1104" s="29" t="s">
        <v>6478</v>
      </c>
      <c r="D1104" s="29" t="s">
        <v>6479</v>
      </c>
      <c r="E1104" s="92" t="s">
        <v>3703</v>
      </c>
      <c r="F1104" s="89">
        <v>8745895</v>
      </c>
      <c r="G1104" s="29" t="s">
        <v>6480</v>
      </c>
    </row>
    <row r="1105" spans="1:7">
      <c r="A1105" s="33">
        <v>43020</v>
      </c>
      <c r="B1105" s="29" t="s">
        <v>6481</v>
      </c>
      <c r="C1105" s="29" t="s">
        <v>5292</v>
      </c>
      <c r="D1105" s="29">
        <v>4822</v>
      </c>
      <c r="E1105" s="92" t="s">
        <v>3356</v>
      </c>
      <c r="F1105" s="89">
        <v>8755246</v>
      </c>
      <c r="G1105" s="29" t="s">
        <v>6482</v>
      </c>
    </row>
    <row r="1106" spans="1:7">
      <c r="A1106" s="33">
        <v>43021</v>
      </c>
      <c r="B1106" s="29" t="s">
        <v>6483</v>
      </c>
      <c r="C1106" s="29" t="s">
        <v>6484</v>
      </c>
      <c r="D1106" s="29" t="s">
        <v>6485</v>
      </c>
      <c r="E1106" s="92" t="s">
        <v>2144</v>
      </c>
      <c r="F1106" s="89">
        <v>8756431</v>
      </c>
      <c r="G1106" s="29" t="s">
        <v>6486</v>
      </c>
    </row>
    <row r="1107" spans="1:7">
      <c r="A1107" s="33">
        <v>43022</v>
      </c>
      <c r="B1107" s="29" t="s">
        <v>6487</v>
      </c>
      <c r="C1107" s="29" t="s">
        <v>4778</v>
      </c>
      <c r="D1107" s="29" t="s">
        <v>6488</v>
      </c>
      <c r="E1107" s="92" t="s">
        <v>3635</v>
      </c>
      <c r="F1107" s="89">
        <v>8757788</v>
      </c>
      <c r="G1107" s="29" t="s">
        <v>6489</v>
      </c>
    </row>
    <row r="1108" spans="1:7">
      <c r="A1108" s="33">
        <v>43023</v>
      </c>
      <c r="B1108" s="29" t="s">
        <v>6490</v>
      </c>
      <c r="C1108" s="29" t="s">
        <v>6491</v>
      </c>
      <c r="D1108" s="29" t="s">
        <v>6492</v>
      </c>
      <c r="E1108" s="92" t="s">
        <v>3727</v>
      </c>
      <c r="F1108" s="89">
        <v>8784494</v>
      </c>
      <c r="G1108" s="29" t="s">
        <v>6493</v>
      </c>
    </row>
    <row r="1109" spans="1:7">
      <c r="A1109" s="33">
        <v>43024</v>
      </c>
      <c r="B1109" s="29" t="s">
        <v>6494</v>
      </c>
      <c r="C1109" s="29" t="s">
        <v>6495</v>
      </c>
      <c r="D1109" s="29" t="s">
        <v>6496</v>
      </c>
      <c r="E1109" s="92" t="s">
        <v>3611</v>
      </c>
      <c r="F1109" s="89">
        <v>8787786</v>
      </c>
      <c r="G1109" s="29" t="s">
        <v>6497</v>
      </c>
    </row>
    <row r="1110" spans="1:7">
      <c r="A1110" s="33">
        <v>43025</v>
      </c>
      <c r="B1110" s="29" t="s">
        <v>6498</v>
      </c>
      <c r="C1110" s="29" t="s">
        <v>6499</v>
      </c>
      <c r="D1110" s="29" t="s">
        <v>6500</v>
      </c>
      <c r="E1110" s="92" t="s">
        <v>4064</v>
      </c>
      <c r="F1110" s="89">
        <v>8790368</v>
      </c>
      <c r="G1110" s="29" t="s">
        <v>6393</v>
      </c>
    </row>
    <row r="1111" spans="1:7">
      <c r="A1111" s="33">
        <v>43026</v>
      </c>
      <c r="B1111" s="29" t="s">
        <v>6501</v>
      </c>
      <c r="C1111" s="29" t="s">
        <v>6501</v>
      </c>
      <c r="D1111" s="29" t="s">
        <v>6502</v>
      </c>
      <c r="E1111" s="92" t="s">
        <v>4060</v>
      </c>
      <c r="F1111" s="89">
        <v>8801038</v>
      </c>
      <c r="G1111" s="29" t="s">
        <v>6503</v>
      </c>
    </row>
    <row r="1112" spans="1:7">
      <c r="A1112" s="33">
        <v>43027</v>
      </c>
      <c r="B1112" s="29" t="s">
        <v>6504</v>
      </c>
      <c r="C1112" s="29" t="s">
        <v>6505</v>
      </c>
      <c r="D1112" s="29" t="s">
        <v>6506</v>
      </c>
      <c r="E1112" s="92" t="s">
        <v>3711</v>
      </c>
      <c r="F1112" s="89">
        <v>8804478</v>
      </c>
      <c r="G1112" s="29" t="s">
        <v>6037</v>
      </c>
    </row>
    <row r="1113" spans="1:7">
      <c r="A1113" s="33">
        <v>43028</v>
      </c>
      <c r="B1113" s="29" t="s">
        <v>6507</v>
      </c>
      <c r="C1113" s="29" t="s">
        <v>6508</v>
      </c>
      <c r="D1113" s="29" t="s">
        <v>6509</v>
      </c>
      <c r="E1113" s="92" t="s">
        <v>3615</v>
      </c>
      <c r="F1113" s="89">
        <v>8804881</v>
      </c>
      <c r="G1113" s="29" t="s">
        <v>6510</v>
      </c>
    </row>
    <row r="1114" spans="1:7">
      <c r="A1114" s="33">
        <v>43029</v>
      </c>
      <c r="B1114" s="29" t="s">
        <v>6511</v>
      </c>
      <c r="C1114" s="29" t="s">
        <v>6512</v>
      </c>
      <c r="D1114" s="29" t="s">
        <v>6513</v>
      </c>
      <c r="E1114" s="92" t="s">
        <v>3663</v>
      </c>
      <c r="F1114" s="89">
        <v>8805778</v>
      </c>
      <c r="G1114" s="29" t="s">
        <v>6514</v>
      </c>
    </row>
    <row r="1115" spans="1:7">
      <c r="A1115" s="33">
        <v>43030</v>
      </c>
      <c r="B1115" s="29" t="s">
        <v>6515</v>
      </c>
      <c r="C1115" s="29" t="s">
        <v>6516</v>
      </c>
      <c r="D1115" s="29" t="s">
        <v>6517</v>
      </c>
      <c r="E1115" s="92" t="s">
        <v>3719</v>
      </c>
      <c r="F1115" s="89">
        <v>8807011</v>
      </c>
      <c r="G1115" s="29" t="s">
        <v>6044</v>
      </c>
    </row>
    <row r="1116" spans="1:7">
      <c r="A1116" s="33">
        <v>43031</v>
      </c>
      <c r="B1116" s="29">
        <v>6006</v>
      </c>
      <c r="C1116" s="29" t="s">
        <v>6518</v>
      </c>
      <c r="D1116" s="29" t="s">
        <v>6519</v>
      </c>
      <c r="E1116" s="92" t="s">
        <v>2152</v>
      </c>
      <c r="F1116" s="89">
        <v>8808263</v>
      </c>
      <c r="G1116" s="29" t="s">
        <v>6503</v>
      </c>
    </row>
    <row r="1117" spans="1:7">
      <c r="A1117" s="33">
        <v>43032</v>
      </c>
      <c r="B1117" s="29" t="s">
        <v>6520</v>
      </c>
      <c r="C1117" s="29" t="s">
        <v>6520</v>
      </c>
      <c r="D1117" s="29" t="s">
        <v>6521</v>
      </c>
      <c r="E1117" s="92" t="s">
        <v>3707</v>
      </c>
      <c r="F1117" s="89">
        <v>8813582</v>
      </c>
      <c r="G1117" s="29" t="s">
        <v>4778</v>
      </c>
    </row>
    <row r="1118" spans="1:7">
      <c r="A1118" s="33">
        <v>43033</v>
      </c>
      <c r="B1118" s="29" t="s">
        <v>6522</v>
      </c>
      <c r="C1118" s="29" t="s">
        <v>6523</v>
      </c>
      <c r="D1118" s="29" t="s">
        <v>6524</v>
      </c>
      <c r="E1118" s="92" t="s">
        <v>2222</v>
      </c>
      <c r="F1118" s="89">
        <v>8815662</v>
      </c>
      <c r="G1118" s="29" t="s">
        <v>6472</v>
      </c>
    </row>
    <row r="1119" spans="1:7">
      <c r="A1119" s="33">
        <v>43034</v>
      </c>
      <c r="B1119" s="29" t="s">
        <v>6525</v>
      </c>
      <c r="C1119" s="29" t="s">
        <v>6526</v>
      </c>
      <c r="D1119" s="29" t="s">
        <v>6527</v>
      </c>
      <c r="E1119" s="92" t="s">
        <v>1084</v>
      </c>
      <c r="F1119" s="89">
        <v>8820522</v>
      </c>
      <c r="G1119" s="29" t="s">
        <v>6528</v>
      </c>
    </row>
    <row r="1120" spans="1:7">
      <c r="A1120" s="33">
        <v>43035</v>
      </c>
      <c r="B1120" s="29" t="s">
        <v>6529</v>
      </c>
      <c r="C1120" s="29" t="s">
        <v>6530</v>
      </c>
      <c r="D1120" s="29" t="s">
        <v>6531</v>
      </c>
      <c r="E1120" s="92" t="s">
        <v>2210</v>
      </c>
      <c r="F1120" s="89">
        <v>8827765</v>
      </c>
      <c r="G1120" s="29" t="s">
        <v>6434</v>
      </c>
    </row>
    <row r="1121" spans="1:7">
      <c r="A1121" s="33">
        <v>43036</v>
      </c>
      <c r="B1121" s="29" t="s">
        <v>6532</v>
      </c>
      <c r="C1121" s="29" t="s">
        <v>6533</v>
      </c>
      <c r="D1121" s="29" t="s">
        <v>6534</v>
      </c>
      <c r="E1121" s="92" t="s">
        <v>3715</v>
      </c>
      <c r="F1121" s="89">
        <v>8835053</v>
      </c>
      <c r="G1121" s="29" t="s">
        <v>6535</v>
      </c>
    </row>
    <row r="1122" spans="1:7">
      <c r="A1122" s="33">
        <v>43037</v>
      </c>
      <c r="B1122" s="29" t="s">
        <v>6536</v>
      </c>
      <c r="C1122" s="29" t="s">
        <v>6537</v>
      </c>
      <c r="D1122" s="29" t="s">
        <v>6538</v>
      </c>
      <c r="E1122" s="92" t="s">
        <v>3723</v>
      </c>
      <c r="F1122" s="89">
        <v>8838375</v>
      </c>
      <c r="G1122" s="29" t="s">
        <v>6539</v>
      </c>
    </row>
    <row r="1123" spans="1:7">
      <c r="A1123" s="33">
        <v>43038</v>
      </c>
      <c r="B1123" s="29" t="s">
        <v>6540</v>
      </c>
      <c r="C1123" s="29" t="s">
        <v>6541</v>
      </c>
      <c r="D1123" s="29" t="s">
        <v>6542</v>
      </c>
      <c r="E1123" s="92" t="s">
        <v>3786</v>
      </c>
      <c r="F1123" s="89">
        <v>8864767</v>
      </c>
      <c r="G1123" s="29" t="s">
        <v>6543</v>
      </c>
    </row>
    <row r="1124" spans="1:7">
      <c r="A1124" s="33">
        <v>43039</v>
      </c>
      <c r="B1124" s="29" t="s">
        <v>6544</v>
      </c>
      <c r="C1124" s="29" t="s">
        <v>6545</v>
      </c>
      <c r="D1124" s="29" t="s">
        <v>6546</v>
      </c>
      <c r="E1124" s="92" t="s">
        <v>2218</v>
      </c>
      <c r="F1124" s="89">
        <v>8897469</v>
      </c>
      <c r="G1124" s="29" t="s">
        <v>6547</v>
      </c>
    </row>
    <row r="1125" spans="1:7">
      <c r="A1125" s="33">
        <v>43040</v>
      </c>
      <c r="B1125" s="29" t="s">
        <v>6548</v>
      </c>
      <c r="C1125" s="29" t="s">
        <v>5032</v>
      </c>
      <c r="D1125" s="29" t="s">
        <v>6549</v>
      </c>
      <c r="E1125" s="92" t="s">
        <v>4056</v>
      </c>
      <c r="F1125" s="89">
        <v>8906935</v>
      </c>
      <c r="G1125" s="29" t="s">
        <v>6550</v>
      </c>
    </row>
    <row r="1126" spans="1:7">
      <c r="A1126" s="33">
        <v>43041</v>
      </c>
      <c r="B1126" s="29" t="s">
        <v>6551</v>
      </c>
      <c r="C1126" s="29" t="s">
        <v>6552</v>
      </c>
      <c r="D1126" s="29" t="s">
        <v>6553</v>
      </c>
      <c r="E1126" s="92" t="s">
        <v>3761</v>
      </c>
      <c r="F1126" s="89">
        <v>8909819</v>
      </c>
      <c r="G1126" s="29" t="s">
        <v>6554</v>
      </c>
    </row>
    <row r="1127" spans="1:7">
      <c r="A1127" s="33">
        <v>43042</v>
      </c>
      <c r="B1127" s="29" t="s">
        <v>6555</v>
      </c>
      <c r="C1127" s="29" t="s">
        <v>6556</v>
      </c>
      <c r="D1127" s="29" t="s">
        <v>6557</v>
      </c>
      <c r="E1127" s="92" t="s">
        <v>2179</v>
      </c>
      <c r="F1127" s="89">
        <v>8909954</v>
      </c>
      <c r="G1127" s="29" t="s">
        <v>6558</v>
      </c>
    </row>
    <row r="1128" spans="1:7">
      <c r="A1128" s="33">
        <v>43043</v>
      </c>
      <c r="B1128" s="29" t="s">
        <v>6559</v>
      </c>
      <c r="C1128" s="29" t="s">
        <v>4778</v>
      </c>
      <c r="D1128" s="29" t="s">
        <v>6560</v>
      </c>
      <c r="E1128" s="92" t="s">
        <v>3348</v>
      </c>
      <c r="F1128" s="89">
        <v>8912654</v>
      </c>
      <c r="G1128" s="29" t="s">
        <v>6561</v>
      </c>
    </row>
    <row r="1129" spans="1:7">
      <c r="A1129" s="33">
        <v>43044</v>
      </c>
      <c r="B1129" s="29" t="s">
        <v>6562</v>
      </c>
      <c r="C1129" s="29" t="s">
        <v>6563</v>
      </c>
      <c r="D1129" s="29" t="s">
        <v>6564</v>
      </c>
      <c r="E1129" s="92" t="s">
        <v>2183</v>
      </c>
      <c r="F1129" s="89">
        <v>8929038</v>
      </c>
      <c r="G1129" s="29" t="s">
        <v>6565</v>
      </c>
    </row>
    <row r="1130" spans="1:7">
      <c r="A1130" s="33">
        <v>43045</v>
      </c>
      <c r="B1130" s="29" t="s">
        <v>6566</v>
      </c>
      <c r="C1130" s="29" t="s">
        <v>6567</v>
      </c>
      <c r="D1130" s="29" t="s">
        <v>6568</v>
      </c>
      <c r="E1130" s="92" t="s">
        <v>3790</v>
      </c>
      <c r="F1130" s="89">
        <v>8942809</v>
      </c>
      <c r="G1130" s="29" t="s">
        <v>6569</v>
      </c>
    </row>
    <row r="1131" spans="1:7">
      <c r="A1131" s="33">
        <v>43046</v>
      </c>
      <c r="B1131" s="29" t="s">
        <v>6570</v>
      </c>
      <c r="C1131" s="29" t="s">
        <v>6571</v>
      </c>
      <c r="D1131" s="29" t="s">
        <v>6570</v>
      </c>
      <c r="E1131" s="92" t="s">
        <v>3440</v>
      </c>
      <c r="F1131" s="89">
        <v>8988597</v>
      </c>
      <c r="G1131" s="29" t="s">
        <v>6572</v>
      </c>
    </row>
    <row r="1132" spans="1:7">
      <c r="A1132" s="33">
        <v>43047</v>
      </c>
      <c r="B1132" s="29" t="s">
        <v>6573</v>
      </c>
      <c r="C1132" s="29" t="s">
        <v>6574</v>
      </c>
      <c r="D1132" s="29" t="s">
        <v>6575</v>
      </c>
      <c r="E1132" s="92" t="s">
        <v>3412</v>
      </c>
      <c r="F1132" s="89">
        <v>8994488</v>
      </c>
      <c r="G1132" s="29" t="s">
        <v>6576</v>
      </c>
    </row>
    <row r="1133" spans="1:7">
      <c r="A1133" s="33">
        <v>43048</v>
      </c>
      <c r="B1133" s="29" t="s">
        <v>6577</v>
      </c>
      <c r="C1133" s="29" t="s">
        <v>6577</v>
      </c>
      <c r="D1133" s="29" t="s">
        <v>6578</v>
      </c>
      <c r="E1133" s="92" t="s">
        <v>6579</v>
      </c>
      <c r="F1133" s="89">
        <v>9045391</v>
      </c>
      <c r="G1133" s="29" t="s">
        <v>6580</v>
      </c>
    </row>
    <row r="1134" spans="1:7">
      <c r="A1134" s="33">
        <v>43049</v>
      </c>
      <c r="B1134" s="29" t="s">
        <v>6581</v>
      </c>
      <c r="C1134" s="29">
        <v>7312</v>
      </c>
      <c r="D1134" s="29" t="s">
        <v>6582</v>
      </c>
      <c r="E1134" s="92" t="s">
        <v>2198</v>
      </c>
      <c r="F1134" s="89">
        <v>9055526</v>
      </c>
      <c r="G1134" s="29" t="s">
        <v>6583</v>
      </c>
    </row>
    <row r="1135" spans="1:7">
      <c r="A1135" s="33">
        <v>43050</v>
      </c>
      <c r="B1135" s="29" t="s">
        <v>6584</v>
      </c>
      <c r="C1135" s="29" t="s">
        <v>6585</v>
      </c>
      <c r="D1135" s="29" t="s">
        <v>6586</v>
      </c>
      <c r="E1135" s="92" t="s">
        <v>3376</v>
      </c>
      <c r="F1135" s="89">
        <v>9073942</v>
      </c>
      <c r="G1135" s="29" t="s">
        <v>6587</v>
      </c>
    </row>
    <row r="1136" spans="1:7">
      <c r="A1136" s="33">
        <v>43051</v>
      </c>
      <c r="B1136" s="29" t="s">
        <v>6588</v>
      </c>
      <c r="C1136" s="29" t="s">
        <v>4778</v>
      </c>
      <c r="D1136" s="29" t="s">
        <v>6589</v>
      </c>
      <c r="E1136" s="92" t="s">
        <v>2167</v>
      </c>
      <c r="F1136" s="89">
        <v>9078763</v>
      </c>
      <c r="G1136" s="29" t="s">
        <v>6590</v>
      </c>
    </row>
    <row r="1137" spans="1:7">
      <c r="A1137" s="33">
        <v>43052</v>
      </c>
      <c r="B1137" s="29" t="s">
        <v>6591</v>
      </c>
      <c r="C1137" s="29" t="s">
        <v>6592</v>
      </c>
      <c r="D1137" s="29" t="s">
        <v>6593</v>
      </c>
      <c r="E1137" s="92" t="s">
        <v>3794</v>
      </c>
      <c r="F1137" s="89">
        <v>9081762</v>
      </c>
      <c r="G1137" s="29" t="s">
        <v>6594</v>
      </c>
    </row>
    <row r="1138" spans="1:7">
      <c r="A1138" s="33">
        <v>43053</v>
      </c>
      <c r="B1138" s="29" t="s">
        <v>6595</v>
      </c>
      <c r="C1138" s="29" t="s">
        <v>4778</v>
      </c>
      <c r="D1138" s="29" t="s">
        <v>6596</v>
      </c>
      <c r="E1138" s="92" t="s">
        <v>3802</v>
      </c>
      <c r="F1138" s="89">
        <v>9081763</v>
      </c>
      <c r="G1138" s="29" t="s">
        <v>6597</v>
      </c>
    </row>
    <row r="1139" spans="1:7">
      <c r="A1139" s="33">
        <v>43054</v>
      </c>
      <c r="B1139" s="29" t="s">
        <v>6598</v>
      </c>
      <c r="C1139" s="29" t="s">
        <v>6599</v>
      </c>
      <c r="D1139" s="29" t="s">
        <v>6598</v>
      </c>
      <c r="E1139" s="92" t="s">
        <v>3810</v>
      </c>
      <c r="F1139" s="89">
        <v>9087304</v>
      </c>
      <c r="G1139" s="29" t="s">
        <v>6600</v>
      </c>
    </row>
    <row r="1140" spans="1:7">
      <c r="A1140" s="33">
        <v>43055</v>
      </c>
      <c r="B1140" s="29" t="s">
        <v>6601</v>
      </c>
      <c r="C1140" s="29" t="s">
        <v>6602</v>
      </c>
      <c r="D1140" s="29" t="s">
        <v>6603</v>
      </c>
      <c r="E1140" s="92" t="s">
        <v>3798</v>
      </c>
      <c r="F1140" s="89">
        <v>9122546</v>
      </c>
      <c r="G1140" s="29" t="s">
        <v>6604</v>
      </c>
    </row>
    <row r="1141" spans="1:7">
      <c r="A1141" s="33">
        <v>43056</v>
      </c>
      <c r="B1141" s="29" t="s">
        <v>6605</v>
      </c>
      <c r="C1141" s="29" t="s">
        <v>6606</v>
      </c>
      <c r="D1141" s="29" t="s">
        <v>6607</v>
      </c>
      <c r="E1141" s="92" t="s">
        <v>355</v>
      </c>
      <c r="F1141" s="89">
        <v>9132228</v>
      </c>
      <c r="G1141" s="29" t="s">
        <v>6554</v>
      </c>
    </row>
    <row r="1142" spans="1:7">
      <c r="A1142" s="33">
        <v>43057</v>
      </c>
      <c r="B1142" s="29" t="s">
        <v>6608</v>
      </c>
      <c r="C1142" s="29" t="s">
        <v>6609</v>
      </c>
      <c r="D1142" s="29" t="s">
        <v>6610</v>
      </c>
      <c r="E1142" s="92" t="s">
        <v>3751</v>
      </c>
      <c r="F1142" s="89">
        <v>9132488</v>
      </c>
      <c r="G1142" s="29" t="s">
        <v>6611</v>
      </c>
    </row>
    <row r="1143" spans="1:7">
      <c r="A1143" s="33">
        <v>43058</v>
      </c>
      <c r="B1143" s="29" t="s">
        <v>6612</v>
      </c>
      <c r="C1143" s="29" t="s">
        <v>6613</v>
      </c>
      <c r="D1143" s="29" t="s">
        <v>6614</v>
      </c>
      <c r="E1143" s="92" t="s">
        <v>3739</v>
      </c>
      <c r="F1143" s="89">
        <v>9137993</v>
      </c>
      <c r="G1143" s="29" t="s">
        <v>6615</v>
      </c>
    </row>
    <row r="1144" spans="1:7">
      <c r="A1144" s="33">
        <v>43059</v>
      </c>
      <c r="B1144" s="29" t="s">
        <v>6616</v>
      </c>
      <c r="C1144" s="29" t="s">
        <v>6617</v>
      </c>
      <c r="D1144" s="29" t="s">
        <v>6618</v>
      </c>
      <c r="E1144" s="92" t="s">
        <v>3416</v>
      </c>
      <c r="F1144" s="89">
        <v>9143582</v>
      </c>
      <c r="G1144" s="29" t="s">
        <v>6619</v>
      </c>
    </row>
    <row r="1145" spans="1:7">
      <c r="A1145" s="33">
        <v>43060</v>
      </c>
      <c r="B1145" s="29" t="s">
        <v>6620</v>
      </c>
      <c r="C1145" s="29" t="s">
        <v>6621</v>
      </c>
      <c r="D1145" s="29" t="s">
        <v>6622</v>
      </c>
      <c r="E1145" s="92" t="s">
        <v>3747</v>
      </c>
      <c r="F1145" s="89">
        <v>9151393</v>
      </c>
      <c r="G1145" s="29" t="s">
        <v>6623</v>
      </c>
    </row>
    <row r="1146" spans="1:7">
      <c r="A1146" s="33">
        <v>43061</v>
      </c>
      <c r="B1146" s="29" t="s">
        <v>6624</v>
      </c>
      <c r="C1146" s="29" t="s">
        <v>6625</v>
      </c>
      <c r="D1146" s="29" t="s">
        <v>6626</v>
      </c>
      <c r="E1146" s="92" t="s">
        <v>2140</v>
      </c>
      <c r="F1146" s="89">
        <v>9162918</v>
      </c>
      <c r="G1146" s="29" t="s">
        <v>6627</v>
      </c>
    </row>
    <row r="1147" spans="1:7">
      <c r="A1147" s="33">
        <v>43062</v>
      </c>
      <c r="B1147" s="29" t="s">
        <v>6628</v>
      </c>
      <c r="C1147" s="29" t="s">
        <v>6629</v>
      </c>
      <c r="D1147" s="29" t="s">
        <v>4891</v>
      </c>
      <c r="E1147" s="92" t="s">
        <v>3806</v>
      </c>
      <c r="F1147" s="89">
        <v>9164231</v>
      </c>
      <c r="G1147" s="29" t="s">
        <v>6630</v>
      </c>
    </row>
    <row r="1148" spans="1:7">
      <c r="A1148" s="33">
        <v>43063</v>
      </c>
      <c r="B1148" s="29" t="s">
        <v>6631</v>
      </c>
      <c r="C1148" s="29" t="s">
        <v>6632</v>
      </c>
      <c r="D1148" s="29" t="s">
        <v>6633</v>
      </c>
      <c r="E1148" s="92" t="s">
        <v>3755</v>
      </c>
      <c r="F1148" s="89">
        <v>9181018</v>
      </c>
      <c r="G1148" s="29" t="s">
        <v>6634</v>
      </c>
    </row>
    <row r="1149" spans="1:7">
      <c r="A1149" s="33">
        <v>43064</v>
      </c>
      <c r="B1149" s="29" t="s">
        <v>6635</v>
      </c>
      <c r="C1149" s="29" t="s">
        <v>4837</v>
      </c>
      <c r="D1149" s="29" t="s">
        <v>6636</v>
      </c>
      <c r="E1149" s="92" t="s">
        <v>3424</v>
      </c>
      <c r="F1149" s="89">
        <v>9182577</v>
      </c>
      <c r="G1149" s="29" t="s">
        <v>6637</v>
      </c>
    </row>
    <row r="1150" spans="1:7">
      <c r="A1150" s="33">
        <v>43065</v>
      </c>
      <c r="B1150" s="29" t="s">
        <v>6638</v>
      </c>
      <c r="C1150" s="29" t="s">
        <v>6639</v>
      </c>
      <c r="D1150" s="29" t="s">
        <v>6640</v>
      </c>
      <c r="E1150" s="92" t="s">
        <v>2187</v>
      </c>
      <c r="F1150" s="89">
        <v>9185817</v>
      </c>
      <c r="G1150" s="29" t="s">
        <v>6641</v>
      </c>
    </row>
    <row r="1151" spans="1:7">
      <c r="A1151" s="33">
        <v>43066</v>
      </c>
      <c r="B1151" s="29" t="s">
        <v>6642</v>
      </c>
      <c r="C1151" s="29" t="s">
        <v>4774</v>
      </c>
      <c r="D1151" s="29" t="s">
        <v>6642</v>
      </c>
      <c r="E1151" s="92" t="s">
        <v>3420</v>
      </c>
      <c r="F1151" s="89">
        <v>9190854</v>
      </c>
      <c r="G1151" s="29" t="s">
        <v>6643</v>
      </c>
    </row>
    <row r="1152" spans="1:7">
      <c r="A1152" s="33">
        <v>43067</v>
      </c>
      <c r="B1152" s="29" t="s">
        <v>6644</v>
      </c>
      <c r="C1152" s="29" t="s">
        <v>6645</v>
      </c>
      <c r="D1152" s="29" t="s">
        <v>6646</v>
      </c>
      <c r="E1152" s="92" t="s">
        <v>3759</v>
      </c>
      <c r="F1152" s="89">
        <v>9199585</v>
      </c>
      <c r="G1152" s="29" t="s">
        <v>6647</v>
      </c>
    </row>
    <row r="1153" spans="1:7">
      <c r="A1153" s="33">
        <v>43068</v>
      </c>
      <c r="B1153" s="29" t="s">
        <v>6648</v>
      </c>
      <c r="C1153" s="29" t="s">
        <v>4778</v>
      </c>
      <c r="D1153" s="29" t="s">
        <v>6649</v>
      </c>
      <c r="E1153" s="92" t="s">
        <v>3735</v>
      </c>
      <c r="F1153" s="89">
        <v>9205727</v>
      </c>
      <c r="G1153" s="29" t="s">
        <v>6650</v>
      </c>
    </row>
    <row r="1154" spans="1:7">
      <c r="A1154" s="33">
        <v>43069</v>
      </c>
      <c r="B1154" s="29" t="s">
        <v>6651</v>
      </c>
      <c r="C1154" s="29">
        <v>10801</v>
      </c>
      <c r="D1154" s="29" t="s">
        <v>6652</v>
      </c>
      <c r="E1154" s="92" t="s">
        <v>3743</v>
      </c>
      <c r="F1154" s="89">
        <v>9209287</v>
      </c>
      <c r="G1154" s="29" t="s">
        <v>6653</v>
      </c>
    </row>
    <row r="1155" spans="1:7">
      <c r="A1155" s="33">
        <v>43070</v>
      </c>
      <c r="B1155" s="29" t="s">
        <v>6654</v>
      </c>
      <c r="C1155" s="29" t="s">
        <v>6655</v>
      </c>
      <c r="D1155" s="29" t="s">
        <v>6656</v>
      </c>
      <c r="E1155" s="92" t="s">
        <v>2163</v>
      </c>
      <c r="F1155" s="89">
        <v>9235354</v>
      </c>
      <c r="G1155" s="29" t="s">
        <v>6657</v>
      </c>
    </row>
    <row r="1156" spans="1:7">
      <c r="A1156" s="33">
        <v>43071</v>
      </c>
      <c r="B1156" s="29" t="s">
        <v>6658</v>
      </c>
      <c r="C1156" s="29" t="s">
        <v>6659</v>
      </c>
      <c r="D1156" s="29" t="s">
        <v>6660</v>
      </c>
      <c r="E1156" s="92" t="s">
        <v>3782</v>
      </c>
      <c r="F1156" s="89">
        <v>9240347</v>
      </c>
      <c r="G1156" s="29" t="s">
        <v>6661</v>
      </c>
    </row>
    <row r="1157" spans="1:7">
      <c r="A1157" s="33">
        <v>43072</v>
      </c>
      <c r="B1157" s="29" t="s">
        <v>6662</v>
      </c>
      <c r="C1157" s="29" t="s">
        <v>6663</v>
      </c>
      <c r="D1157" s="29">
        <v>10862</v>
      </c>
      <c r="E1157" s="92" t="s">
        <v>3731</v>
      </c>
      <c r="F1157" s="89">
        <v>9243214</v>
      </c>
      <c r="G1157" s="29" t="s">
        <v>6664</v>
      </c>
    </row>
    <row r="1158" spans="1:7">
      <c r="A1158" s="33">
        <v>43073</v>
      </c>
      <c r="B1158" s="29" t="s">
        <v>6665</v>
      </c>
      <c r="C1158" s="29" t="s">
        <v>6666</v>
      </c>
      <c r="D1158" s="29" t="s">
        <v>6667</v>
      </c>
      <c r="E1158" s="92" t="s">
        <v>3814</v>
      </c>
      <c r="F1158" s="89">
        <v>9243614</v>
      </c>
      <c r="G1158" s="29" t="s">
        <v>6668</v>
      </c>
    </row>
    <row r="1159" spans="1:7">
      <c r="A1159" s="33">
        <v>43074</v>
      </c>
      <c r="B1159" s="29" t="s">
        <v>6669</v>
      </c>
      <c r="C1159" s="29">
        <v>12032</v>
      </c>
      <c r="D1159" s="29" t="s">
        <v>6670</v>
      </c>
      <c r="E1159" s="92" t="s">
        <v>3766</v>
      </c>
      <c r="F1159" s="89">
        <v>9244973</v>
      </c>
      <c r="G1159" s="29" t="s">
        <v>6671</v>
      </c>
    </row>
    <row r="1160" spans="1:7">
      <c r="A1160" s="33">
        <v>43075</v>
      </c>
      <c r="B1160" s="29" t="s">
        <v>6672</v>
      </c>
      <c r="C1160" s="29" t="s">
        <v>6673</v>
      </c>
      <c r="D1160" s="29" t="s">
        <v>6672</v>
      </c>
      <c r="E1160" s="92" t="s">
        <v>6674</v>
      </c>
      <c r="F1160" s="89">
        <v>9252277</v>
      </c>
      <c r="G1160" s="29" t="s">
        <v>4943</v>
      </c>
    </row>
    <row r="1161" spans="1:7">
      <c r="A1161" s="33">
        <v>43076</v>
      </c>
      <c r="B1161" s="29" t="s">
        <v>6675</v>
      </c>
      <c r="C1161" s="29" t="s">
        <v>6676</v>
      </c>
      <c r="D1161" s="29" t="s">
        <v>6677</v>
      </c>
      <c r="E1161" s="92" t="s">
        <v>2175</v>
      </c>
      <c r="F1161" s="89">
        <v>9261104</v>
      </c>
      <c r="G1161" s="29" t="s">
        <v>6678</v>
      </c>
    </row>
    <row r="1162" spans="1:7">
      <c r="A1162" s="33">
        <v>43077</v>
      </c>
      <c r="B1162" s="29" t="s">
        <v>6679</v>
      </c>
      <c r="C1162" s="29" t="s">
        <v>6680</v>
      </c>
      <c r="D1162" s="29" t="s">
        <v>6681</v>
      </c>
      <c r="E1162" s="92" t="s">
        <v>2242</v>
      </c>
      <c r="F1162" s="89">
        <v>9264813</v>
      </c>
      <c r="G1162" s="29" t="s">
        <v>6682</v>
      </c>
    </row>
    <row r="1163" spans="1:7">
      <c r="A1163" s="33">
        <v>43078</v>
      </c>
      <c r="B1163" s="29" t="s">
        <v>6683</v>
      </c>
      <c r="C1163" s="29">
        <v>16783</v>
      </c>
      <c r="D1163" s="29" t="s">
        <v>6684</v>
      </c>
      <c r="E1163" s="92" t="s">
        <v>3770</v>
      </c>
      <c r="F1163" s="89">
        <v>9267562</v>
      </c>
      <c r="G1163" s="29" t="s">
        <v>6685</v>
      </c>
    </row>
    <row r="1164" spans="1:7">
      <c r="A1164" s="33">
        <v>43079</v>
      </c>
      <c r="B1164" s="29" t="s">
        <v>6686</v>
      </c>
      <c r="C1164" s="29" t="s">
        <v>6687</v>
      </c>
      <c r="D1164" s="29" t="s">
        <v>6688</v>
      </c>
      <c r="E1164" s="92" t="s">
        <v>2136</v>
      </c>
      <c r="F1164" s="89">
        <v>9268762</v>
      </c>
      <c r="G1164" s="29" t="s">
        <v>6689</v>
      </c>
    </row>
    <row r="1165" spans="1:7">
      <c r="A1165" s="33">
        <v>43080</v>
      </c>
      <c r="B1165" s="29" t="s">
        <v>6690</v>
      </c>
      <c r="C1165" s="29" t="s">
        <v>6691</v>
      </c>
      <c r="D1165" s="29" t="s">
        <v>6692</v>
      </c>
      <c r="E1165" s="92" t="s">
        <v>3774</v>
      </c>
      <c r="F1165" s="89">
        <v>9269987</v>
      </c>
      <c r="G1165" s="29" t="s">
        <v>6693</v>
      </c>
    </row>
    <row r="1166" spans="1:7">
      <c r="A1166" s="33">
        <v>43081</v>
      </c>
      <c r="B1166" s="29" t="s">
        <v>2953</v>
      </c>
      <c r="C1166" s="29" t="s">
        <v>6694</v>
      </c>
      <c r="D1166" s="29" t="s">
        <v>6695</v>
      </c>
      <c r="E1166" s="92" t="s">
        <v>3778</v>
      </c>
      <c r="F1166" s="89">
        <v>9273521</v>
      </c>
      <c r="G1166" s="29" t="s">
        <v>6696</v>
      </c>
    </row>
    <row r="1167" spans="1:7">
      <c r="A1167" s="33">
        <v>43082</v>
      </c>
      <c r="B1167" s="29">
        <v>17500</v>
      </c>
      <c r="C1167" s="29" t="s">
        <v>6697</v>
      </c>
      <c r="D1167" s="29" t="s">
        <v>6698</v>
      </c>
      <c r="E1167" s="92" t="s">
        <v>3432</v>
      </c>
      <c r="F1167" s="89">
        <v>9277968</v>
      </c>
      <c r="G1167" s="29" t="s">
        <v>6699</v>
      </c>
    </row>
    <row r="1168" spans="1:7">
      <c r="A1168" s="33">
        <v>43083</v>
      </c>
      <c r="B1168" s="29" t="s">
        <v>6700</v>
      </c>
      <c r="C1168" s="29" t="s">
        <v>6701</v>
      </c>
      <c r="D1168" s="29" t="s">
        <v>6702</v>
      </c>
      <c r="E1168" s="92" t="s">
        <v>351</v>
      </c>
      <c r="F1168" s="89">
        <v>9278808</v>
      </c>
      <c r="G1168" s="29" t="s">
        <v>6703</v>
      </c>
    </row>
    <row r="1169" spans="1:7">
      <c r="A1169" s="33">
        <v>43084</v>
      </c>
      <c r="B1169" s="29" t="s">
        <v>6704</v>
      </c>
      <c r="C1169" s="29" t="s">
        <v>6705</v>
      </c>
      <c r="D1169" s="29" t="s">
        <v>6704</v>
      </c>
      <c r="E1169" s="92" t="s">
        <v>6706</v>
      </c>
      <c r="F1169" s="89">
        <v>9288019</v>
      </c>
      <c r="G1169" s="29" t="s">
        <v>6707</v>
      </c>
    </row>
    <row r="1170" spans="1:7">
      <c r="A1170" s="33">
        <v>43085</v>
      </c>
      <c r="B1170" s="29" t="s">
        <v>6708</v>
      </c>
      <c r="C1170" s="29" t="s">
        <v>6709</v>
      </c>
      <c r="D1170" s="29" t="s">
        <v>6710</v>
      </c>
      <c r="E1170" s="92" t="s">
        <v>3444</v>
      </c>
      <c r="F1170" s="89">
        <v>9293521</v>
      </c>
      <c r="G1170" s="29" t="s">
        <v>4943</v>
      </c>
    </row>
    <row r="1171" spans="1:7">
      <c r="A1171" s="33">
        <v>43086</v>
      </c>
      <c r="B1171" s="29" t="s">
        <v>6711</v>
      </c>
      <c r="C1171" s="29">
        <v>20089</v>
      </c>
      <c r="D1171" s="29" t="s">
        <v>6712</v>
      </c>
      <c r="E1171" s="92" t="s">
        <v>6713</v>
      </c>
      <c r="F1171" s="89">
        <v>9320353</v>
      </c>
      <c r="G1171" s="29" t="s">
        <v>4951</v>
      </c>
    </row>
    <row r="1172" spans="1:7">
      <c r="A1172" s="33">
        <v>43087</v>
      </c>
      <c r="B1172" s="29" t="s">
        <v>6714</v>
      </c>
      <c r="C1172" s="29">
        <v>19371</v>
      </c>
      <c r="D1172" s="29" t="s">
        <v>6715</v>
      </c>
      <c r="E1172" s="92" t="s">
        <v>3436</v>
      </c>
      <c r="F1172" s="89">
        <v>9321781</v>
      </c>
      <c r="G1172" s="29" t="s">
        <v>4957</v>
      </c>
    </row>
    <row r="1173" spans="1:7">
      <c r="A1173" s="33">
        <v>43088</v>
      </c>
      <c r="B1173" s="29" t="s">
        <v>6716</v>
      </c>
      <c r="C1173" s="29" t="s">
        <v>6717</v>
      </c>
      <c r="D1173" s="29" t="s">
        <v>6718</v>
      </c>
      <c r="E1173" s="92" t="s">
        <v>347</v>
      </c>
      <c r="F1173" s="89">
        <v>9324718</v>
      </c>
      <c r="G1173" s="29" t="s">
        <v>6719</v>
      </c>
    </row>
    <row r="1174" spans="1:7">
      <c r="A1174" s="33">
        <v>43089</v>
      </c>
      <c r="B1174" s="29" t="s">
        <v>6708</v>
      </c>
      <c r="C1174" s="29" t="s">
        <v>6720</v>
      </c>
      <c r="D1174" s="29" t="s">
        <v>6721</v>
      </c>
      <c r="E1174" s="92" t="s">
        <v>3384</v>
      </c>
      <c r="F1174" s="89">
        <v>9328197</v>
      </c>
      <c r="G1174" s="29" t="s">
        <v>6722</v>
      </c>
    </row>
    <row r="1175" spans="1:7">
      <c r="A1175" s="33">
        <v>43090</v>
      </c>
      <c r="B1175" s="29" t="s">
        <v>6723</v>
      </c>
      <c r="C1175" s="29" t="s">
        <v>6724</v>
      </c>
      <c r="D1175" s="29" t="s">
        <v>6725</v>
      </c>
      <c r="E1175" s="92" t="s">
        <v>2193</v>
      </c>
      <c r="F1175" s="89">
        <v>9332341</v>
      </c>
      <c r="G1175" s="29" t="s">
        <v>6726</v>
      </c>
    </row>
    <row r="1176" spans="1:7">
      <c r="A1176" s="33">
        <v>43091</v>
      </c>
      <c r="B1176" s="29">
        <v>15898</v>
      </c>
      <c r="C1176" s="29" t="s">
        <v>6727</v>
      </c>
      <c r="D1176" s="29">
        <v>11833</v>
      </c>
      <c r="E1176" s="92" t="s">
        <v>6728</v>
      </c>
      <c r="F1176" s="89">
        <v>9341705</v>
      </c>
      <c r="G1176" s="29" t="s">
        <v>6729</v>
      </c>
    </row>
    <row r="1177" spans="1:7">
      <c r="A1177" s="33">
        <v>43092</v>
      </c>
      <c r="B1177" s="29" t="s">
        <v>6730</v>
      </c>
      <c r="C1177" s="29" t="s">
        <v>6731</v>
      </c>
      <c r="D1177" s="29" t="s">
        <v>6732</v>
      </c>
      <c r="E1177" s="92" t="s">
        <v>2155</v>
      </c>
      <c r="F1177" s="89">
        <v>9342527</v>
      </c>
      <c r="G1177" s="29" t="s">
        <v>6733</v>
      </c>
    </row>
    <row r="1178" spans="1:7">
      <c r="A1178" s="33">
        <v>43093</v>
      </c>
      <c r="B1178" s="29" t="s">
        <v>6734</v>
      </c>
      <c r="C1178" s="29">
        <v>14626</v>
      </c>
      <c r="D1178" s="29" t="s">
        <v>6735</v>
      </c>
      <c r="E1178" s="92" t="s">
        <v>4052</v>
      </c>
      <c r="F1178" s="89">
        <v>9344365</v>
      </c>
      <c r="G1178" s="29" t="s">
        <v>4778</v>
      </c>
    </row>
    <row r="1179" spans="1:7">
      <c r="A1179" s="33">
        <v>43094</v>
      </c>
      <c r="B1179" s="29" t="s">
        <v>6736</v>
      </c>
      <c r="C1179" s="29">
        <v>14593</v>
      </c>
      <c r="D1179" s="29" t="s">
        <v>6737</v>
      </c>
      <c r="E1179" s="92" t="s">
        <v>3817</v>
      </c>
      <c r="F1179" s="89">
        <v>9350529</v>
      </c>
      <c r="G1179" s="29" t="s">
        <v>4980</v>
      </c>
    </row>
    <row r="1180" spans="1:7">
      <c r="A1180" s="33">
        <v>43095</v>
      </c>
      <c r="B1180" s="29" t="s">
        <v>6738</v>
      </c>
      <c r="C1180" s="29" t="s">
        <v>6739</v>
      </c>
      <c r="D1180" s="29" t="s">
        <v>6740</v>
      </c>
      <c r="E1180" s="92" t="s">
        <v>3428</v>
      </c>
      <c r="F1180" s="89">
        <v>9374888</v>
      </c>
      <c r="G1180" s="29" t="s">
        <v>6741</v>
      </c>
    </row>
    <row r="1181" spans="1:7">
      <c r="A1181" s="33">
        <v>43096</v>
      </c>
      <c r="B1181" s="29" t="s">
        <v>6742</v>
      </c>
      <c r="C1181" s="29" t="s">
        <v>6743</v>
      </c>
      <c r="D1181" s="29" t="s">
        <v>6744</v>
      </c>
      <c r="E1181" s="92" t="s">
        <v>6745</v>
      </c>
      <c r="F1181" s="89">
        <v>9375475</v>
      </c>
      <c r="G1181" s="29" t="s">
        <v>6746</v>
      </c>
    </row>
    <row r="1182" spans="1:7">
      <c r="A1182" s="33">
        <v>43097</v>
      </c>
      <c r="B1182" s="29" t="s">
        <v>6747</v>
      </c>
      <c r="C1182" s="29" t="s">
        <v>6748</v>
      </c>
      <c r="D1182" s="29" t="s">
        <v>6749</v>
      </c>
      <c r="E1182" s="92" t="s">
        <v>2191</v>
      </c>
      <c r="F1182" s="89">
        <v>9377014</v>
      </c>
      <c r="G1182" s="29" t="s">
        <v>6750</v>
      </c>
    </row>
    <row r="1183" spans="1:7">
      <c r="A1183" s="33">
        <v>43098</v>
      </c>
      <c r="B1183" s="29" t="s">
        <v>6751</v>
      </c>
      <c r="C1183" s="29">
        <v>15279</v>
      </c>
      <c r="D1183" s="29">
        <v>14307</v>
      </c>
      <c r="E1183" s="92" t="s">
        <v>4040</v>
      </c>
      <c r="F1183" s="89">
        <v>9386788</v>
      </c>
      <c r="G1183" s="29" t="s">
        <v>6699</v>
      </c>
    </row>
    <row r="1184" spans="1:7">
      <c r="A1184" s="33">
        <v>43099</v>
      </c>
      <c r="B1184" s="29" t="s">
        <v>6752</v>
      </c>
      <c r="C1184" s="29" t="s">
        <v>6752</v>
      </c>
      <c r="D1184" s="29" t="s">
        <v>6753</v>
      </c>
      <c r="E1184" s="92" t="s">
        <v>5226</v>
      </c>
      <c r="F1184" s="89">
        <v>9392875</v>
      </c>
      <c r="G1184" s="29" t="s">
        <v>4947</v>
      </c>
    </row>
    <row r="1185" spans="1:7">
      <c r="A1185" s="33">
        <v>43100</v>
      </c>
      <c r="B1185" s="29" t="s">
        <v>6754</v>
      </c>
      <c r="C1185" s="29" t="s">
        <v>6755</v>
      </c>
      <c r="D1185" s="29" t="s">
        <v>6756</v>
      </c>
      <c r="E1185" s="92" t="s">
        <v>3308</v>
      </c>
      <c r="F1185" s="89">
        <v>9411841</v>
      </c>
      <c r="G1185" s="29" t="s">
        <v>6757</v>
      </c>
    </row>
    <row r="1186" spans="1:7">
      <c r="A1186" s="33">
        <v>43101</v>
      </c>
      <c r="B1186" s="29" t="s">
        <v>6758</v>
      </c>
      <c r="C1186" s="29" t="s">
        <v>6758</v>
      </c>
      <c r="D1186" s="29" t="s">
        <v>6759</v>
      </c>
      <c r="E1186" s="92" t="s">
        <v>3408</v>
      </c>
      <c r="F1186" s="89">
        <v>9412612</v>
      </c>
      <c r="G1186" s="29" t="s">
        <v>6760</v>
      </c>
    </row>
    <row r="1187" spans="1:7">
      <c r="A1187" s="33">
        <v>43102</v>
      </c>
      <c r="B1187" s="29">
        <v>13625</v>
      </c>
      <c r="C1187" s="29" t="s">
        <v>6761</v>
      </c>
      <c r="D1187" s="29" t="s">
        <v>6762</v>
      </c>
      <c r="E1187" s="92" t="s">
        <v>4044</v>
      </c>
      <c r="F1187" s="89">
        <v>9427688</v>
      </c>
      <c r="G1187" s="29" t="s">
        <v>6763</v>
      </c>
    </row>
    <row r="1188" spans="1:7">
      <c r="A1188" s="33">
        <v>43103</v>
      </c>
      <c r="B1188" s="29" t="s">
        <v>6764</v>
      </c>
      <c r="C1188" s="29" t="s">
        <v>6765</v>
      </c>
      <c r="D1188" s="29" t="s">
        <v>6766</v>
      </c>
      <c r="E1188" s="92" t="s">
        <v>3312</v>
      </c>
      <c r="F1188" s="89">
        <v>9428333</v>
      </c>
      <c r="G1188" s="29" t="s">
        <v>6719</v>
      </c>
    </row>
    <row r="1189" spans="1:7">
      <c r="A1189" s="33">
        <v>43104</v>
      </c>
      <c r="B1189" s="29" t="s">
        <v>6767</v>
      </c>
      <c r="C1189" s="29" t="s">
        <v>6768</v>
      </c>
      <c r="D1189" s="29" t="s">
        <v>6769</v>
      </c>
      <c r="E1189" s="92" t="s">
        <v>6770</v>
      </c>
      <c r="F1189" s="89">
        <v>9439124</v>
      </c>
      <c r="G1189" s="29" t="s">
        <v>6771</v>
      </c>
    </row>
    <row r="1190" spans="1:7">
      <c r="A1190" s="33">
        <v>43105</v>
      </c>
      <c r="B1190" s="29" t="s">
        <v>6772</v>
      </c>
      <c r="C1190" s="29" t="s">
        <v>6773</v>
      </c>
      <c r="D1190" s="29" t="s">
        <v>6774</v>
      </c>
      <c r="E1190" s="92" t="s">
        <v>2246</v>
      </c>
      <c r="F1190" s="89">
        <v>9450702</v>
      </c>
      <c r="G1190" s="29" t="s">
        <v>6775</v>
      </c>
    </row>
    <row r="1191" spans="1:7">
      <c r="A1191" s="33">
        <v>43106</v>
      </c>
      <c r="B1191" s="29" t="s">
        <v>6776</v>
      </c>
      <c r="C1191" s="29" t="s">
        <v>6777</v>
      </c>
      <c r="D1191" s="29" t="s">
        <v>6778</v>
      </c>
      <c r="E1191" s="92" t="s">
        <v>3300</v>
      </c>
      <c r="F1191" s="89">
        <v>9461059</v>
      </c>
      <c r="G1191" s="29" t="s">
        <v>6779</v>
      </c>
    </row>
    <row r="1192" spans="1:7">
      <c r="A1192" s="33">
        <v>43107</v>
      </c>
      <c r="B1192" s="29" t="s">
        <v>6780</v>
      </c>
      <c r="C1192" s="29" t="s">
        <v>6781</v>
      </c>
      <c r="D1192" s="29" t="s">
        <v>6782</v>
      </c>
      <c r="E1192" s="92" t="s">
        <v>3276</v>
      </c>
      <c r="F1192" s="89">
        <v>9475277</v>
      </c>
      <c r="G1192" s="29" t="s">
        <v>6783</v>
      </c>
    </row>
    <row r="1193" spans="1:7">
      <c r="A1193" s="33">
        <v>43108</v>
      </c>
      <c r="B1193" s="29" t="s">
        <v>6784</v>
      </c>
      <c r="C1193" s="29" t="s">
        <v>6785</v>
      </c>
      <c r="D1193" s="29" t="s">
        <v>6786</v>
      </c>
      <c r="E1193" s="92" t="s">
        <v>3344</v>
      </c>
      <c r="F1193" s="89">
        <v>9477642</v>
      </c>
      <c r="G1193" s="29" t="s">
        <v>6787</v>
      </c>
    </row>
    <row r="1194" spans="1:7">
      <c r="A1194" s="33">
        <v>43109</v>
      </c>
      <c r="B1194" s="29" t="s">
        <v>6788</v>
      </c>
      <c r="C1194" s="29" t="s">
        <v>6789</v>
      </c>
      <c r="D1194" s="29">
        <v>14424</v>
      </c>
      <c r="E1194" s="92" t="s">
        <v>4048</v>
      </c>
      <c r="F1194" s="89">
        <v>9477678</v>
      </c>
      <c r="G1194" s="29" t="s">
        <v>6790</v>
      </c>
    </row>
    <row r="1195" spans="1:7">
      <c r="A1195" s="33">
        <v>43110</v>
      </c>
      <c r="B1195" s="29" t="s">
        <v>6791</v>
      </c>
      <c r="C1195" s="29" t="s">
        <v>6792</v>
      </c>
      <c r="D1195" s="29" t="s">
        <v>6793</v>
      </c>
      <c r="E1195" s="92" t="s">
        <v>3607</v>
      </c>
      <c r="F1195" s="89">
        <v>9480255</v>
      </c>
      <c r="G1195" s="29" t="s">
        <v>6794</v>
      </c>
    </row>
    <row r="1196" spans="1:7">
      <c r="A1196" s="33">
        <v>43111</v>
      </c>
      <c r="B1196" s="29" t="s">
        <v>6795</v>
      </c>
      <c r="C1196" s="29" t="s">
        <v>6796</v>
      </c>
      <c r="D1196" s="29" t="s">
        <v>6797</v>
      </c>
      <c r="E1196" s="92" t="s">
        <v>3404</v>
      </c>
      <c r="F1196" s="89">
        <v>9508993</v>
      </c>
      <c r="G1196" s="29" t="s">
        <v>6726</v>
      </c>
    </row>
    <row r="1197" spans="1:7">
      <c r="A1197" s="33">
        <v>43112</v>
      </c>
      <c r="B1197" s="29" t="s">
        <v>6798</v>
      </c>
      <c r="C1197" s="29" t="s">
        <v>6799</v>
      </c>
      <c r="D1197" s="29" t="s">
        <v>6800</v>
      </c>
      <c r="E1197" s="92" t="s">
        <v>6801</v>
      </c>
      <c r="F1197" s="89">
        <v>9519146</v>
      </c>
      <c r="G1197" s="29" t="s">
        <v>6757</v>
      </c>
    </row>
    <row r="1198" spans="1:7">
      <c r="A1198" s="33">
        <v>43113</v>
      </c>
      <c r="B1198" s="29" t="s">
        <v>6802</v>
      </c>
      <c r="C1198" s="29" t="s">
        <v>6803</v>
      </c>
      <c r="D1198" s="29" t="s">
        <v>6802</v>
      </c>
      <c r="E1198" s="92" t="s">
        <v>3388</v>
      </c>
      <c r="F1198" s="89">
        <v>9522981</v>
      </c>
      <c r="G1198" s="29" t="s">
        <v>6804</v>
      </c>
    </row>
    <row r="1199" spans="1:7">
      <c r="A1199" s="33">
        <v>43114</v>
      </c>
      <c r="B1199" s="29" t="s">
        <v>6805</v>
      </c>
      <c r="C1199" s="29" t="s">
        <v>6806</v>
      </c>
      <c r="D1199" s="29">
        <v>13268</v>
      </c>
      <c r="E1199" s="92" t="s">
        <v>6807</v>
      </c>
      <c r="F1199" s="89">
        <v>9525363</v>
      </c>
      <c r="G1199" s="29" t="s">
        <v>6808</v>
      </c>
    </row>
    <row r="1200" spans="1:7">
      <c r="A1200" s="33">
        <v>43115</v>
      </c>
      <c r="B1200" s="29" t="s">
        <v>6809</v>
      </c>
      <c r="C1200" s="29" t="s">
        <v>6810</v>
      </c>
      <c r="D1200" s="29" t="s">
        <v>6811</v>
      </c>
      <c r="E1200" s="92" t="s">
        <v>3316</v>
      </c>
      <c r="F1200" s="89">
        <v>9525751</v>
      </c>
      <c r="G1200" s="29" t="s">
        <v>6804</v>
      </c>
    </row>
    <row r="1201" spans="1:7">
      <c r="A1201" s="33">
        <v>43116</v>
      </c>
      <c r="B1201" s="29" t="s">
        <v>6812</v>
      </c>
      <c r="C1201" s="29" t="s">
        <v>6813</v>
      </c>
      <c r="D1201" s="29" t="s">
        <v>6814</v>
      </c>
      <c r="E1201" s="92" t="s">
        <v>3328</v>
      </c>
      <c r="F1201" s="89">
        <v>9529804</v>
      </c>
      <c r="G1201" s="29" t="s">
        <v>6815</v>
      </c>
    </row>
    <row r="1202" spans="1:7">
      <c r="A1202" s="33">
        <v>43117</v>
      </c>
      <c r="B1202" s="29" t="s">
        <v>6816</v>
      </c>
      <c r="C1202" s="29">
        <v>11678</v>
      </c>
      <c r="D1202" s="29" t="s">
        <v>6817</v>
      </c>
      <c r="E1202" s="92" t="s">
        <v>3268</v>
      </c>
      <c r="F1202" s="89">
        <v>9536893</v>
      </c>
      <c r="G1202" s="29" t="s">
        <v>6818</v>
      </c>
    </row>
    <row r="1203" spans="1:7">
      <c r="A1203" s="33">
        <v>43118</v>
      </c>
      <c r="B1203" s="29" t="s">
        <v>6819</v>
      </c>
      <c r="C1203" s="29" t="s">
        <v>6820</v>
      </c>
      <c r="D1203" s="29" t="s">
        <v>6821</v>
      </c>
      <c r="E1203" s="92" t="s">
        <v>6822</v>
      </c>
      <c r="F1203" s="89">
        <v>9538024</v>
      </c>
      <c r="G1203" s="29" t="s">
        <v>4778</v>
      </c>
    </row>
    <row r="1204" spans="1:7">
      <c r="A1204" s="33">
        <v>43119</v>
      </c>
      <c r="B1204" s="29" t="s">
        <v>6823</v>
      </c>
      <c r="C1204" s="29" t="s">
        <v>6824</v>
      </c>
      <c r="D1204" s="29" t="s">
        <v>6825</v>
      </c>
      <c r="E1204" s="92" t="s">
        <v>3324</v>
      </c>
      <c r="F1204" s="89">
        <v>9551715</v>
      </c>
      <c r="G1204" s="29" t="s">
        <v>4980</v>
      </c>
    </row>
    <row r="1205" spans="1:7">
      <c r="A1205" s="33">
        <v>43120</v>
      </c>
      <c r="B1205" s="29" t="s">
        <v>6826</v>
      </c>
      <c r="C1205" s="29">
        <v>13103</v>
      </c>
      <c r="D1205" s="29" t="s">
        <v>6826</v>
      </c>
      <c r="E1205" s="92" t="s">
        <v>6827</v>
      </c>
      <c r="F1205" s="89">
        <v>9581072</v>
      </c>
      <c r="G1205" s="29" t="s">
        <v>6828</v>
      </c>
    </row>
    <row r="1206" spans="1:7">
      <c r="A1206" s="33">
        <v>43121</v>
      </c>
      <c r="B1206" s="29" t="s">
        <v>6829</v>
      </c>
      <c r="C1206" s="29" t="s">
        <v>6830</v>
      </c>
      <c r="D1206" s="29" t="s">
        <v>6831</v>
      </c>
      <c r="E1206" s="92" t="s">
        <v>6832</v>
      </c>
      <c r="F1206" s="89">
        <v>9593896</v>
      </c>
      <c r="G1206" s="29" t="s">
        <v>6833</v>
      </c>
    </row>
    <row r="1207" spans="1:7">
      <c r="A1207" s="33">
        <v>43122</v>
      </c>
      <c r="B1207" s="29" t="s">
        <v>6834</v>
      </c>
      <c r="C1207" s="29" t="s">
        <v>6835</v>
      </c>
      <c r="D1207" s="29" t="s">
        <v>6836</v>
      </c>
      <c r="E1207" s="92" t="s">
        <v>3523</v>
      </c>
      <c r="F1207" s="89">
        <v>9598174</v>
      </c>
      <c r="G1207" s="29" t="s">
        <v>6837</v>
      </c>
    </row>
    <row r="1208" spans="1:7">
      <c r="A1208" s="33">
        <v>43123</v>
      </c>
      <c r="B1208" s="29" t="s">
        <v>6838</v>
      </c>
      <c r="C1208" s="29" t="s">
        <v>6839</v>
      </c>
      <c r="D1208" s="29" t="s">
        <v>6840</v>
      </c>
      <c r="E1208" s="92" t="s">
        <v>6841</v>
      </c>
      <c r="F1208" s="89">
        <v>9607424</v>
      </c>
      <c r="G1208" s="29" t="s">
        <v>6842</v>
      </c>
    </row>
    <row r="1209" spans="1:7">
      <c r="A1209" s="33">
        <v>43124</v>
      </c>
      <c r="B1209" s="29" t="s">
        <v>6843</v>
      </c>
      <c r="C1209" s="29" t="s">
        <v>6844</v>
      </c>
      <c r="D1209" s="29" t="s">
        <v>6845</v>
      </c>
      <c r="E1209" s="92" t="s">
        <v>3332</v>
      </c>
      <c r="F1209" s="89">
        <v>9608476</v>
      </c>
      <c r="G1209" s="29" t="s">
        <v>6833</v>
      </c>
    </row>
    <row r="1210" spans="1:7">
      <c r="A1210" s="33">
        <v>43125</v>
      </c>
      <c r="B1210" s="29" t="s">
        <v>6846</v>
      </c>
      <c r="C1210" s="29" t="s">
        <v>6847</v>
      </c>
      <c r="D1210" s="29" t="s">
        <v>6848</v>
      </c>
      <c r="E1210" s="92" t="s">
        <v>6849</v>
      </c>
      <c r="F1210" s="89">
        <v>9613424</v>
      </c>
      <c r="G1210" s="29" t="s">
        <v>6850</v>
      </c>
    </row>
    <row r="1211" spans="1:7">
      <c r="A1211" s="33">
        <v>43126</v>
      </c>
      <c r="B1211" s="29">
        <v>11256</v>
      </c>
      <c r="C1211" s="29" t="s">
        <v>6851</v>
      </c>
      <c r="D1211" s="29" t="s">
        <v>6852</v>
      </c>
      <c r="E1211" s="92" t="s">
        <v>3260</v>
      </c>
      <c r="F1211" s="89">
        <v>9629658</v>
      </c>
      <c r="G1211" s="29" t="s">
        <v>6853</v>
      </c>
    </row>
    <row r="1212" spans="1:7">
      <c r="A1212" s="33">
        <v>43127</v>
      </c>
      <c r="B1212" s="29" t="s">
        <v>6854</v>
      </c>
      <c r="C1212" s="29" t="s">
        <v>6855</v>
      </c>
      <c r="D1212" s="29" t="s">
        <v>6856</v>
      </c>
      <c r="E1212" s="92" t="s">
        <v>3304</v>
      </c>
      <c r="F1212" s="89">
        <v>9630664</v>
      </c>
      <c r="G1212" s="29" t="s">
        <v>6857</v>
      </c>
    </row>
    <row r="1213" spans="1:7">
      <c r="A1213" s="33">
        <v>43128</v>
      </c>
      <c r="B1213" s="29" t="s">
        <v>6858</v>
      </c>
      <c r="C1213" s="29" t="s">
        <v>6859</v>
      </c>
      <c r="D1213" s="29" t="s">
        <v>6858</v>
      </c>
      <c r="E1213" s="92" t="s">
        <v>3288</v>
      </c>
      <c r="F1213" s="89">
        <v>9633387</v>
      </c>
      <c r="G1213" s="29" t="s">
        <v>6860</v>
      </c>
    </row>
    <row r="1214" spans="1:7">
      <c r="A1214" s="33">
        <v>43129</v>
      </c>
      <c r="B1214" s="29" t="s">
        <v>6861</v>
      </c>
      <c r="C1214" s="29" t="s">
        <v>6862</v>
      </c>
      <c r="D1214" s="29" t="s">
        <v>6863</v>
      </c>
      <c r="E1214" s="92" t="s">
        <v>3981</v>
      </c>
      <c r="F1214" s="89">
        <v>9648718</v>
      </c>
      <c r="G1214" s="29" t="s">
        <v>6864</v>
      </c>
    </row>
    <row r="1215" spans="1:7">
      <c r="A1215" s="33">
        <v>43130</v>
      </c>
      <c r="B1215" s="29" t="s">
        <v>6865</v>
      </c>
      <c r="C1215" s="29" t="s">
        <v>6866</v>
      </c>
      <c r="D1215" s="29" t="s">
        <v>6867</v>
      </c>
      <c r="E1215" s="92" t="s">
        <v>4004</v>
      </c>
      <c r="F1215" s="89">
        <v>9650175</v>
      </c>
      <c r="G1215" s="29" t="s">
        <v>6868</v>
      </c>
    </row>
    <row r="1216" spans="1:7">
      <c r="A1216" s="33">
        <v>43131</v>
      </c>
      <c r="B1216" s="29" t="s">
        <v>6869</v>
      </c>
      <c r="C1216" s="29" t="s">
        <v>6870</v>
      </c>
      <c r="D1216" s="29" t="s">
        <v>6871</v>
      </c>
      <c r="E1216" s="92" t="s">
        <v>3340</v>
      </c>
      <c r="F1216" s="89">
        <v>9656718</v>
      </c>
      <c r="G1216" s="29" t="s">
        <v>6872</v>
      </c>
    </row>
    <row r="1217" spans="1:7">
      <c r="A1217" s="33">
        <v>43132</v>
      </c>
      <c r="B1217" s="29" t="s">
        <v>6873</v>
      </c>
      <c r="C1217" s="29" t="s">
        <v>6874</v>
      </c>
      <c r="D1217" s="29" t="s">
        <v>6875</v>
      </c>
      <c r="E1217" s="92" t="s">
        <v>4000</v>
      </c>
      <c r="F1217" s="89">
        <v>9663182</v>
      </c>
      <c r="G1217" s="29" t="s">
        <v>6876</v>
      </c>
    </row>
    <row r="1218" spans="1:7">
      <c r="A1218" s="33">
        <v>43133</v>
      </c>
      <c r="B1218" s="29" t="s">
        <v>6877</v>
      </c>
      <c r="C1218" s="29" t="s">
        <v>6877</v>
      </c>
      <c r="D1218" s="29" t="s">
        <v>6878</v>
      </c>
      <c r="E1218" s="92" t="s">
        <v>4008</v>
      </c>
      <c r="F1218" s="89">
        <v>9665533</v>
      </c>
      <c r="G1218" s="29" t="s">
        <v>4943</v>
      </c>
    </row>
    <row r="1219" spans="1:7">
      <c r="A1219" s="33">
        <v>43134</v>
      </c>
      <c r="B1219" s="29" t="s">
        <v>6879</v>
      </c>
      <c r="C1219" s="29" t="s">
        <v>6880</v>
      </c>
      <c r="D1219" s="29" t="s">
        <v>6881</v>
      </c>
      <c r="E1219" s="92" t="s">
        <v>3336</v>
      </c>
      <c r="F1219" s="89">
        <v>9670739</v>
      </c>
      <c r="G1219" s="29" t="s">
        <v>6882</v>
      </c>
    </row>
    <row r="1220" spans="1:7">
      <c r="A1220" s="33">
        <v>43135</v>
      </c>
      <c r="B1220" s="29" t="s">
        <v>6883</v>
      </c>
      <c r="C1220" s="29" t="s">
        <v>6884</v>
      </c>
      <c r="D1220" s="29" t="s">
        <v>6885</v>
      </c>
      <c r="E1220" s="92" t="s">
        <v>6886</v>
      </c>
      <c r="F1220" s="89">
        <v>9677113</v>
      </c>
      <c r="G1220" s="29" t="s">
        <v>6887</v>
      </c>
    </row>
    <row r="1221" spans="1:7">
      <c r="A1221" s="33">
        <v>43136</v>
      </c>
      <c r="B1221" s="29" t="s">
        <v>6888</v>
      </c>
      <c r="C1221" s="29" t="s">
        <v>6889</v>
      </c>
      <c r="D1221" s="29" t="s">
        <v>6890</v>
      </c>
      <c r="E1221" s="92" t="s">
        <v>3993</v>
      </c>
      <c r="F1221" s="89">
        <v>9686441</v>
      </c>
      <c r="G1221" s="29" t="s">
        <v>6891</v>
      </c>
    </row>
    <row r="1222" spans="1:7">
      <c r="A1222" s="33">
        <v>43137</v>
      </c>
      <c r="B1222" s="29" t="s">
        <v>6892</v>
      </c>
      <c r="C1222" s="29" t="s">
        <v>6893</v>
      </c>
      <c r="D1222" s="29" t="s">
        <v>6894</v>
      </c>
      <c r="E1222" s="92" t="s">
        <v>3320</v>
      </c>
      <c r="F1222" s="89">
        <v>9690143</v>
      </c>
      <c r="G1222" s="29" t="s">
        <v>6895</v>
      </c>
    </row>
    <row r="1223" spans="1:7">
      <c r="A1223" s="33">
        <v>43138</v>
      </c>
      <c r="B1223" s="29" t="s">
        <v>6896</v>
      </c>
      <c r="C1223" s="29" t="s">
        <v>6897</v>
      </c>
      <c r="D1223" s="29" t="s">
        <v>6898</v>
      </c>
      <c r="E1223" s="92" t="s">
        <v>3264</v>
      </c>
      <c r="F1223" s="89">
        <v>9693803</v>
      </c>
      <c r="G1223" s="29" t="s">
        <v>6899</v>
      </c>
    </row>
    <row r="1224" spans="1:7">
      <c r="A1224" s="33">
        <v>43139</v>
      </c>
      <c r="B1224" s="29" t="s">
        <v>6900</v>
      </c>
      <c r="C1224" s="29" t="s">
        <v>6901</v>
      </c>
      <c r="D1224" s="29" t="s">
        <v>6900</v>
      </c>
      <c r="E1224" s="92" t="s">
        <v>3527</v>
      </c>
      <c r="F1224" s="89">
        <v>9700414</v>
      </c>
      <c r="G1224" s="29" t="s">
        <v>6902</v>
      </c>
    </row>
    <row r="1225" spans="1:7">
      <c r="A1225" s="33">
        <v>43140</v>
      </c>
      <c r="B1225" s="29" t="s">
        <v>6903</v>
      </c>
      <c r="C1225" s="29" t="s">
        <v>4838</v>
      </c>
      <c r="D1225" s="29" t="s">
        <v>6904</v>
      </c>
      <c r="E1225" s="92" t="s">
        <v>3857</v>
      </c>
      <c r="F1225" s="89">
        <v>9726575</v>
      </c>
      <c r="G1225" s="29" t="s">
        <v>6657</v>
      </c>
    </row>
    <row r="1226" spans="1:7">
      <c r="A1226" s="33">
        <v>43141</v>
      </c>
      <c r="B1226" s="29" t="s">
        <v>6905</v>
      </c>
      <c r="C1226" s="29" t="s">
        <v>6906</v>
      </c>
      <c r="D1226" s="29" t="s">
        <v>6907</v>
      </c>
      <c r="E1226" s="92" t="s">
        <v>3531</v>
      </c>
      <c r="F1226" s="89">
        <v>9729038</v>
      </c>
      <c r="G1226" s="29" t="s">
        <v>6908</v>
      </c>
    </row>
    <row r="1227" spans="1:7">
      <c r="A1227" s="33">
        <v>43142</v>
      </c>
      <c r="B1227" s="29" t="s">
        <v>6909</v>
      </c>
      <c r="C1227" s="29" t="s">
        <v>4778</v>
      </c>
      <c r="D1227" s="29" t="s">
        <v>6910</v>
      </c>
      <c r="E1227" s="92" t="s">
        <v>3448</v>
      </c>
      <c r="F1227" s="89">
        <v>9729324</v>
      </c>
      <c r="G1227" s="29" t="s">
        <v>6911</v>
      </c>
    </row>
    <row r="1228" spans="1:7">
      <c r="A1228" s="33">
        <v>43143</v>
      </c>
      <c r="B1228" s="29" t="s">
        <v>6912</v>
      </c>
      <c r="C1228" s="29" t="s">
        <v>6913</v>
      </c>
      <c r="D1228" s="29" t="s">
        <v>6912</v>
      </c>
      <c r="E1228" s="92" t="s">
        <v>3452</v>
      </c>
      <c r="F1228" s="89">
        <v>9729802</v>
      </c>
      <c r="G1228" s="29" t="s">
        <v>6594</v>
      </c>
    </row>
    <row r="1229" spans="1:7">
      <c r="A1229" s="33">
        <v>43144</v>
      </c>
      <c r="B1229" s="29" t="s">
        <v>6914</v>
      </c>
      <c r="C1229" s="29" t="s">
        <v>6915</v>
      </c>
      <c r="D1229" s="29" t="s">
        <v>6916</v>
      </c>
      <c r="E1229" s="92" t="s">
        <v>3456</v>
      </c>
      <c r="F1229" s="89">
        <v>9733722</v>
      </c>
      <c r="G1229" s="29" t="s">
        <v>6917</v>
      </c>
    </row>
    <row r="1230" spans="1:7">
      <c r="A1230" s="33">
        <v>43145</v>
      </c>
      <c r="B1230" s="29" t="s">
        <v>6918</v>
      </c>
      <c r="C1230" s="29" t="s">
        <v>6919</v>
      </c>
      <c r="D1230" s="29" t="s">
        <v>6918</v>
      </c>
      <c r="E1230" s="92" t="s">
        <v>3396</v>
      </c>
      <c r="F1230" s="89">
        <v>9754423</v>
      </c>
      <c r="G1230" s="29" t="s">
        <v>6920</v>
      </c>
    </row>
    <row r="1231" spans="1:7">
      <c r="A1231" s="33">
        <v>43146</v>
      </c>
      <c r="B1231" s="29" t="s">
        <v>6921</v>
      </c>
      <c r="C1231" s="29" t="s">
        <v>6922</v>
      </c>
      <c r="D1231" s="29" t="s">
        <v>6923</v>
      </c>
      <c r="E1231" s="92" t="s">
        <v>4012</v>
      </c>
      <c r="F1231" s="89">
        <v>9757971</v>
      </c>
      <c r="G1231" s="29" t="s">
        <v>6924</v>
      </c>
    </row>
    <row r="1232" spans="1:7">
      <c r="A1232" s="33">
        <v>43147</v>
      </c>
      <c r="B1232" s="29" t="s">
        <v>6925</v>
      </c>
      <c r="C1232" s="29" t="s">
        <v>6926</v>
      </c>
      <c r="D1232" s="29" t="s">
        <v>6927</v>
      </c>
      <c r="E1232" s="92" t="s">
        <v>6928</v>
      </c>
      <c r="F1232" s="89">
        <v>9758853</v>
      </c>
      <c r="G1232" s="29" t="s">
        <v>6929</v>
      </c>
    </row>
    <row r="1233" spans="1:7">
      <c r="A1233" s="33">
        <v>43148</v>
      </c>
      <c r="B1233" s="29" t="s">
        <v>6930</v>
      </c>
      <c r="C1233" s="29" t="s">
        <v>4778</v>
      </c>
      <c r="D1233" s="29" t="s">
        <v>6931</v>
      </c>
      <c r="E1233" s="92" t="s">
        <v>6932</v>
      </c>
      <c r="F1233" s="89">
        <v>9771489</v>
      </c>
      <c r="G1233" s="29" t="s">
        <v>6933</v>
      </c>
    </row>
    <row r="1234" spans="1:7">
      <c r="A1234" s="33">
        <v>43149</v>
      </c>
      <c r="B1234" s="29" t="s">
        <v>6934</v>
      </c>
      <c r="C1234" s="29" t="s">
        <v>6935</v>
      </c>
      <c r="D1234" s="29">
        <v>10326</v>
      </c>
      <c r="E1234" s="92" t="s">
        <v>3985</v>
      </c>
      <c r="F1234" s="89">
        <v>9795943</v>
      </c>
      <c r="G1234" s="29" t="s">
        <v>6936</v>
      </c>
    </row>
    <row r="1235" spans="1:7">
      <c r="A1235" s="33">
        <v>43150</v>
      </c>
      <c r="B1235" s="29" t="s">
        <v>6937</v>
      </c>
      <c r="C1235" s="29" t="s">
        <v>6938</v>
      </c>
      <c r="D1235" s="29" t="s">
        <v>6939</v>
      </c>
      <c r="E1235" s="92" t="s">
        <v>3400</v>
      </c>
      <c r="F1235" s="89">
        <v>9800637</v>
      </c>
      <c r="G1235" s="29" t="s">
        <v>6940</v>
      </c>
    </row>
    <row r="1236" spans="1:7">
      <c r="A1236" s="33">
        <v>43151</v>
      </c>
      <c r="B1236" s="29" t="s">
        <v>6941</v>
      </c>
      <c r="C1236" s="29" t="s">
        <v>6942</v>
      </c>
      <c r="D1236" s="29" t="s">
        <v>6941</v>
      </c>
      <c r="E1236" s="92" t="s">
        <v>5140</v>
      </c>
      <c r="F1236" s="89">
        <v>9811926</v>
      </c>
      <c r="G1236" s="29" t="s">
        <v>6943</v>
      </c>
    </row>
    <row r="1237" spans="1:7">
      <c r="A1237" s="33">
        <v>43152</v>
      </c>
      <c r="B1237" s="29" t="s">
        <v>6944</v>
      </c>
      <c r="C1237" s="29" t="s">
        <v>6945</v>
      </c>
      <c r="D1237" s="29" t="s">
        <v>6946</v>
      </c>
      <c r="E1237" s="92" t="s">
        <v>3284</v>
      </c>
      <c r="F1237" s="89">
        <v>9842666</v>
      </c>
      <c r="G1237" s="29" t="s">
        <v>6947</v>
      </c>
    </row>
    <row r="1238" spans="1:7">
      <c r="A1238" s="33">
        <v>43153</v>
      </c>
      <c r="B1238" s="29" t="s">
        <v>6948</v>
      </c>
      <c r="C1238" s="29" t="s">
        <v>6949</v>
      </c>
      <c r="D1238" s="29" t="s">
        <v>6950</v>
      </c>
      <c r="E1238" s="92" t="s">
        <v>3280</v>
      </c>
      <c r="F1238" s="89">
        <v>9856611</v>
      </c>
      <c r="G1238" s="29" t="s">
        <v>6872</v>
      </c>
    </row>
    <row r="1239" spans="1:7">
      <c r="A1239" s="33">
        <v>43154</v>
      </c>
      <c r="B1239" s="29" t="s">
        <v>6951</v>
      </c>
      <c r="C1239" s="29" t="s">
        <v>6952</v>
      </c>
      <c r="D1239" s="29" t="s">
        <v>6953</v>
      </c>
      <c r="E1239" s="92" t="s">
        <v>6954</v>
      </c>
      <c r="F1239" s="89">
        <v>9865119</v>
      </c>
      <c r="G1239" s="29" t="s">
        <v>6955</v>
      </c>
    </row>
    <row r="1240" spans="1:7">
      <c r="A1240" s="33">
        <v>43155</v>
      </c>
      <c r="B1240" s="29" t="s">
        <v>6956</v>
      </c>
      <c r="C1240" s="29" t="s">
        <v>6957</v>
      </c>
      <c r="D1240" s="29" t="s">
        <v>6958</v>
      </c>
      <c r="E1240" s="92" t="s">
        <v>3989</v>
      </c>
      <c r="F1240" s="89">
        <v>9870095</v>
      </c>
      <c r="G1240" s="29" t="s">
        <v>6959</v>
      </c>
    </row>
    <row r="1241" spans="1:7">
      <c r="A1241" s="33">
        <v>43156</v>
      </c>
      <c r="B1241" s="29" t="s">
        <v>6960</v>
      </c>
      <c r="C1241" s="29" t="s">
        <v>6961</v>
      </c>
      <c r="D1241" s="29" t="s">
        <v>6962</v>
      </c>
      <c r="E1241" s="92" t="s">
        <v>3252</v>
      </c>
      <c r="F1241" s="89">
        <v>9870304</v>
      </c>
      <c r="G1241" s="29" t="s">
        <v>6963</v>
      </c>
    </row>
    <row r="1242" spans="1:7">
      <c r="A1242" s="33">
        <v>43157</v>
      </c>
      <c r="B1242" s="29" t="s">
        <v>6964</v>
      </c>
      <c r="C1242" s="29">
        <v>10475</v>
      </c>
      <c r="D1242" s="29" t="s">
        <v>6965</v>
      </c>
      <c r="E1242" s="92" t="s">
        <v>3996</v>
      </c>
      <c r="F1242" s="89">
        <v>9889425</v>
      </c>
      <c r="G1242" s="29" t="s">
        <v>6966</v>
      </c>
    </row>
    <row r="1243" spans="1:7">
      <c r="A1243" s="33">
        <v>43158</v>
      </c>
      <c r="B1243" s="29" t="s">
        <v>6967</v>
      </c>
      <c r="C1243" s="29" t="s">
        <v>6968</v>
      </c>
      <c r="D1243" s="29" t="s">
        <v>6969</v>
      </c>
      <c r="E1243" s="92" t="s">
        <v>3480</v>
      </c>
      <c r="F1243" s="89">
        <v>9900768</v>
      </c>
      <c r="G1243" s="29" t="s">
        <v>6970</v>
      </c>
    </row>
    <row r="1244" spans="1:7">
      <c r="A1244" s="33">
        <v>43159</v>
      </c>
      <c r="B1244" s="29" t="s">
        <v>6971</v>
      </c>
      <c r="C1244" s="29" t="s">
        <v>6972</v>
      </c>
      <c r="D1244" s="29" t="s">
        <v>6973</v>
      </c>
      <c r="E1244" s="92" t="s">
        <v>4016</v>
      </c>
      <c r="F1244" s="89">
        <v>9905167</v>
      </c>
      <c r="G1244" s="29" t="s">
        <v>6974</v>
      </c>
    </row>
    <row r="1245" spans="1:7">
      <c r="A1245" s="33">
        <v>43160</v>
      </c>
      <c r="B1245" s="29">
        <v>10385</v>
      </c>
      <c r="C1245" s="29" t="s">
        <v>6975</v>
      </c>
      <c r="D1245" s="29" t="s">
        <v>6976</v>
      </c>
      <c r="E1245" s="92" t="s">
        <v>344</v>
      </c>
      <c r="F1245" s="89">
        <v>9911842</v>
      </c>
      <c r="G1245" s="29" t="s">
        <v>6977</v>
      </c>
    </row>
    <row r="1246" spans="1:7">
      <c r="A1246" s="33">
        <v>43161</v>
      </c>
      <c r="B1246" s="29" t="s">
        <v>6978</v>
      </c>
      <c r="C1246" s="29">
        <v>11189</v>
      </c>
      <c r="D1246" s="29" t="s">
        <v>6979</v>
      </c>
      <c r="E1246" s="92" t="s">
        <v>6980</v>
      </c>
      <c r="F1246" s="89">
        <v>9934434</v>
      </c>
      <c r="G1246" s="29" t="s">
        <v>6981</v>
      </c>
    </row>
    <row r="1247" spans="1:7">
      <c r="A1247" s="33">
        <v>43162</v>
      </c>
      <c r="B1247" s="29" t="s">
        <v>6982</v>
      </c>
      <c r="C1247" s="29" t="s">
        <v>6983</v>
      </c>
      <c r="D1247" s="29" t="s">
        <v>6984</v>
      </c>
      <c r="E1247" s="92" t="s">
        <v>3272</v>
      </c>
      <c r="F1247" s="89" t="s">
        <v>4778</v>
      </c>
      <c r="G1247" s="29" t="s">
        <v>6985</v>
      </c>
    </row>
    <row r="1248" spans="1:7">
      <c r="A1248" s="33">
        <v>43163</v>
      </c>
      <c r="B1248" s="29" t="s">
        <v>6986</v>
      </c>
      <c r="C1248" s="29" t="s">
        <v>6987</v>
      </c>
      <c r="D1248" s="29" t="s">
        <v>6988</v>
      </c>
      <c r="E1248" s="92" t="s">
        <v>6989</v>
      </c>
      <c r="F1248" s="89" t="s">
        <v>4778</v>
      </c>
      <c r="G1248" s="29" t="s">
        <v>6990</v>
      </c>
    </row>
    <row r="1249" spans="1:7">
      <c r="A1249" s="33">
        <v>43164</v>
      </c>
      <c r="B1249" s="29" t="s">
        <v>6991</v>
      </c>
      <c r="C1249" s="29" t="s">
        <v>6992</v>
      </c>
      <c r="D1249" s="29" t="s">
        <v>6993</v>
      </c>
      <c r="E1249" s="92" t="s">
        <v>3861</v>
      </c>
      <c r="F1249" s="89" t="s">
        <v>4778</v>
      </c>
      <c r="G1249" s="29" t="s">
        <v>6994</v>
      </c>
    </row>
    <row r="1250" spans="1:7">
      <c r="A1250" s="33">
        <v>43165</v>
      </c>
      <c r="B1250" s="29" t="s">
        <v>6995</v>
      </c>
      <c r="C1250" s="29" t="s">
        <v>6995</v>
      </c>
      <c r="D1250" s="29" t="s">
        <v>6996</v>
      </c>
      <c r="E1250" s="92" t="s">
        <v>3392</v>
      </c>
      <c r="F1250" s="89" t="s">
        <v>4778</v>
      </c>
      <c r="G1250" s="29" t="s">
        <v>6997</v>
      </c>
    </row>
    <row r="1251" spans="1:7">
      <c r="A1251" s="33">
        <v>43166</v>
      </c>
      <c r="B1251" s="29" t="s">
        <v>6998</v>
      </c>
      <c r="C1251" s="29" t="s">
        <v>6999</v>
      </c>
      <c r="D1251" s="29" t="s">
        <v>7000</v>
      </c>
      <c r="E1251" s="92" t="s">
        <v>3296</v>
      </c>
      <c r="F1251" s="89" t="s">
        <v>4778</v>
      </c>
      <c r="G1251" s="29" t="s">
        <v>7001</v>
      </c>
    </row>
    <row r="1252" spans="1:7">
      <c r="A1252" s="33">
        <v>43167</v>
      </c>
      <c r="B1252" s="29" t="s">
        <v>7002</v>
      </c>
      <c r="C1252" s="29" t="s">
        <v>7003</v>
      </c>
      <c r="D1252" s="29" t="s">
        <v>7004</v>
      </c>
      <c r="E1252" s="92" t="s">
        <v>7005</v>
      </c>
      <c r="F1252" s="89" t="s">
        <v>4778</v>
      </c>
      <c r="G1252" s="29" t="s">
        <v>7006</v>
      </c>
    </row>
    <row r="1253" spans="1:7">
      <c r="A1253" s="33">
        <v>43168</v>
      </c>
      <c r="B1253" s="29" t="s">
        <v>7007</v>
      </c>
      <c r="C1253" s="29" t="s">
        <v>7008</v>
      </c>
      <c r="D1253" s="29" t="s">
        <v>7009</v>
      </c>
      <c r="E1253" s="92" t="s">
        <v>3543</v>
      </c>
      <c r="F1253" s="89" t="s">
        <v>4778</v>
      </c>
      <c r="G1253" s="29" t="s">
        <v>7010</v>
      </c>
    </row>
    <row r="1254" spans="1:7">
      <c r="A1254" s="33">
        <v>43169</v>
      </c>
      <c r="B1254" s="29" t="s">
        <v>7011</v>
      </c>
      <c r="C1254" s="29" t="s">
        <v>7012</v>
      </c>
      <c r="D1254" s="29" t="s">
        <v>7013</v>
      </c>
      <c r="E1254" s="92" t="s">
        <v>3555</v>
      </c>
      <c r="F1254" s="89" t="s">
        <v>4778</v>
      </c>
      <c r="G1254" s="29" t="s">
        <v>7014</v>
      </c>
    </row>
    <row r="1255" spans="1:7">
      <c r="A1255" s="33">
        <v>43170</v>
      </c>
      <c r="B1255" s="29" t="s">
        <v>7015</v>
      </c>
      <c r="C1255" s="29" t="s">
        <v>7016</v>
      </c>
      <c r="D1255" s="29" t="s">
        <v>7017</v>
      </c>
      <c r="E1255" s="92" t="s">
        <v>3504</v>
      </c>
      <c r="F1255" s="89" t="s">
        <v>4778</v>
      </c>
      <c r="G1255" s="29" t="s">
        <v>7018</v>
      </c>
    </row>
    <row r="1256" spans="1:7">
      <c r="A1256" s="33">
        <v>43171</v>
      </c>
      <c r="B1256" s="29" t="s">
        <v>7019</v>
      </c>
      <c r="C1256" s="29" t="s">
        <v>7020</v>
      </c>
      <c r="D1256" s="29" t="s">
        <v>7021</v>
      </c>
      <c r="E1256" s="92" t="s">
        <v>3535</v>
      </c>
      <c r="F1256" s="89" t="s">
        <v>4778</v>
      </c>
      <c r="G1256" s="29" t="s">
        <v>7022</v>
      </c>
    </row>
    <row r="1257" spans="1:7">
      <c r="A1257" s="33">
        <v>43172</v>
      </c>
      <c r="B1257" s="29" t="s">
        <v>7023</v>
      </c>
      <c r="C1257" s="29" t="s">
        <v>7024</v>
      </c>
      <c r="D1257" s="29" t="s">
        <v>7025</v>
      </c>
      <c r="E1257" s="92" t="s">
        <v>3933</v>
      </c>
      <c r="F1257" s="89" t="s">
        <v>4778</v>
      </c>
      <c r="G1257" s="29" t="s">
        <v>7026</v>
      </c>
    </row>
    <row r="1258" spans="1:7">
      <c r="A1258" s="33">
        <v>43173</v>
      </c>
      <c r="B1258" s="29" t="s">
        <v>7027</v>
      </c>
      <c r="C1258" s="29" t="s">
        <v>7028</v>
      </c>
      <c r="D1258" s="29" t="s">
        <v>7029</v>
      </c>
      <c r="E1258" s="92" t="s">
        <v>7030</v>
      </c>
      <c r="F1258" s="89" t="s">
        <v>4778</v>
      </c>
      <c r="G1258" s="29" t="s">
        <v>7031</v>
      </c>
    </row>
    <row r="1259" spans="1:7">
      <c r="A1259" s="33">
        <v>43174</v>
      </c>
      <c r="B1259" s="29" t="s">
        <v>7032</v>
      </c>
      <c r="C1259" s="29" t="s">
        <v>7033</v>
      </c>
      <c r="D1259" s="29" t="s">
        <v>7034</v>
      </c>
      <c r="E1259" s="92" t="s">
        <v>3472</v>
      </c>
      <c r="F1259" s="89" t="s">
        <v>4778</v>
      </c>
      <c r="G1259" s="29" t="s">
        <v>6997</v>
      </c>
    </row>
    <row r="1260" spans="1:7">
      <c r="A1260" s="33">
        <v>43175</v>
      </c>
      <c r="B1260" s="29" t="s">
        <v>7035</v>
      </c>
      <c r="C1260" s="29" t="s">
        <v>7036</v>
      </c>
      <c r="D1260" s="29" t="s">
        <v>7037</v>
      </c>
      <c r="E1260" s="92" t="s">
        <v>7038</v>
      </c>
      <c r="F1260" s="89" t="s">
        <v>4778</v>
      </c>
      <c r="G1260" s="29" t="s">
        <v>7039</v>
      </c>
    </row>
    <row r="1261" spans="1:7">
      <c r="A1261" s="33">
        <v>43176</v>
      </c>
      <c r="B1261" s="29" t="s">
        <v>7040</v>
      </c>
      <c r="C1261" s="29" t="s">
        <v>7041</v>
      </c>
      <c r="D1261" s="29" t="s">
        <v>7042</v>
      </c>
      <c r="E1261" s="92" t="s">
        <v>7043</v>
      </c>
      <c r="F1261" s="89" t="s">
        <v>4778</v>
      </c>
      <c r="G1261" s="29" t="s">
        <v>7044</v>
      </c>
    </row>
    <row r="1262" spans="1:7">
      <c r="A1262" s="33">
        <v>43177</v>
      </c>
      <c r="B1262" s="29" t="s">
        <v>7045</v>
      </c>
      <c r="C1262" s="29" t="s">
        <v>7046</v>
      </c>
      <c r="D1262" s="29" t="s">
        <v>7047</v>
      </c>
      <c r="E1262" s="92" t="s">
        <v>4036</v>
      </c>
      <c r="F1262" s="89" t="s">
        <v>4778</v>
      </c>
      <c r="G1262" s="29" t="s">
        <v>7048</v>
      </c>
    </row>
    <row r="1263" spans="1:7">
      <c r="A1263" s="33">
        <v>43178</v>
      </c>
      <c r="B1263" s="29" t="s">
        <v>7049</v>
      </c>
      <c r="C1263" s="29" t="s">
        <v>7050</v>
      </c>
      <c r="D1263" s="29" t="s">
        <v>7051</v>
      </c>
      <c r="E1263" s="92" t="s">
        <v>3292</v>
      </c>
      <c r="F1263" s="89" t="s">
        <v>4778</v>
      </c>
      <c r="G1263" s="29" t="s">
        <v>7052</v>
      </c>
    </row>
    <row r="1264" spans="1:7">
      <c r="A1264" s="33">
        <v>43179</v>
      </c>
      <c r="B1264" s="29" t="s">
        <v>7053</v>
      </c>
      <c r="C1264" s="29" t="s">
        <v>7054</v>
      </c>
      <c r="D1264" s="29" t="s">
        <v>7055</v>
      </c>
      <c r="E1264" s="92" t="s">
        <v>3937</v>
      </c>
      <c r="F1264" s="89" t="s">
        <v>4778</v>
      </c>
      <c r="G1264" s="29" t="s">
        <v>7056</v>
      </c>
    </row>
    <row r="1265" spans="1:7">
      <c r="A1265" s="33">
        <v>43180</v>
      </c>
      <c r="B1265" s="29" t="s">
        <v>7057</v>
      </c>
      <c r="C1265" s="29" t="s">
        <v>7058</v>
      </c>
      <c r="D1265" s="29" t="s">
        <v>7059</v>
      </c>
      <c r="E1265" s="92" t="s">
        <v>3492</v>
      </c>
      <c r="F1265" s="89" t="s">
        <v>4778</v>
      </c>
      <c r="G1265" s="29" t="s">
        <v>7060</v>
      </c>
    </row>
    <row r="1266" spans="1:7">
      <c r="A1266" s="33">
        <v>43181</v>
      </c>
      <c r="B1266" s="29" t="s">
        <v>7061</v>
      </c>
      <c r="C1266" s="29" t="s">
        <v>7062</v>
      </c>
      <c r="D1266" s="29" t="s">
        <v>7063</v>
      </c>
      <c r="E1266" s="92" t="s">
        <v>3547</v>
      </c>
      <c r="F1266" s="89" t="s">
        <v>4778</v>
      </c>
      <c r="G1266" s="29" t="s">
        <v>7064</v>
      </c>
    </row>
    <row r="1267" spans="1:7">
      <c r="A1267" s="33">
        <v>43182</v>
      </c>
      <c r="B1267" s="29" t="s">
        <v>7065</v>
      </c>
      <c r="C1267" s="29" t="s">
        <v>4831</v>
      </c>
      <c r="D1267" s="29" t="s">
        <v>7066</v>
      </c>
      <c r="E1267" s="92" t="s">
        <v>7067</v>
      </c>
      <c r="F1267" s="89" t="s">
        <v>4778</v>
      </c>
      <c r="G1267" s="29" t="s">
        <v>7068</v>
      </c>
    </row>
    <row r="1268" spans="1:7">
      <c r="A1268" s="33">
        <v>43183</v>
      </c>
      <c r="B1268" s="29" t="s">
        <v>7069</v>
      </c>
      <c r="C1268" s="29" t="s">
        <v>7070</v>
      </c>
      <c r="D1268" s="29" t="s">
        <v>7071</v>
      </c>
      <c r="E1268" s="92" t="s">
        <v>340</v>
      </c>
      <c r="F1268" s="89" t="s">
        <v>4778</v>
      </c>
      <c r="G1268" s="29" t="s">
        <v>7072</v>
      </c>
    </row>
    <row r="1269" spans="1:7">
      <c r="A1269" s="33">
        <v>43184</v>
      </c>
      <c r="B1269" s="29" t="s">
        <v>7073</v>
      </c>
      <c r="C1269" s="29" t="s">
        <v>7074</v>
      </c>
      <c r="D1269" s="29" t="s">
        <v>7075</v>
      </c>
      <c r="E1269" s="92" t="s">
        <v>7076</v>
      </c>
      <c r="F1269" s="89" t="s">
        <v>4778</v>
      </c>
      <c r="G1269" s="29" t="s">
        <v>7077</v>
      </c>
    </row>
    <row r="1270" spans="1:7">
      <c r="A1270" s="33">
        <v>43185</v>
      </c>
      <c r="B1270" s="29" t="s">
        <v>7078</v>
      </c>
      <c r="C1270" s="29" t="s">
        <v>7079</v>
      </c>
      <c r="D1270" s="29" t="s">
        <v>7080</v>
      </c>
      <c r="E1270" s="92" t="s">
        <v>7081</v>
      </c>
      <c r="F1270" s="89" t="s">
        <v>4778</v>
      </c>
      <c r="G1270" s="29" t="s">
        <v>7082</v>
      </c>
    </row>
    <row r="1271" spans="1:7">
      <c r="A1271" s="33">
        <v>43186</v>
      </c>
      <c r="B1271" s="29">
        <v>8200</v>
      </c>
      <c r="C1271" s="29" t="s">
        <v>7083</v>
      </c>
      <c r="D1271" s="29" t="s">
        <v>7084</v>
      </c>
      <c r="E1271" s="92" t="s">
        <v>3476</v>
      </c>
      <c r="F1271" s="89" t="s">
        <v>4778</v>
      </c>
      <c r="G1271" s="29" t="s">
        <v>7085</v>
      </c>
    </row>
    <row r="1272" spans="1:7">
      <c r="A1272" s="33">
        <v>43187</v>
      </c>
      <c r="B1272" s="29" t="s">
        <v>7086</v>
      </c>
      <c r="C1272" s="29" t="s">
        <v>7087</v>
      </c>
      <c r="D1272" s="29" t="s">
        <v>7088</v>
      </c>
      <c r="E1272" s="92" t="s">
        <v>3969</v>
      </c>
      <c r="F1272" s="89" t="s">
        <v>4778</v>
      </c>
      <c r="G1272" s="29" t="s">
        <v>7089</v>
      </c>
    </row>
    <row r="1273" spans="1:7">
      <c r="A1273" s="33">
        <v>43188</v>
      </c>
      <c r="B1273" s="29" t="s">
        <v>7090</v>
      </c>
      <c r="C1273" s="29" t="s">
        <v>7091</v>
      </c>
      <c r="D1273" s="29" t="s">
        <v>7092</v>
      </c>
      <c r="E1273" s="92" t="s">
        <v>3460</v>
      </c>
      <c r="F1273" s="89" t="s">
        <v>4778</v>
      </c>
      <c r="G1273" s="29" t="s">
        <v>7056</v>
      </c>
    </row>
    <row r="1274" spans="1:7">
      <c r="A1274" s="33">
        <v>43189</v>
      </c>
      <c r="B1274" s="29" t="s">
        <v>7093</v>
      </c>
      <c r="C1274" s="29" t="s">
        <v>7094</v>
      </c>
      <c r="D1274" s="29" t="s">
        <v>7095</v>
      </c>
      <c r="E1274" s="92" t="s">
        <v>7096</v>
      </c>
      <c r="F1274" s="89" t="s">
        <v>4778</v>
      </c>
      <c r="G1274" s="29" t="s">
        <v>7097</v>
      </c>
    </row>
    <row r="1275" spans="1:7">
      <c r="A1275" s="33">
        <v>43190</v>
      </c>
      <c r="B1275" s="29" t="s">
        <v>7098</v>
      </c>
      <c r="C1275" s="29" t="s">
        <v>7099</v>
      </c>
      <c r="D1275" s="29" t="s">
        <v>7100</v>
      </c>
      <c r="E1275" s="92" t="s">
        <v>3977</v>
      </c>
      <c r="F1275" s="89" t="s">
        <v>4778</v>
      </c>
      <c r="G1275" s="29" t="s">
        <v>7101</v>
      </c>
    </row>
    <row r="1276" spans="1:7">
      <c r="A1276" s="33">
        <v>43191</v>
      </c>
      <c r="B1276" s="29" t="s">
        <v>7102</v>
      </c>
      <c r="C1276" s="29" t="s">
        <v>7103</v>
      </c>
      <c r="D1276" s="29" t="s">
        <v>7104</v>
      </c>
      <c r="E1276" s="92" t="s">
        <v>3256</v>
      </c>
      <c r="F1276" s="89" t="s">
        <v>4778</v>
      </c>
      <c r="G1276" s="29" t="s">
        <v>7105</v>
      </c>
    </row>
    <row r="1277" spans="1:7">
      <c r="A1277" s="33">
        <v>43192</v>
      </c>
      <c r="B1277" s="29" t="s">
        <v>7106</v>
      </c>
      <c r="C1277" s="29" t="s">
        <v>7107</v>
      </c>
      <c r="D1277" s="29" t="s">
        <v>7108</v>
      </c>
      <c r="E1277" s="92" t="s">
        <v>3468</v>
      </c>
      <c r="F1277" s="89" t="s">
        <v>4778</v>
      </c>
      <c r="G1277" s="29" t="s">
        <v>7109</v>
      </c>
    </row>
    <row r="1278" spans="1:7">
      <c r="A1278" s="33">
        <v>43193</v>
      </c>
      <c r="B1278" s="29" t="s">
        <v>7110</v>
      </c>
      <c r="C1278" s="29" t="s">
        <v>7111</v>
      </c>
      <c r="D1278" s="29" t="s">
        <v>7112</v>
      </c>
      <c r="E1278" s="92" t="s">
        <v>3973</v>
      </c>
      <c r="F1278" s="89" t="s">
        <v>4778</v>
      </c>
      <c r="G1278" s="29" t="s">
        <v>7113</v>
      </c>
    </row>
    <row r="1279" spans="1:7">
      <c r="A1279" s="33">
        <v>43194</v>
      </c>
      <c r="B1279" s="29" t="s">
        <v>7114</v>
      </c>
      <c r="C1279" s="29" t="s">
        <v>7115</v>
      </c>
      <c r="D1279" s="29" t="s">
        <v>7116</v>
      </c>
      <c r="E1279" s="92" t="s">
        <v>7117</v>
      </c>
      <c r="F1279" s="89" t="s">
        <v>4778</v>
      </c>
      <c r="G1279" s="29" t="s">
        <v>7089</v>
      </c>
    </row>
    <row r="1280" spans="1:7">
      <c r="A1280" s="33">
        <v>43195</v>
      </c>
      <c r="B1280" s="29" t="s">
        <v>7118</v>
      </c>
      <c r="C1280" s="29" t="s">
        <v>7119</v>
      </c>
      <c r="D1280" s="29" t="s">
        <v>7120</v>
      </c>
      <c r="E1280" s="92" t="s">
        <v>3488</v>
      </c>
      <c r="F1280" s="89" t="s">
        <v>4778</v>
      </c>
      <c r="G1280" s="29" t="s">
        <v>7121</v>
      </c>
    </row>
    <row r="1281" spans="1:7">
      <c r="A1281" s="33">
        <v>43196</v>
      </c>
      <c r="B1281" s="29" t="s">
        <v>7122</v>
      </c>
      <c r="C1281" s="29" t="s">
        <v>7123</v>
      </c>
      <c r="D1281" s="29">
        <v>6575</v>
      </c>
      <c r="E1281" s="92" t="s">
        <v>7124</v>
      </c>
      <c r="F1281" s="89" t="s">
        <v>4778</v>
      </c>
      <c r="G1281" s="29" t="s">
        <v>7125</v>
      </c>
    </row>
    <row r="1282" spans="1:7">
      <c r="A1282" s="33">
        <v>43197</v>
      </c>
      <c r="B1282" s="29" t="s">
        <v>7126</v>
      </c>
      <c r="C1282" s="29" t="s">
        <v>7127</v>
      </c>
      <c r="D1282" s="29" t="s">
        <v>7126</v>
      </c>
      <c r="E1282" s="92" t="s">
        <v>4020</v>
      </c>
      <c r="F1282" s="89" t="s">
        <v>4778</v>
      </c>
      <c r="G1282" s="29" t="s">
        <v>7128</v>
      </c>
    </row>
    <row r="1283" spans="1:7">
      <c r="A1283" s="33">
        <v>43198</v>
      </c>
      <c r="B1283" s="29" t="s">
        <v>7129</v>
      </c>
      <c r="C1283" s="29" t="s">
        <v>4778</v>
      </c>
      <c r="D1283" s="29" t="s">
        <v>7129</v>
      </c>
      <c r="E1283" s="92" t="s">
        <v>3519</v>
      </c>
      <c r="F1283" s="89" t="s">
        <v>4778</v>
      </c>
      <c r="G1283" s="29" t="s">
        <v>7130</v>
      </c>
    </row>
    <row r="1284" spans="1:7">
      <c r="A1284" s="33">
        <v>43199</v>
      </c>
      <c r="B1284" s="29" t="s">
        <v>7131</v>
      </c>
      <c r="C1284" s="29" t="s">
        <v>7132</v>
      </c>
      <c r="D1284" s="29" t="s">
        <v>7133</v>
      </c>
      <c r="E1284" s="92" t="s">
        <v>4028</v>
      </c>
      <c r="F1284" s="89" t="s">
        <v>4778</v>
      </c>
      <c r="G1284" s="29" t="s">
        <v>7134</v>
      </c>
    </row>
    <row r="1285" spans="1:7">
      <c r="A1285" s="33">
        <v>43200</v>
      </c>
      <c r="B1285" s="29" t="s">
        <v>7135</v>
      </c>
      <c r="C1285" s="29" t="s">
        <v>7136</v>
      </c>
      <c r="D1285" s="29" t="s">
        <v>7137</v>
      </c>
      <c r="E1285" s="92" t="s">
        <v>4032</v>
      </c>
      <c r="F1285" s="89" t="s">
        <v>4778</v>
      </c>
      <c r="G1285" s="29" t="s">
        <v>7138</v>
      </c>
    </row>
    <row r="1286" spans="1:7">
      <c r="A1286" s="33">
        <v>43201</v>
      </c>
      <c r="B1286" s="29" t="s">
        <v>7139</v>
      </c>
      <c r="C1286" s="29" t="s">
        <v>7140</v>
      </c>
      <c r="D1286" s="29" t="s">
        <v>7141</v>
      </c>
      <c r="E1286" s="92" t="s">
        <v>6006</v>
      </c>
      <c r="F1286" s="89" t="s">
        <v>4778</v>
      </c>
      <c r="G1286" s="29" t="s">
        <v>7142</v>
      </c>
    </row>
    <row r="1287" spans="1:7">
      <c r="A1287" s="33">
        <v>43202</v>
      </c>
      <c r="B1287" s="29" t="s">
        <v>7143</v>
      </c>
      <c r="C1287" s="29" t="s">
        <v>7144</v>
      </c>
      <c r="D1287" s="29" t="s">
        <v>7145</v>
      </c>
      <c r="E1287" s="92" t="s">
        <v>3500</v>
      </c>
      <c r="F1287" s="89" t="s">
        <v>4778</v>
      </c>
      <c r="G1287" s="29" t="s">
        <v>7146</v>
      </c>
    </row>
    <row r="1288" spans="1:7">
      <c r="A1288" s="33">
        <v>43203</v>
      </c>
      <c r="B1288" s="29" t="s">
        <v>7147</v>
      </c>
      <c r="C1288" s="29" t="s">
        <v>7148</v>
      </c>
      <c r="D1288" s="29" t="s">
        <v>7149</v>
      </c>
      <c r="E1288" s="92" t="s">
        <v>3603</v>
      </c>
      <c r="F1288" s="89" t="s">
        <v>4778</v>
      </c>
      <c r="G1288" s="29" t="s">
        <v>7150</v>
      </c>
    </row>
    <row r="1289" spans="1:7">
      <c r="A1289" s="33">
        <v>43204</v>
      </c>
      <c r="B1289" s="29" t="s">
        <v>7151</v>
      </c>
      <c r="C1289" s="29" t="s">
        <v>7152</v>
      </c>
      <c r="D1289" s="29">
        <v>7846</v>
      </c>
      <c r="E1289" s="92" t="s">
        <v>3484</v>
      </c>
      <c r="F1289" s="89" t="s">
        <v>4778</v>
      </c>
      <c r="G1289" s="29" t="s">
        <v>7153</v>
      </c>
    </row>
    <row r="1290" spans="1:7">
      <c r="A1290" s="33">
        <v>43205</v>
      </c>
      <c r="B1290" s="29" t="s">
        <v>7154</v>
      </c>
      <c r="C1290" s="29" t="s">
        <v>7155</v>
      </c>
      <c r="D1290" s="29" t="s">
        <v>7154</v>
      </c>
      <c r="E1290" s="92" t="s">
        <v>3539</v>
      </c>
      <c r="F1290" s="89" t="s">
        <v>4778</v>
      </c>
      <c r="G1290" s="29" t="s">
        <v>7156</v>
      </c>
    </row>
    <row r="1291" spans="1:7">
      <c r="A1291" s="33">
        <v>43206</v>
      </c>
      <c r="B1291" s="29" t="s">
        <v>7157</v>
      </c>
      <c r="C1291" s="29" t="s">
        <v>7158</v>
      </c>
      <c r="D1291" s="29" t="s">
        <v>7159</v>
      </c>
      <c r="E1291" s="92" t="s">
        <v>3464</v>
      </c>
      <c r="F1291" s="89" t="s">
        <v>4778</v>
      </c>
      <c r="G1291" s="29" t="s">
        <v>7160</v>
      </c>
    </row>
    <row r="1292" spans="1:7">
      <c r="A1292" s="33">
        <v>43207</v>
      </c>
      <c r="B1292" s="29" t="s">
        <v>7161</v>
      </c>
      <c r="C1292" s="29" t="s">
        <v>7162</v>
      </c>
      <c r="D1292" s="29" t="s">
        <v>7163</v>
      </c>
      <c r="E1292" s="92" t="s">
        <v>7164</v>
      </c>
      <c r="F1292" s="89" t="s">
        <v>4778</v>
      </c>
      <c r="G1292" s="29" t="s">
        <v>6671</v>
      </c>
    </row>
    <row r="1293" spans="1:7">
      <c r="A1293" s="33">
        <v>43208</v>
      </c>
      <c r="B1293" s="29" t="s">
        <v>7165</v>
      </c>
      <c r="C1293" s="29" t="s">
        <v>7166</v>
      </c>
      <c r="D1293" s="29" t="s">
        <v>7167</v>
      </c>
      <c r="E1293" s="92" t="s">
        <v>2249</v>
      </c>
      <c r="F1293" s="89" t="s">
        <v>4778</v>
      </c>
      <c r="G1293" s="29" t="s">
        <v>7168</v>
      </c>
    </row>
    <row r="1294" spans="1:7">
      <c r="A1294" s="33">
        <v>43209</v>
      </c>
      <c r="B1294" s="29" t="s">
        <v>7169</v>
      </c>
      <c r="C1294" s="29" t="s">
        <v>7170</v>
      </c>
      <c r="D1294" s="29" t="s">
        <v>7171</v>
      </c>
      <c r="E1294" s="92" t="s">
        <v>4024</v>
      </c>
      <c r="F1294" s="89" t="s">
        <v>4778</v>
      </c>
      <c r="G1294" s="29" t="s">
        <v>7172</v>
      </c>
    </row>
    <row r="1295" spans="1:7">
      <c r="A1295" s="33">
        <v>43210</v>
      </c>
      <c r="B1295" s="29" t="s">
        <v>7173</v>
      </c>
      <c r="C1295" s="29" t="s">
        <v>7174</v>
      </c>
      <c r="D1295" s="29" t="s">
        <v>7175</v>
      </c>
      <c r="E1295" s="92" t="s">
        <v>3929</v>
      </c>
      <c r="F1295" s="89" t="s">
        <v>4778</v>
      </c>
      <c r="G1295" s="29" t="s">
        <v>7176</v>
      </c>
    </row>
    <row r="1296" spans="1:7">
      <c r="A1296" s="33">
        <v>43211</v>
      </c>
      <c r="B1296" s="29" t="s">
        <v>7177</v>
      </c>
      <c r="C1296" s="29" t="s">
        <v>7178</v>
      </c>
      <c r="D1296" s="29" t="s">
        <v>7179</v>
      </c>
      <c r="E1296" s="92" t="s">
        <v>3496</v>
      </c>
      <c r="F1296" s="89" t="s">
        <v>4778</v>
      </c>
      <c r="G1296" s="29" t="s">
        <v>7180</v>
      </c>
    </row>
    <row r="1297" spans="1:7">
      <c r="A1297" s="33">
        <v>43212</v>
      </c>
      <c r="B1297" s="29" t="s">
        <v>7181</v>
      </c>
      <c r="C1297" s="29" t="s">
        <v>7182</v>
      </c>
      <c r="D1297" s="29" t="s">
        <v>7183</v>
      </c>
      <c r="E1297" s="92" t="s">
        <v>3515</v>
      </c>
      <c r="F1297" s="89" t="s">
        <v>4778</v>
      </c>
      <c r="G1297" s="29" t="s">
        <v>7184</v>
      </c>
    </row>
    <row r="1298" spans="1:7">
      <c r="A1298" s="33">
        <v>43213</v>
      </c>
      <c r="B1298" s="29" t="s">
        <v>7185</v>
      </c>
      <c r="C1298" s="29" t="s">
        <v>7186</v>
      </c>
      <c r="D1298" s="29" t="s">
        <v>7187</v>
      </c>
      <c r="E1298" s="92" t="s">
        <v>7188</v>
      </c>
      <c r="F1298" s="89" t="s">
        <v>4778</v>
      </c>
      <c r="G1298" s="29" t="s">
        <v>7189</v>
      </c>
    </row>
    <row r="1299" spans="1:7">
      <c r="A1299" s="33">
        <v>43214</v>
      </c>
      <c r="B1299" s="29" t="s">
        <v>7190</v>
      </c>
      <c r="C1299" s="29" t="s">
        <v>7191</v>
      </c>
      <c r="D1299" s="29" t="s">
        <v>7192</v>
      </c>
      <c r="E1299" s="92" t="s">
        <v>7193</v>
      </c>
      <c r="F1299" s="89" t="s">
        <v>4778</v>
      </c>
      <c r="G1299" s="29" t="s">
        <v>4980</v>
      </c>
    </row>
    <row r="1300" spans="1:7">
      <c r="A1300" s="33">
        <v>43215</v>
      </c>
      <c r="B1300" s="29" t="s">
        <v>7194</v>
      </c>
      <c r="C1300" s="29" t="s">
        <v>7195</v>
      </c>
      <c r="D1300" s="29" t="s">
        <v>7196</v>
      </c>
      <c r="E1300" s="92" t="s">
        <v>7197</v>
      </c>
      <c r="F1300" s="89" t="s">
        <v>4778</v>
      </c>
      <c r="G1300" s="29" t="s">
        <v>6808</v>
      </c>
    </row>
    <row r="1301" spans="1:7">
      <c r="A1301" s="33">
        <v>43216</v>
      </c>
      <c r="B1301" s="29" t="s">
        <v>7198</v>
      </c>
      <c r="C1301" s="29" t="s">
        <v>7199</v>
      </c>
      <c r="D1301" s="29" t="s">
        <v>7200</v>
      </c>
      <c r="E1301" s="92" t="s">
        <v>3821</v>
      </c>
      <c r="F1301" s="89" t="s">
        <v>4778</v>
      </c>
      <c r="G1301" s="29" t="s">
        <v>7201</v>
      </c>
    </row>
    <row r="1302" spans="1:7">
      <c r="A1302" s="33">
        <v>43217</v>
      </c>
      <c r="B1302" s="29" t="s">
        <v>7202</v>
      </c>
      <c r="C1302" s="29" t="s">
        <v>7203</v>
      </c>
      <c r="D1302" s="29" t="s">
        <v>4823</v>
      </c>
      <c r="E1302" s="92" t="s">
        <v>3921</v>
      </c>
      <c r="F1302" s="89" t="s">
        <v>4778</v>
      </c>
      <c r="G1302" s="29" t="s">
        <v>7204</v>
      </c>
    </row>
    <row r="1303" spans="1:7">
      <c r="A1303" s="33">
        <v>43218</v>
      </c>
      <c r="B1303" s="29" t="s">
        <v>7205</v>
      </c>
      <c r="C1303" s="29" t="s">
        <v>7206</v>
      </c>
      <c r="D1303" s="29" t="s">
        <v>7207</v>
      </c>
      <c r="E1303" s="92" t="s">
        <v>7208</v>
      </c>
      <c r="F1303" s="89" t="s">
        <v>4778</v>
      </c>
      <c r="G1303" s="29" t="s">
        <v>7209</v>
      </c>
    </row>
    <row r="1304" spans="1:7">
      <c r="A1304" s="33">
        <v>43219</v>
      </c>
      <c r="B1304" s="29" t="s">
        <v>7210</v>
      </c>
      <c r="C1304" s="29" t="s">
        <v>7211</v>
      </c>
      <c r="D1304" s="29" t="s">
        <v>7212</v>
      </c>
      <c r="E1304" s="92" t="s">
        <v>7213</v>
      </c>
      <c r="F1304" s="89" t="s">
        <v>4778</v>
      </c>
      <c r="G1304" s="29" t="s">
        <v>7214</v>
      </c>
    </row>
    <row r="1305" spans="1:7">
      <c r="A1305" s="33">
        <v>43220</v>
      </c>
      <c r="B1305" s="29" t="s">
        <v>7215</v>
      </c>
      <c r="C1305" s="29" t="s">
        <v>7216</v>
      </c>
      <c r="D1305" s="29" t="s">
        <v>7217</v>
      </c>
      <c r="E1305" s="92" t="s">
        <v>3945</v>
      </c>
      <c r="F1305" s="89" t="s">
        <v>4778</v>
      </c>
      <c r="G1305" s="29" t="s">
        <v>7218</v>
      </c>
    </row>
    <row r="1306" spans="1:7">
      <c r="A1306" s="33">
        <v>43221</v>
      </c>
      <c r="B1306" s="29" t="s">
        <v>7219</v>
      </c>
      <c r="C1306" s="29" t="s">
        <v>4778</v>
      </c>
      <c r="D1306" s="29" t="s">
        <v>7220</v>
      </c>
      <c r="E1306" s="92" t="s">
        <v>3949</v>
      </c>
      <c r="F1306" s="89" t="s">
        <v>4778</v>
      </c>
      <c r="G1306" s="29" t="s">
        <v>7221</v>
      </c>
    </row>
    <row r="1307" spans="1:7">
      <c r="A1307" s="33">
        <v>43222</v>
      </c>
      <c r="B1307" s="29" t="s">
        <v>7222</v>
      </c>
      <c r="C1307" s="29" t="s">
        <v>7223</v>
      </c>
      <c r="D1307" s="29" t="s">
        <v>7224</v>
      </c>
      <c r="E1307" s="92" t="s">
        <v>3941</v>
      </c>
      <c r="F1307" s="89" t="s">
        <v>4778</v>
      </c>
      <c r="G1307" s="29" t="s">
        <v>7225</v>
      </c>
    </row>
    <row r="1308" spans="1:7">
      <c r="A1308" s="33">
        <v>43223</v>
      </c>
      <c r="B1308" s="29" t="s">
        <v>7226</v>
      </c>
      <c r="C1308" s="29" t="s">
        <v>7227</v>
      </c>
      <c r="D1308" s="29" t="s">
        <v>7228</v>
      </c>
      <c r="E1308" s="92" t="s">
        <v>7229</v>
      </c>
      <c r="F1308" s="89" t="s">
        <v>4778</v>
      </c>
      <c r="G1308" s="29" t="s">
        <v>7230</v>
      </c>
    </row>
    <row r="1309" spans="1:7">
      <c r="A1309" s="33">
        <v>43224</v>
      </c>
      <c r="B1309" s="29" t="s">
        <v>7231</v>
      </c>
      <c r="C1309" s="29" t="s">
        <v>7232</v>
      </c>
      <c r="D1309" s="29" t="s">
        <v>7233</v>
      </c>
      <c r="E1309" s="92" t="s">
        <v>3917</v>
      </c>
      <c r="F1309" s="89" t="s">
        <v>4778</v>
      </c>
      <c r="G1309" s="29" t="s">
        <v>7234</v>
      </c>
    </row>
    <row r="1310" spans="1:7">
      <c r="A1310" s="33">
        <v>43225</v>
      </c>
      <c r="B1310" s="29" t="s">
        <v>7235</v>
      </c>
      <c r="C1310" s="29" t="s">
        <v>7236</v>
      </c>
      <c r="D1310" s="29" t="s">
        <v>7237</v>
      </c>
      <c r="E1310" s="92" t="s">
        <v>3925</v>
      </c>
      <c r="F1310" s="89" t="s">
        <v>4778</v>
      </c>
      <c r="G1310" s="29" t="s">
        <v>6940</v>
      </c>
    </row>
    <row r="1311" spans="1:7">
      <c r="A1311" s="33">
        <v>43226</v>
      </c>
      <c r="B1311" s="29" t="s">
        <v>7238</v>
      </c>
      <c r="C1311" s="29" t="s">
        <v>7239</v>
      </c>
      <c r="D1311" s="29" t="s">
        <v>7240</v>
      </c>
      <c r="E1311" s="92" t="s">
        <v>3595</v>
      </c>
      <c r="F1311" s="89" t="s">
        <v>4778</v>
      </c>
      <c r="G1311" s="29" t="s">
        <v>7241</v>
      </c>
    </row>
    <row r="1312" spans="1:7">
      <c r="A1312" s="33">
        <v>43227</v>
      </c>
      <c r="B1312" s="29" t="s">
        <v>7242</v>
      </c>
      <c r="C1312" s="29" t="s">
        <v>7243</v>
      </c>
      <c r="D1312" s="29" t="s">
        <v>7244</v>
      </c>
      <c r="E1312" s="92" t="s">
        <v>3563</v>
      </c>
      <c r="F1312" s="89" t="s">
        <v>4778</v>
      </c>
      <c r="G1312" s="29" t="s">
        <v>7245</v>
      </c>
    </row>
    <row r="1313" spans="1:7">
      <c r="A1313" s="33">
        <v>43228</v>
      </c>
      <c r="B1313" s="29" t="s">
        <v>7246</v>
      </c>
      <c r="C1313" s="29" t="s">
        <v>7247</v>
      </c>
      <c r="D1313" s="29" t="s">
        <v>7248</v>
      </c>
      <c r="E1313" s="92" t="s">
        <v>7249</v>
      </c>
      <c r="F1313" s="89" t="s">
        <v>4778</v>
      </c>
      <c r="G1313" s="29" t="s">
        <v>7250</v>
      </c>
    </row>
    <row r="1314" spans="1:7">
      <c r="A1314" s="33">
        <v>43229</v>
      </c>
      <c r="B1314" s="29" t="s">
        <v>7251</v>
      </c>
      <c r="C1314" s="29" t="s">
        <v>7252</v>
      </c>
      <c r="D1314" s="29" t="s">
        <v>7253</v>
      </c>
      <c r="E1314" s="92" t="s">
        <v>7254</v>
      </c>
      <c r="F1314" s="89" t="s">
        <v>4778</v>
      </c>
      <c r="G1314" s="29" t="s">
        <v>7255</v>
      </c>
    </row>
    <row r="1315" spans="1:7">
      <c r="A1315" s="33">
        <v>43230</v>
      </c>
      <c r="B1315" s="29" t="s">
        <v>7256</v>
      </c>
      <c r="C1315" s="29" t="s">
        <v>7257</v>
      </c>
      <c r="D1315" s="29" t="s">
        <v>7258</v>
      </c>
      <c r="E1315" s="92" t="s">
        <v>3567</v>
      </c>
      <c r="F1315" s="89" t="s">
        <v>4778</v>
      </c>
      <c r="G1315" s="29" t="s">
        <v>7259</v>
      </c>
    </row>
    <row r="1316" spans="1:7">
      <c r="A1316" s="33">
        <v>43231</v>
      </c>
      <c r="B1316" s="29" t="s">
        <v>7260</v>
      </c>
      <c r="C1316" s="29" t="s">
        <v>7260</v>
      </c>
      <c r="D1316" s="29" t="s">
        <v>7261</v>
      </c>
      <c r="E1316" s="92" t="s">
        <v>3511</v>
      </c>
      <c r="F1316" s="89" t="s">
        <v>4778</v>
      </c>
      <c r="G1316" s="29" t="s">
        <v>7262</v>
      </c>
    </row>
    <row r="1317" spans="1:7">
      <c r="A1317" s="33">
        <v>43232</v>
      </c>
      <c r="B1317" s="29" t="s">
        <v>7263</v>
      </c>
      <c r="C1317" s="29" t="s">
        <v>7264</v>
      </c>
      <c r="D1317" s="29" t="s">
        <v>7265</v>
      </c>
      <c r="E1317" s="92" t="s">
        <v>7266</v>
      </c>
      <c r="F1317" s="89" t="s">
        <v>4778</v>
      </c>
      <c r="G1317" s="29" t="s">
        <v>7267</v>
      </c>
    </row>
    <row r="1318" spans="1:7">
      <c r="A1318" s="33">
        <v>43233</v>
      </c>
      <c r="B1318" s="29" t="s">
        <v>7268</v>
      </c>
      <c r="C1318" s="29" t="s">
        <v>7269</v>
      </c>
      <c r="D1318" s="29" t="s">
        <v>7270</v>
      </c>
      <c r="E1318" s="92" t="s">
        <v>3841</v>
      </c>
      <c r="F1318" s="89" t="s">
        <v>4778</v>
      </c>
      <c r="G1318" s="29" t="s">
        <v>7271</v>
      </c>
    </row>
    <row r="1319" spans="1:7">
      <c r="A1319" s="33">
        <v>43234</v>
      </c>
      <c r="B1319" s="29" t="s">
        <v>7272</v>
      </c>
      <c r="C1319" s="29" t="s">
        <v>7273</v>
      </c>
      <c r="D1319" s="29" t="s">
        <v>7274</v>
      </c>
      <c r="E1319" s="92" t="s">
        <v>7275</v>
      </c>
      <c r="F1319" s="89" t="s">
        <v>4778</v>
      </c>
      <c r="G1319" s="29" t="s">
        <v>7276</v>
      </c>
    </row>
    <row r="1320" spans="1:7">
      <c r="A1320" s="33">
        <v>43235</v>
      </c>
      <c r="B1320" s="29" t="s">
        <v>7277</v>
      </c>
      <c r="C1320" s="29" t="s">
        <v>7278</v>
      </c>
      <c r="D1320" s="29" t="s">
        <v>7279</v>
      </c>
      <c r="E1320" s="92" t="s">
        <v>7280</v>
      </c>
      <c r="F1320" s="89" t="s">
        <v>4778</v>
      </c>
      <c r="G1320" s="29" t="s">
        <v>7281</v>
      </c>
    </row>
    <row r="1321" spans="1:7">
      <c r="A1321" s="33">
        <v>43236</v>
      </c>
      <c r="B1321" s="29" t="s">
        <v>7282</v>
      </c>
      <c r="C1321" s="29" t="s">
        <v>7283</v>
      </c>
      <c r="D1321" s="29" t="s">
        <v>7284</v>
      </c>
      <c r="E1321" s="92" t="s">
        <v>3965</v>
      </c>
      <c r="F1321" s="89" t="s">
        <v>4778</v>
      </c>
      <c r="G1321" s="29" t="s">
        <v>7285</v>
      </c>
    </row>
    <row r="1322" spans="1:7">
      <c r="A1322" s="33">
        <v>43237</v>
      </c>
      <c r="B1322" s="29" t="s">
        <v>7286</v>
      </c>
      <c r="C1322" s="29" t="s">
        <v>7287</v>
      </c>
      <c r="D1322" s="29" t="s">
        <v>7288</v>
      </c>
      <c r="E1322" s="92" t="s">
        <v>3599</v>
      </c>
      <c r="F1322" s="89" t="s">
        <v>4778</v>
      </c>
      <c r="G1322" s="29" t="s">
        <v>7289</v>
      </c>
    </row>
    <row r="1323" spans="1:7">
      <c r="A1323" s="33">
        <v>43238</v>
      </c>
      <c r="B1323" s="29" t="s">
        <v>7290</v>
      </c>
      <c r="C1323" s="29" t="s">
        <v>7291</v>
      </c>
      <c r="D1323" s="29" t="s">
        <v>7292</v>
      </c>
      <c r="E1323" s="92" t="s">
        <v>3507</v>
      </c>
      <c r="F1323" s="89" t="s">
        <v>4778</v>
      </c>
      <c r="G1323" s="29" t="s">
        <v>7293</v>
      </c>
    </row>
    <row r="1324" spans="1:7">
      <c r="A1324" s="33">
        <v>43239</v>
      </c>
      <c r="B1324" s="29" t="s">
        <v>7294</v>
      </c>
      <c r="C1324" s="29" t="s">
        <v>7295</v>
      </c>
      <c r="D1324" s="29" t="s">
        <v>7296</v>
      </c>
      <c r="E1324" s="92" t="s">
        <v>3591</v>
      </c>
      <c r="F1324" s="89" t="s">
        <v>4778</v>
      </c>
      <c r="G1324" s="29" t="s">
        <v>7297</v>
      </c>
    </row>
    <row r="1325" spans="1:7">
      <c r="A1325" s="33">
        <v>43240</v>
      </c>
      <c r="B1325" s="29" t="s">
        <v>7298</v>
      </c>
      <c r="C1325" s="29" t="s">
        <v>7299</v>
      </c>
      <c r="D1325" s="29" t="s">
        <v>7300</v>
      </c>
      <c r="E1325" s="92" t="s">
        <v>3957</v>
      </c>
      <c r="F1325" s="89" t="s">
        <v>4778</v>
      </c>
      <c r="G1325" s="29" t="s">
        <v>7153</v>
      </c>
    </row>
    <row r="1326" spans="1:7">
      <c r="A1326" s="33">
        <v>43241</v>
      </c>
      <c r="B1326" s="29" t="s">
        <v>7301</v>
      </c>
      <c r="C1326" s="29" t="s">
        <v>7302</v>
      </c>
      <c r="D1326" s="29" t="s">
        <v>7303</v>
      </c>
      <c r="E1326" s="92" t="s">
        <v>336</v>
      </c>
      <c r="F1326" s="89" t="s">
        <v>4778</v>
      </c>
      <c r="G1326" s="29" t="s">
        <v>7304</v>
      </c>
    </row>
    <row r="1327" spans="1:7">
      <c r="A1327" s="33">
        <v>43242</v>
      </c>
      <c r="B1327" s="29" t="s">
        <v>7305</v>
      </c>
      <c r="C1327" s="29" t="s">
        <v>7306</v>
      </c>
      <c r="D1327" s="29" t="s">
        <v>7307</v>
      </c>
      <c r="E1327" s="92" t="s">
        <v>3953</v>
      </c>
      <c r="F1327" s="89" t="s">
        <v>4778</v>
      </c>
      <c r="G1327" s="29" t="s">
        <v>6661</v>
      </c>
    </row>
    <row r="1328" spans="1:7">
      <c r="A1328" s="33">
        <v>43243</v>
      </c>
      <c r="B1328" s="29" t="s">
        <v>7308</v>
      </c>
      <c r="C1328" s="29" t="s">
        <v>7309</v>
      </c>
      <c r="D1328" s="29" t="s">
        <v>7310</v>
      </c>
      <c r="E1328" s="92" t="s">
        <v>3889</v>
      </c>
      <c r="F1328" s="89" t="s">
        <v>4778</v>
      </c>
      <c r="G1328" s="29" t="s">
        <v>7311</v>
      </c>
    </row>
    <row r="1329" spans="1:7">
      <c r="A1329" s="33">
        <v>43244</v>
      </c>
      <c r="B1329" s="29" t="s">
        <v>7312</v>
      </c>
      <c r="C1329" s="29" t="s">
        <v>7313</v>
      </c>
      <c r="D1329" s="29" t="s">
        <v>7314</v>
      </c>
      <c r="E1329" s="92" t="s">
        <v>3913</v>
      </c>
      <c r="F1329" s="89" t="s">
        <v>4778</v>
      </c>
      <c r="G1329" s="29" t="s">
        <v>7315</v>
      </c>
    </row>
    <row r="1330" spans="1:7">
      <c r="A1330" s="33">
        <v>43245</v>
      </c>
      <c r="B1330" s="29" t="s">
        <v>7316</v>
      </c>
      <c r="C1330" s="29" t="s">
        <v>7317</v>
      </c>
      <c r="D1330" s="29" t="s">
        <v>7318</v>
      </c>
      <c r="E1330" s="92" t="s">
        <v>3961</v>
      </c>
      <c r="F1330" s="89" t="s">
        <v>4778</v>
      </c>
      <c r="G1330" s="29" t="s">
        <v>7319</v>
      </c>
    </row>
    <row r="1331" spans="1:7">
      <c r="A1331" s="33">
        <v>43246</v>
      </c>
      <c r="B1331" s="29" t="s">
        <v>7320</v>
      </c>
      <c r="C1331" s="29" t="s">
        <v>7321</v>
      </c>
      <c r="D1331" s="29" t="s">
        <v>7322</v>
      </c>
      <c r="E1331" s="92" t="s">
        <v>3833</v>
      </c>
      <c r="F1331" s="89" t="s">
        <v>4778</v>
      </c>
      <c r="G1331" s="29" t="s">
        <v>7323</v>
      </c>
    </row>
    <row r="1332" spans="1:7">
      <c r="A1332" s="33">
        <v>43247</v>
      </c>
      <c r="B1332" s="29" t="s">
        <v>7324</v>
      </c>
      <c r="C1332" s="29" t="s">
        <v>7325</v>
      </c>
      <c r="D1332" s="29" t="s">
        <v>7326</v>
      </c>
      <c r="E1332" s="92" t="s">
        <v>3845</v>
      </c>
      <c r="F1332" s="89" t="s">
        <v>4778</v>
      </c>
      <c r="G1332" s="29" t="s">
        <v>7327</v>
      </c>
    </row>
    <row r="1333" spans="1:7">
      <c r="A1333" s="33">
        <v>43248</v>
      </c>
      <c r="B1333" s="29" t="s">
        <v>7328</v>
      </c>
      <c r="C1333" s="29" t="s">
        <v>7329</v>
      </c>
      <c r="D1333" s="29" t="s">
        <v>7330</v>
      </c>
      <c r="E1333" s="92" t="s">
        <v>7331</v>
      </c>
      <c r="F1333" s="89" t="s">
        <v>4778</v>
      </c>
      <c r="G1333" s="29" t="s">
        <v>7332</v>
      </c>
    </row>
    <row r="1334" spans="1:7">
      <c r="A1334" s="33">
        <v>43249</v>
      </c>
      <c r="B1334" s="29" t="s">
        <v>7333</v>
      </c>
      <c r="C1334" s="29" t="s">
        <v>7334</v>
      </c>
      <c r="D1334" s="29" t="s">
        <v>7335</v>
      </c>
      <c r="E1334" s="92" t="s">
        <v>7336</v>
      </c>
      <c r="F1334" s="89" t="s">
        <v>4778</v>
      </c>
      <c r="G1334" s="29" t="s">
        <v>7072</v>
      </c>
    </row>
    <row r="1335" spans="1:7">
      <c r="A1335" s="33">
        <v>43250</v>
      </c>
      <c r="B1335" s="29" t="s">
        <v>7337</v>
      </c>
      <c r="C1335" s="29" t="s">
        <v>7338</v>
      </c>
      <c r="D1335" s="29" t="s">
        <v>7339</v>
      </c>
      <c r="E1335" s="92" t="s">
        <v>3829</v>
      </c>
      <c r="F1335" s="89" t="s">
        <v>4778</v>
      </c>
      <c r="G1335" s="29" t="s">
        <v>7340</v>
      </c>
    </row>
    <row r="1336" spans="1:7">
      <c r="A1336" s="33">
        <v>43251</v>
      </c>
      <c r="B1336" s="29" t="s">
        <v>7341</v>
      </c>
      <c r="C1336" s="29" t="s">
        <v>7342</v>
      </c>
      <c r="D1336" s="29" t="s">
        <v>7343</v>
      </c>
      <c r="E1336" s="92" t="s">
        <v>7344</v>
      </c>
      <c r="F1336" s="89" t="s">
        <v>4778</v>
      </c>
      <c r="G1336" s="29" t="s">
        <v>7345</v>
      </c>
    </row>
    <row r="1337" spans="1:7">
      <c r="A1337" s="33">
        <v>43252</v>
      </c>
      <c r="B1337" s="29" t="s">
        <v>7346</v>
      </c>
      <c r="C1337" s="29" t="s">
        <v>7347</v>
      </c>
      <c r="D1337" s="29" t="s">
        <v>7348</v>
      </c>
      <c r="E1337" s="92" t="s">
        <v>7349</v>
      </c>
      <c r="F1337" s="89" t="s">
        <v>4778</v>
      </c>
      <c r="G1337" s="29" t="s">
        <v>7340</v>
      </c>
    </row>
    <row r="1338" spans="1:7">
      <c r="A1338" s="33">
        <v>43253</v>
      </c>
      <c r="B1338" s="29" t="s">
        <v>7350</v>
      </c>
      <c r="C1338" s="29" t="s">
        <v>7351</v>
      </c>
      <c r="D1338" s="29" t="s">
        <v>7352</v>
      </c>
      <c r="E1338" s="92" t="s">
        <v>7353</v>
      </c>
      <c r="F1338" s="89" t="s">
        <v>4778</v>
      </c>
      <c r="G1338" s="29" t="s">
        <v>7089</v>
      </c>
    </row>
    <row r="1339" spans="1:7">
      <c r="A1339" s="33">
        <v>43254</v>
      </c>
      <c r="B1339" s="29" t="s">
        <v>7354</v>
      </c>
      <c r="C1339" s="29" t="s">
        <v>7355</v>
      </c>
      <c r="D1339" s="29" t="s">
        <v>7356</v>
      </c>
      <c r="E1339" s="92" t="s">
        <v>3825</v>
      </c>
      <c r="F1339" s="89" t="s">
        <v>4778</v>
      </c>
      <c r="G1339" s="29" t="s">
        <v>7357</v>
      </c>
    </row>
    <row r="1340" spans="1:7">
      <c r="A1340" s="33">
        <v>43255</v>
      </c>
      <c r="B1340" s="29" t="s">
        <v>7358</v>
      </c>
      <c r="C1340" s="29" t="s">
        <v>7359</v>
      </c>
      <c r="D1340" s="29" t="s">
        <v>7360</v>
      </c>
      <c r="E1340" s="92" t="s">
        <v>3849</v>
      </c>
      <c r="F1340" s="89" t="s">
        <v>4778</v>
      </c>
      <c r="G1340" s="29" t="s">
        <v>7361</v>
      </c>
    </row>
    <row r="1341" spans="1:7">
      <c r="A1341" s="33">
        <v>43256</v>
      </c>
      <c r="B1341" s="29" t="s">
        <v>7362</v>
      </c>
      <c r="C1341" s="29" t="s">
        <v>7363</v>
      </c>
      <c r="D1341" s="29">
        <v>7397</v>
      </c>
      <c r="E1341" s="92" t="s">
        <v>3837</v>
      </c>
      <c r="F1341" s="89" t="s">
        <v>4778</v>
      </c>
      <c r="G1341" s="29" t="s">
        <v>7364</v>
      </c>
    </row>
    <row r="1342" spans="1:7">
      <c r="A1342" s="33">
        <v>43257</v>
      </c>
      <c r="B1342" s="29" t="s">
        <v>7365</v>
      </c>
      <c r="C1342" s="29" t="s">
        <v>7366</v>
      </c>
      <c r="D1342" s="29" t="s">
        <v>7367</v>
      </c>
      <c r="E1342" s="92" t="s">
        <v>7368</v>
      </c>
      <c r="F1342" s="89" t="s">
        <v>4778</v>
      </c>
      <c r="G1342" s="29" t="s">
        <v>7369</v>
      </c>
    </row>
    <row r="1343" spans="1:7">
      <c r="A1343" s="33">
        <v>43258</v>
      </c>
      <c r="B1343" s="29" t="s">
        <v>7370</v>
      </c>
      <c r="C1343" s="29" t="s">
        <v>7371</v>
      </c>
      <c r="D1343" s="29" t="s">
        <v>7370</v>
      </c>
      <c r="E1343" s="92" t="s">
        <v>7372</v>
      </c>
      <c r="F1343" s="89" t="s">
        <v>4778</v>
      </c>
      <c r="G1343" s="29" t="s">
        <v>7373</v>
      </c>
    </row>
    <row r="1344" spans="1:7">
      <c r="A1344" s="33">
        <v>43259</v>
      </c>
      <c r="B1344" s="29" t="s">
        <v>7374</v>
      </c>
      <c r="C1344" s="29" t="s">
        <v>7375</v>
      </c>
      <c r="D1344" s="29" t="s">
        <v>7376</v>
      </c>
      <c r="E1344" s="92" t="s">
        <v>3853</v>
      </c>
      <c r="F1344" s="89" t="s">
        <v>4778</v>
      </c>
      <c r="G1344" s="29" t="s">
        <v>6630</v>
      </c>
    </row>
    <row r="1345" spans="1:7">
      <c r="A1345" s="33">
        <v>43260</v>
      </c>
      <c r="B1345" s="29" t="s">
        <v>7377</v>
      </c>
      <c r="C1345" s="29" t="s">
        <v>7378</v>
      </c>
      <c r="D1345" s="29" t="s">
        <v>4935</v>
      </c>
      <c r="E1345" s="92" t="s">
        <v>3877</v>
      </c>
      <c r="F1345" s="89" t="s">
        <v>4778</v>
      </c>
      <c r="G1345" s="29" t="s">
        <v>7379</v>
      </c>
    </row>
    <row r="1346" spans="1:7">
      <c r="A1346" s="33">
        <v>43261</v>
      </c>
      <c r="B1346" s="29" t="s">
        <v>7380</v>
      </c>
      <c r="C1346" s="29" t="s">
        <v>7380</v>
      </c>
      <c r="D1346" s="29" t="s">
        <v>7381</v>
      </c>
      <c r="E1346" s="92" t="s">
        <v>7382</v>
      </c>
      <c r="F1346" s="89" t="s">
        <v>4778</v>
      </c>
      <c r="G1346" s="29" t="s">
        <v>7383</v>
      </c>
    </row>
    <row r="1347" spans="1:7">
      <c r="A1347" s="33">
        <v>43262</v>
      </c>
      <c r="B1347" s="29" t="s">
        <v>7384</v>
      </c>
      <c r="C1347" s="29" t="s">
        <v>7385</v>
      </c>
      <c r="D1347" s="29" t="s">
        <v>7386</v>
      </c>
      <c r="E1347" s="92" t="s">
        <v>3865</v>
      </c>
      <c r="F1347" s="89" t="s">
        <v>7387</v>
      </c>
      <c r="G1347" s="29" t="s">
        <v>7388</v>
      </c>
    </row>
    <row r="1348" spans="1:7">
      <c r="A1348" s="33">
        <v>43263</v>
      </c>
      <c r="B1348" s="29" t="s">
        <v>7389</v>
      </c>
      <c r="C1348" s="29" t="s">
        <v>7390</v>
      </c>
      <c r="D1348" s="29" t="s">
        <v>7391</v>
      </c>
      <c r="E1348" s="92" t="s">
        <v>3579</v>
      </c>
      <c r="F1348" s="89" t="s">
        <v>7392</v>
      </c>
      <c r="G1348" s="29" t="s">
        <v>6554</v>
      </c>
    </row>
    <row r="1349" spans="1:7">
      <c r="A1349" s="33">
        <v>43264</v>
      </c>
      <c r="B1349" s="29" t="s">
        <v>7393</v>
      </c>
      <c r="C1349" s="29" t="s">
        <v>7394</v>
      </c>
      <c r="D1349" s="29" t="s">
        <v>7395</v>
      </c>
      <c r="E1349" s="92" t="s">
        <v>3893</v>
      </c>
      <c r="F1349" s="89" t="s">
        <v>7396</v>
      </c>
      <c r="G1349" s="29" t="s">
        <v>7397</v>
      </c>
    </row>
    <row r="1350" spans="1:7">
      <c r="A1350" s="33">
        <v>43265</v>
      </c>
      <c r="B1350" s="29" t="s">
        <v>7398</v>
      </c>
      <c r="C1350" s="29" t="s">
        <v>7399</v>
      </c>
      <c r="D1350" s="29" t="s">
        <v>7400</v>
      </c>
      <c r="E1350" s="92" t="s">
        <v>3575</v>
      </c>
      <c r="F1350" s="89" t="s">
        <v>7401</v>
      </c>
      <c r="G1350" s="29" t="s">
        <v>6661</v>
      </c>
    </row>
    <row r="1351" spans="1:7">
      <c r="A1351" s="33">
        <v>43266</v>
      </c>
      <c r="B1351" s="29" t="s">
        <v>7402</v>
      </c>
      <c r="C1351" s="29" t="s">
        <v>7403</v>
      </c>
      <c r="D1351" s="29" t="s">
        <v>7404</v>
      </c>
      <c r="E1351" s="92" t="s">
        <v>3897</v>
      </c>
      <c r="F1351" s="89" t="s">
        <v>7405</v>
      </c>
      <c r="G1351" s="29" t="s">
        <v>7406</v>
      </c>
    </row>
    <row r="1352" spans="1:7">
      <c r="A1352" s="33">
        <v>43267</v>
      </c>
      <c r="B1352" s="29" t="s">
        <v>7407</v>
      </c>
      <c r="C1352" s="29" t="s">
        <v>7408</v>
      </c>
      <c r="D1352" s="29" t="s">
        <v>7409</v>
      </c>
      <c r="E1352" s="92" t="s">
        <v>7410</v>
      </c>
      <c r="F1352" s="89" t="s">
        <v>7411</v>
      </c>
      <c r="G1352" s="29" t="s">
        <v>7412</v>
      </c>
    </row>
    <row r="1353" spans="1:7">
      <c r="A1353" s="33">
        <v>43268</v>
      </c>
      <c r="B1353" s="29" t="s">
        <v>7413</v>
      </c>
      <c r="C1353" s="29" t="s">
        <v>7414</v>
      </c>
      <c r="D1353" s="29" t="s">
        <v>5103</v>
      </c>
      <c r="E1353" s="92" t="s">
        <v>7415</v>
      </c>
      <c r="F1353" s="89" t="s">
        <v>7416</v>
      </c>
      <c r="G1353" s="29" t="s">
        <v>7417</v>
      </c>
    </row>
    <row r="1354" spans="1:7">
      <c r="A1354" s="33">
        <v>43269</v>
      </c>
      <c r="B1354" s="29" t="s">
        <v>7418</v>
      </c>
      <c r="C1354" s="29" t="s">
        <v>4778</v>
      </c>
      <c r="D1354" s="29" t="s">
        <v>7419</v>
      </c>
      <c r="E1354" s="92" t="s">
        <v>3873</v>
      </c>
      <c r="F1354" s="89" t="s">
        <v>7420</v>
      </c>
      <c r="G1354" s="29" t="s">
        <v>7421</v>
      </c>
    </row>
    <row r="1355" spans="1:7">
      <c r="A1355" s="33">
        <v>43270</v>
      </c>
      <c r="B1355" s="29" t="s">
        <v>7422</v>
      </c>
      <c r="C1355" s="29" t="s">
        <v>7423</v>
      </c>
      <c r="D1355" s="29" t="s">
        <v>7424</v>
      </c>
      <c r="E1355" s="92" t="s">
        <v>3571</v>
      </c>
      <c r="F1355" s="89" t="s">
        <v>7425</v>
      </c>
      <c r="G1355" s="29" t="s">
        <v>7327</v>
      </c>
    </row>
    <row r="1356" spans="1:7">
      <c r="A1356" s="33">
        <v>43271</v>
      </c>
      <c r="B1356" s="29" t="s">
        <v>7426</v>
      </c>
      <c r="C1356" s="29" t="s">
        <v>7427</v>
      </c>
      <c r="D1356" s="29" t="s">
        <v>7428</v>
      </c>
      <c r="E1356" s="92" t="s">
        <v>3909</v>
      </c>
      <c r="F1356" s="89" t="s">
        <v>7429</v>
      </c>
      <c r="G1356" s="29" t="s">
        <v>7430</v>
      </c>
    </row>
    <row r="1357" spans="1:7">
      <c r="A1357" s="33">
        <v>43272</v>
      </c>
      <c r="B1357" s="29" t="s">
        <v>7431</v>
      </c>
      <c r="C1357" s="29" t="s">
        <v>7432</v>
      </c>
      <c r="D1357" s="29" t="s">
        <v>7433</v>
      </c>
      <c r="E1357" s="92" t="s">
        <v>3901</v>
      </c>
      <c r="F1357" s="89" t="s">
        <v>7434</v>
      </c>
      <c r="G1357" s="29" t="s">
        <v>7435</v>
      </c>
    </row>
    <row r="1358" spans="1:7">
      <c r="A1358" s="33">
        <v>43273</v>
      </c>
      <c r="B1358" s="29" t="s">
        <v>7436</v>
      </c>
      <c r="C1358" s="29" t="s">
        <v>7437</v>
      </c>
      <c r="D1358" s="29" t="s">
        <v>7438</v>
      </c>
      <c r="E1358" s="92" t="s">
        <v>3881</v>
      </c>
      <c r="F1358" s="89" t="s">
        <v>7439</v>
      </c>
      <c r="G1358" s="29" t="s">
        <v>7440</v>
      </c>
    </row>
    <row r="1359" spans="1:7">
      <c r="A1359" s="33">
        <v>43274</v>
      </c>
      <c r="B1359" s="29" t="s">
        <v>7441</v>
      </c>
      <c r="C1359" s="29" t="s">
        <v>7442</v>
      </c>
      <c r="D1359" s="29" t="s">
        <v>7443</v>
      </c>
      <c r="E1359" s="92" t="s">
        <v>3869</v>
      </c>
      <c r="F1359" s="89" t="s">
        <v>7444</v>
      </c>
      <c r="G1359" s="29" t="s">
        <v>7445</v>
      </c>
    </row>
    <row r="1360" spans="1:7">
      <c r="A1360" s="33">
        <v>43275</v>
      </c>
      <c r="B1360" s="29" t="s">
        <v>7446</v>
      </c>
      <c r="C1360" s="29" t="s">
        <v>7447</v>
      </c>
      <c r="D1360" s="29" t="s">
        <v>7448</v>
      </c>
      <c r="E1360" s="92" t="s">
        <v>3885</v>
      </c>
      <c r="F1360" s="89" t="s">
        <v>7449</v>
      </c>
      <c r="G1360" s="29" t="s">
        <v>7077</v>
      </c>
    </row>
    <row r="1361" spans="1:7">
      <c r="A1361" s="33">
        <v>43276</v>
      </c>
      <c r="B1361" s="29" t="s">
        <v>7450</v>
      </c>
      <c r="C1361" s="29" t="s">
        <v>7451</v>
      </c>
      <c r="D1361" s="29" t="s">
        <v>7452</v>
      </c>
      <c r="E1361" s="92" t="s">
        <v>3551</v>
      </c>
      <c r="F1361" s="89" t="s">
        <v>7453</v>
      </c>
      <c r="G1361" s="29" t="s">
        <v>7113</v>
      </c>
    </row>
    <row r="1362" spans="1:7">
      <c r="A1362" s="33">
        <v>43277</v>
      </c>
      <c r="B1362" s="29" t="s">
        <v>7454</v>
      </c>
      <c r="C1362" s="29" t="s">
        <v>7455</v>
      </c>
      <c r="D1362" s="29" t="s">
        <v>5206</v>
      </c>
      <c r="E1362" s="92" t="s">
        <v>7456</v>
      </c>
      <c r="F1362" s="89" t="s">
        <v>7457</v>
      </c>
      <c r="G1362" s="29" t="s">
        <v>7458</v>
      </c>
    </row>
    <row r="1363" spans="1:7">
      <c r="A1363" s="33">
        <v>43278</v>
      </c>
      <c r="B1363" s="29" t="s">
        <v>7459</v>
      </c>
      <c r="C1363" s="29">
        <v>6180</v>
      </c>
      <c r="D1363" s="29" t="s">
        <v>7460</v>
      </c>
      <c r="E1363" s="92" t="s">
        <v>7461</v>
      </c>
      <c r="F1363" s="89" t="s">
        <v>7462</v>
      </c>
      <c r="G1363" s="29" t="s">
        <v>7463</v>
      </c>
    </row>
    <row r="1364" spans="1:7">
      <c r="A1364" s="33">
        <v>43279</v>
      </c>
      <c r="B1364" s="29" t="s">
        <v>7464</v>
      </c>
      <c r="C1364" s="29" t="s">
        <v>7465</v>
      </c>
      <c r="D1364" s="29" t="s">
        <v>7466</v>
      </c>
      <c r="E1364" s="92" t="s">
        <v>6133</v>
      </c>
      <c r="F1364" s="89" t="s">
        <v>7467</v>
      </c>
      <c r="G1364" s="29" t="s">
        <v>7468</v>
      </c>
    </row>
    <row r="1365" spans="1:7">
      <c r="A1365" s="33">
        <v>43280</v>
      </c>
      <c r="B1365" s="29" t="s">
        <v>7469</v>
      </c>
      <c r="C1365" s="29" t="s">
        <v>7470</v>
      </c>
      <c r="D1365" s="29" t="s">
        <v>7471</v>
      </c>
      <c r="E1365" s="92" t="s">
        <v>7472</v>
      </c>
      <c r="F1365" s="89" t="s">
        <v>7473</v>
      </c>
      <c r="G1365" s="29" t="s">
        <v>7474</v>
      </c>
    </row>
    <row r="1366" spans="1:7">
      <c r="A1366" s="33">
        <v>43281</v>
      </c>
      <c r="B1366" s="29" t="s">
        <v>7475</v>
      </c>
      <c r="C1366" s="29" t="s">
        <v>7476</v>
      </c>
      <c r="D1366" s="29" t="s">
        <v>7475</v>
      </c>
      <c r="E1366" s="92" t="s">
        <v>3587</v>
      </c>
      <c r="F1366" s="89" t="s">
        <v>7477</v>
      </c>
      <c r="G1366" s="29" t="s">
        <v>7478</v>
      </c>
    </row>
    <row r="1367" spans="1:7">
      <c r="A1367" s="33">
        <v>43282</v>
      </c>
      <c r="B1367" s="29" t="s">
        <v>7479</v>
      </c>
      <c r="C1367" s="29" t="s">
        <v>7480</v>
      </c>
      <c r="D1367" s="29" t="s">
        <v>7481</v>
      </c>
      <c r="E1367" s="92" t="s">
        <v>6091</v>
      </c>
      <c r="F1367" s="89" t="s">
        <v>7482</v>
      </c>
      <c r="G1367" s="29" t="s">
        <v>7483</v>
      </c>
    </row>
    <row r="1368" spans="1:7">
      <c r="A1368" s="33">
        <v>43283</v>
      </c>
      <c r="B1368" s="29" t="s">
        <v>7484</v>
      </c>
      <c r="C1368" s="29" t="s">
        <v>7485</v>
      </c>
      <c r="D1368" s="29" t="s">
        <v>7486</v>
      </c>
      <c r="E1368" s="92" t="s">
        <v>7487</v>
      </c>
      <c r="F1368" s="89" t="s">
        <v>7488</v>
      </c>
      <c r="G1368" s="29" t="s">
        <v>7489</v>
      </c>
    </row>
    <row r="1369" spans="1:7">
      <c r="A1369" s="33">
        <v>43284</v>
      </c>
      <c r="B1369" s="29" t="s">
        <v>7490</v>
      </c>
      <c r="C1369" s="29" t="s">
        <v>7491</v>
      </c>
      <c r="D1369" s="29" t="s">
        <v>7492</v>
      </c>
      <c r="E1369" s="92" t="s">
        <v>7493</v>
      </c>
      <c r="F1369" s="89" t="s">
        <v>7494</v>
      </c>
      <c r="G1369" s="29" t="s">
        <v>7495</v>
      </c>
    </row>
    <row r="1370" spans="1:7">
      <c r="A1370" s="33">
        <v>43285</v>
      </c>
      <c r="B1370" s="29" t="s">
        <v>7496</v>
      </c>
      <c r="C1370" s="29" t="s">
        <v>7497</v>
      </c>
      <c r="D1370" s="29" t="s">
        <v>7498</v>
      </c>
      <c r="E1370" s="92" t="s">
        <v>7499</v>
      </c>
      <c r="F1370" s="89" t="s">
        <v>7500</v>
      </c>
      <c r="G1370" s="29" t="s">
        <v>7501</v>
      </c>
    </row>
    <row r="1371" spans="1:7">
      <c r="A1371" s="33">
        <v>43286</v>
      </c>
      <c r="B1371" s="29" t="s">
        <v>7502</v>
      </c>
      <c r="C1371" s="29" t="s">
        <v>7503</v>
      </c>
      <c r="D1371" s="29" t="s">
        <v>7504</v>
      </c>
      <c r="E1371" s="92" t="s">
        <v>7505</v>
      </c>
      <c r="F1371" s="89" t="s">
        <v>7506</v>
      </c>
      <c r="G1371" s="35">
        <v>5000000000</v>
      </c>
    </row>
    <row r="1372" spans="1:7">
      <c r="A1372" s="33">
        <v>43287</v>
      </c>
      <c r="B1372" s="29" t="s">
        <v>7507</v>
      </c>
      <c r="C1372" s="29" t="s">
        <v>7508</v>
      </c>
      <c r="D1372" s="29" t="s">
        <v>7509</v>
      </c>
      <c r="E1372" s="92" t="s">
        <v>7510</v>
      </c>
      <c r="F1372" s="89" t="s">
        <v>7511</v>
      </c>
      <c r="G1372" s="29" t="s">
        <v>7512</v>
      </c>
    </row>
    <row r="1373" spans="1:7">
      <c r="A1373" s="33">
        <v>43288</v>
      </c>
      <c r="B1373" s="29" t="s">
        <v>7513</v>
      </c>
      <c r="C1373" s="29" t="s">
        <v>7514</v>
      </c>
      <c r="D1373" s="29" t="s">
        <v>7515</v>
      </c>
      <c r="E1373" s="92" t="s">
        <v>7516</v>
      </c>
      <c r="F1373" s="89" t="s">
        <v>7517</v>
      </c>
      <c r="G1373" s="29" t="s">
        <v>7406</v>
      </c>
    </row>
    <row r="1374" spans="1:7">
      <c r="A1374" s="33">
        <v>43289</v>
      </c>
      <c r="B1374" s="29" t="s">
        <v>7518</v>
      </c>
      <c r="C1374" s="29" t="s">
        <v>7519</v>
      </c>
      <c r="D1374" s="29" t="s">
        <v>7520</v>
      </c>
      <c r="E1374" s="92" t="s">
        <v>6032</v>
      </c>
      <c r="F1374" s="89" t="s">
        <v>7521</v>
      </c>
      <c r="G1374" s="29" t="s">
        <v>7522</v>
      </c>
    </row>
    <row r="1375" spans="1:7">
      <c r="A1375" s="33">
        <v>43290</v>
      </c>
      <c r="B1375" s="29" t="s">
        <v>7523</v>
      </c>
      <c r="C1375" s="29" t="s">
        <v>7524</v>
      </c>
      <c r="D1375" s="29" t="s">
        <v>7525</v>
      </c>
      <c r="E1375" s="92" t="s">
        <v>7526</v>
      </c>
      <c r="F1375" s="89" t="s">
        <v>7527</v>
      </c>
      <c r="G1375" s="29" t="s">
        <v>7528</v>
      </c>
    </row>
    <row r="1376" spans="1:7">
      <c r="A1376" s="33">
        <v>43291</v>
      </c>
      <c r="B1376" s="29" t="s">
        <v>7529</v>
      </c>
      <c r="C1376" s="29" t="s">
        <v>7530</v>
      </c>
      <c r="D1376" s="29" t="s">
        <v>7531</v>
      </c>
      <c r="E1376" s="92" t="s">
        <v>3905</v>
      </c>
      <c r="F1376" s="89" t="s">
        <v>7532</v>
      </c>
      <c r="G1376" s="29" t="s">
        <v>7323</v>
      </c>
    </row>
    <row r="1377" spans="1:7">
      <c r="A1377" s="33">
        <v>43292</v>
      </c>
      <c r="B1377" s="29" t="s">
        <v>7533</v>
      </c>
      <c r="C1377" s="29" t="s">
        <v>7534</v>
      </c>
      <c r="D1377" s="29" t="s">
        <v>7535</v>
      </c>
      <c r="E1377" s="92" t="s">
        <v>7536</v>
      </c>
      <c r="F1377" s="89" t="s">
        <v>7537</v>
      </c>
      <c r="G1377" s="29" t="s">
        <v>7538</v>
      </c>
    </row>
    <row r="1378" spans="1:7">
      <c r="A1378" s="33">
        <v>43293</v>
      </c>
      <c r="B1378" s="29" t="s">
        <v>7539</v>
      </c>
      <c r="C1378" s="29" t="s">
        <v>7540</v>
      </c>
      <c r="D1378" s="29" t="s">
        <v>7541</v>
      </c>
      <c r="E1378" s="92" t="s">
        <v>3583</v>
      </c>
      <c r="F1378" s="89" t="s">
        <v>7542</v>
      </c>
      <c r="G1378" s="29" t="s">
        <v>7125</v>
      </c>
    </row>
    <row r="1379" spans="1:7">
      <c r="A1379" s="33">
        <v>43294</v>
      </c>
      <c r="B1379" s="29" t="s">
        <v>7543</v>
      </c>
      <c r="C1379" s="29" t="s">
        <v>7544</v>
      </c>
      <c r="D1379" s="29" t="s">
        <v>7545</v>
      </c>
      <c r="E1379" s="92" t="s">
        <v>7546</v>
      </c>
      <c r="F1379" s="89" t="s">
        <v>7547</v>
      </c>
      <c r="G1379" s="29" t="s">
        <v>7548</v>
      </c>
    </row>
    <row r="1380" spans="1:7">
      <c r="A1380" s="33">
        <v>43295</v>
      </c>
      <c r="B1380" s="29" t="s">
        <v>7549</v>
      </c>
      <c r="C1380" s="29" t="s">
        <v>7550</v>
      </c>
      <c r="D1380" s="29" t="s">
        <v>7551</v>
      </c>
      <c r="E1380" s="92" t="s">
        <v>7552</v>
      </c>
      <c r="F1380" s="89" t="s">
        <v>7553</v>
      </c>
      <c r="G1380" s="29" t="s">
        <v>7554</v>
      </c>
    </row>
    <row r="1381" spans="1:7">
      <c r="A1381" s="33">
        <v>43296</v>
      </c>
      <c r="B1381" s="29" t="s">
        <v>7555</v>
      </c>
      <c r="C1381" s="29" t="s">
        <v>7556</v>
      </c>
      <c r="D1381" s="29" t="s">
        <v>7557</v>
      </c>
      <c r="E1381" s="92" t="s">
        <v>7558</v>
      </c>
      <c r="F1381" s="89" t="s">
        <v>7559</v>
      </c>
      <c r="G1381" s="29" t="s">
        <v>7560</v>
      </c>
    </row>
    <row r="1382" spans="1:7">
      <c r="A1382" s="33">
        <v>43297</v>
      </c>
      <c r="B1382" s="29" t="s">
        <v>7561</v>
      </c>
      <c r="C1382" s="29" t="s">
        <v>5037</v>
      </c>
      <c r="D1382" s="29" t="s">
        <v>7561</v>
      </c>
      <c r="E1382" s="92" t="s">
        <v>3248</v>
      </c>
      <c r="F1382" s="89" t="s">
        <v>7562</v>
      </c>
      <c r="G1382" s="29" t="s">
        <v>7563</v>
      </c>
    </row>
    <row r="1383" spans="1:7">
      <c r="A1383" s="33">
        <v>43298</v>
      </c>
      <c r="B1383" s="29" t="s">
        <v>7564</v>
      </c>
      <c r="C1383" s="29" t="s">
        <v>7565</v>
      </c>
      <c r="D1383" s="29" t="s">
        <v>7566</v>
      </c>
      <c r="E1383" s="92" t="s">
        <v>7567</v>
      </c>
      <c r="F1383" s="89" t="s">
        <v>7568</v>
      </c>
      <c r="G1383" s="29" t="s">
        <v>7569</v>
      </c>
    </row>
    <row r="1384" spans="1:7">
      <c r="A1384" s="33">
        <v>43299</v>
      </c>
      <c r="B1384" s="29" t="s">
        <v>7570</v>
      </c>
      <c r="C1384" s="29" t="s">
        <v>7571</v>
      </c>
      <c r="D1384" s="29" t="s">
        <v>7572</v>
      </c>
      <c r="E1384" s="92" t="s">
        <v>5994</v>
      </c>
      <c r="F1384" s="89" t="s">
        <v>7573</v>
      </c>
      <c r="G1384" s="29" t="s">
        <v>7574</v>
      </c>
    </row>
    <row r="1385" spans="1:7">
      <c r="A1385" s="33">
        <v>43300</v>
      </c>
      <c r="B1385" s="29" t="s">
        <v>7575</v>
      </c>
      <c r="C1385" s="29" t="s">
        <v>7576</v>
      </c>
      <c r="D1385" s="29" t="s">
        <v>7577</v>
      </c>
      <c r="E1385" s="92" t="s">
        <v>3160</v>
      </c>
      <c r="F1385" s="89" t="s">
        <v>7578</v>
      </c>
      <c r="G1385" s="29" t="s">
        <v>7579</v>
      </c>
    </row>
    <row r="1386" spans="1:7">
      <c r="A1386" s="33">
        <v>43301</v>
      </c>
      <c r="B1386" s="29" t="s">
        <v>7580</v>
      </c>
      <c r="C1386" s="29" t="s">
        <v>7581</v>
      </c>
      <c r="D1386" s="29" t="s">
        <v>7582</v>
      </c>
      <c r="E1386" s="92" t="s">
        <v>7583</v>
      </c>
      <c r="F1386" s="89" t="s">
        <v>7584</v>
      </c>
      <c r="G1386" s="29" t="s">
        <v>7089</v>
      </c>
    </row>
    <row r="1387" spans="1:7">
      <c r="A1387" s="33">
        <v>43302</v>
      </c>
      <c r="B1387" s="29" t="s">
        <v>7585</v>
      </c>
      <c r="C1387" s="29" t="s">
        <v>7586</v>
      </c>
      <c r="D1387" s="29" t="s">
        <v>7587</v>
      </c>
      <c r="E1387" s="92" t="s">
        <v>6090</v>
      </c>
      <c r="F1387" s="89" t="s">
        <v>7588</v>
      </c>
      <c r="G1387" s="29" t="s">
        <v>7589</v>
      </c>
    </row>
    <row r="1388" spans="1:7">
      <c r="A1388" s="33">
        <v>43303</v>
      </c>
      <c r="B1388" s="29" t="s">
        <v>7590</v>
      </c>
      <c r="C1388" s="29" t="s">
        <v>7591</v>
      </c>
      <c r="D1388" s="29" t="s">
        <v>7592</v>
      </c>
      <c r="E1388" s="92" t="s">
        <v>3240</v>
      </c>
      <c r="F1388" s="89" t="s">
        <v>7593</v>
      </c>
      <c r="G1388" s="29" t="s">
        <v>7594</v>
      </c>
    </row>
    <row r="1389" spans="1:7">
      <c r="A1389" s="33">
        <v>43304</v>
      </c>
      <c r="B1389" s="29" t="s">
        <v>7595</v>
      </c>
      <c r="C1389" s="29" t="s">
        <v>7596</v>
      </c>
      <c r="D1389" s="29" t="s">
        <v>7597</v>
      </c>
      <c r="E1389" s="92" t="s">
        <v>7598</v>
      </c>
      <c r="F1389" s="89" t="s">
        <v>7599</v>
      </c>
      <c r="G1389" s="29" t="s">
        <v>7345</v>
      </c>
    </row>
    <row r="1390" spans="1:7">
      <c r="A1390" s="33">
        <v>43305</v>
      </c>
      <c r="B1390" s="29" t="s">
        <v>7600</v>
      </c>
      <c r="C1390" s="29" t="s">
        <v>4856</v>
      </c>
      <c r="D1390" s="29" t="s">
        <v>7601</v>
      </c>
      <c r="E1390" s="92" t="s">
        <v>332</v>
      </c>
      <c r="F1390" s="89" t="s">
        <v>7602</v>
      </c>
      <c r="G1390" s="29" t="s">
        <v>7603</v>
      </c>
    </row>
    <row r="1391" spans="1:7">
      <c r="A1391" s="33">
        <v>43306</v>
      </c>
      <c r="B1391" s="29" t="s">
        <v>7604</v>
      </c>
      <c r="C1391" s="29" t="s">
        <v>7605</v>
      </c>
      <c r="D1391" s="29" t="s">
        <v>7606</v>
      </c>
      <c r="E1391" s="92" t="s">
        <v>3153</v>
      </c>
      <c r="F1391" s="89" t="s">
        <v>7607</v>
      </c>
      <c r="G1391" s="29" t="s">
        <v>7608</v>
      </c>
    </row>
    <row r="1392" spans="1:7">
      <c r="A1392" s="33">
        <v>43307</v>
      </c>
      <c r="B1392" s="29" t="s">
        <v>7609</v>
      </c>
      <c r="C1392" s="29" t="s">
        <v>7610</v>
      </c>
      <c r="D1392" s="29" t="s">
        <v>7611</v>
      </c>
      <c r="E1392" s="92" t="s">
        <v>7612</v>
      </c>
      <c r="F1392" s="89" t="s">
        <v>7613</v>
      </c>
      <c r="G1392" s="29" t="s">
        <v>7614</v>
      </c>
    </row>
    <row r="1393" spans="1:7">
      <c r="A1393" s="33">
        <v>43308</v>
      </c>
      <c r="B1393" s="29" t="s">
        <v>7615</v>
      </c>
      <c r="C1393" s="29" t="s">
        <v>7616</v>
      </c>
      <c r="D1393" s="29" t="s">
        <v>7617</v>
      </c>
      <c r="E1393" s="92" t="s">
        <v>3149</v>
      </c>
      <c r="F1393" s="89" t="s">
        <v>7618</v>
      </c>
      <c r="G1393" s="29" t="s">
        <v>7619</v>
      </c>
    </row>
    <row r="1394" spans="1:7">
      <c r="A1394" s="33">
        <v>43309</v>
      </c>
      <c r="B1394" s="29" t="s">
        <v>7620</v>
      </c>
      <c r="C1394" s="29" t="s">
        <v>7621</v>
      </c>
      <c r="D1394" s="29" t="s">
        <v>7622</v>
      </c>
      <c r="E1394" s="92" t="s">
        <v>7623</v>
      </c>
      <c r="F1394" s="89" t="s">
        <v>7624</v>
      </c>
      <c r="G1394" s="29" t="s">
        <v>7625</v>
      </c>
    </row>
    <row r="1395" spans="1:7">
      <c r="A1395" s="33">
        <v>43310</v>
      </c>
      <c r="B1395" s="29" t="s">
        <v>7626</v>
      </c>
      <c r="C1395" s="29" t="s">
        <v>7627</v>
      </c>
      <c r="D1395" s="29" t="s">
        <v>7628</v>
      </c>
      <c r="E1395" s="92" t="s">
        <v>7629</v>
      </c>
      <c r="F1395" s="89" t="s">
        <v>7630</v>
      </c>
      <c r="G1395" s="29" t="s">
        <v>7631</v>
      </c>
    </row>
    <row r="1396" spans="1:7">
      <c r="A1396" s="33">
        <v>43311</v>
      </c>
      <c r="B1396" s="29" t="s">
        <v>7632</v>
      </c>
      <c r="C1396" s="29" t="s">
        <v>7633</v>
      </c>
      <c r="D1396" s="29" t="s">
        <v>7634</v>
      </c>
      <c r="E1396" s="92" t="s">
        <v>2461</v>
      </c>
      <c r="F1396" s="89" t="s">
        <v>7635</v>
      </c>
      <c r="G1396" s="29" t="s">
        <v>7636</v>
      </c>
    </row>
    <row r="1397" spans="1:7">
      <c r="A1397" s="33">
        <v>43312</v>
      </c>
      <c r="B1397" s="29" t="s">
        <v>7637</v>
      </c>
      <c r="C1397" s="29" t="s">
        <v>7638</v>
      </c>
      <c r="D1397" s="29" t="s">
        <v>7639</v>
      </c>
      <c r="E1397" s="92" t="s">
        <v>2457</v>
      </c>
      <c r="F1397" s="89" t="s">
        <v>7640</v>
      </c>
      <c r="G1397" s="29" t="s">
        <v>7039</v>
      </c>
    </row>
    <row r="1398" spans="1:7">
      <c r="A1398" s="33">
        <v>43313</v>
      </c>
      <c r="B1398" s="29" t="s">
        <v>7641</v>
      </c>
      <c r="C1398" s="29" t="s">
        <v>7641</v>
      </c>
      <c r="D1398" s="29" t="s">
        <v>7642</v>
      </c>
      <c r="E1398" s="92" t="s">
        <v>3244</v>
      </c>
      <c r="F1398" s="89" t="s">
        <v>7643</v>
      </c>
      <c r="G1398" s="29" t="s">
        <v>7644</v>
      </c>
    </row>
    <row r="1399" spans="1:7">
      <c r="A1399" s="33">
        <v>43314</v>
      </c>
      <c r="B1399" s="29" t="s">
        <v>7645</v>
      </c>
      <c r="C1399" s="29" t="s">
        <v>7646</v>
      </c>
      <c r="D1399" s="29" t="s">
        <v>7647</v>
      </c>
      <c r="E1399" s="92" t="s">
        <v>7648</v>
      </c>
      <c r="F1399" s="89" t="s">
        <v>7649</v>
      </c>
      <c r="G1399" s="29" t="s">
        <v>7650</v>
      </c>
    </row>
    <row r="1400" spans="1:7">
      <c r="A1400" s="33">
        <v>43315</v>
      </c>
      <c r="B1400" s="29" t="s">
        <v>7651</v>
      </c>
      <c r="C1400" s="29" t="s">
        <v>7651</v>
      </c>
      <c r="D1400" s="29" t="s">
        <v>7652</v>
      </c>
      <c r="E1400" s="92" t="s">
        <v>3156</v>
      </c>
      <c r="F1400" s="89" t="s">
        <v>7653</v>
      </c>
      <c r="G1400" s="29" t="s">
        <v>7654</v>
      </c>
    </row>
    <row r="1401" spans="1:7">
      <c r="A1401" s="33">
        <v>43316</v>
      </c>
      <c r="B1401" s="29" t="s">
        <v>7655</v>
      </c>
      <c r="C1401" s="29" t="s">
        <v>7656</v>
      </c>
      <c r="D1401" s="29" t="s">
        <v>7657</v>
      </c>
      <c r="E1401" s="92" t="s">
        <v>2465</v>
      </c>
      <c r="F1401" s="89" t="s">
        <v>7658</v>
      </c>
      <c r="G1401" s="29" t="s">
        <v>7138</v>
      </c>
    </row>
    <row r="1402" spans="1:7">
      <c r="A1402" s="33">
        <v>43317</v>
      </c>
      <c r="B1402" s="29" t="s">
        <v>7659</v>
      </c>
      <c r="C1402" s="29" t="s">
        <v>7660</v>
      </c>
      <c r="D1402" s="29" t="s">
        <v>7661</v>
      </c>
      <c r="E1402" s="92" t="s">
        <v>3140</v>
      </c>
      <c r="F1402" s="89" t="s">
        <v>7662</v>
      </c>
      <c r="G1402" s="29" t="s">
        <v>7663</v>
      </c>
    </row>
    <row r="1403" spans="1:7">
      <c r="A1403" s="33">
        <v>43318</v>
      </c>
      <c r="B1403" s="29" t="s">
        <v>7664</v>
      </c>
      <c r="C1403" s="29" t="s">
        <v>7665</v>
      </c>
      <c r="D1403" s="29" t="s">
        <v>7666</v>
      </c>
      <c r="E1403" s="92" t="s">
        <v>7667</v>
      </c>
      <c r="F1403" s="89" t="s">
        <v>7668</v>
      </c>
      <c r="G1403" s="29" t="s">
        <v>7669</v>
      </c>
    </row>
    <row r="1404" spans="1:7">
      <c r="A1404" s="33">
        <v>43319</v>
      </c>
      <c r="B1404" s="29" t="s">
        <v>7670</v>
      </c>
      <c r="C1404" s="29" t="s">
        <v>7671</v>
      </c>
      <c r="D1404" s="29" t="s">
        <v>7672</v>
      </c>
      <c r="E1404" s="92" t="s">
        <v>3236</v>
      </c>
      <c r="F1404" s="89" t="s">
        <v>7673</v>
      </c>
      <c r="G1404" s="29" t="s">
        <v>4778</v>
      </c>
    </row>
    <row r="1405" spans="1:7">
      <c r="A1405" s="33">
        <v>43320</v>
      </c>
      <c r="B1405" s="29" t="s">
        <v>7674</v>
      </c>
      <c r="C1405" s="29" t="s">
        <v>7674</v>
      </c>
      <c r="D1405" s="29" t="s">
        <v>7675</v>
      </c>
      <c r="E1405" s="92" t="s">
        <v>3164</v>
      </c>
      <c r="F1405" s="89" t="s">
        <v>7676</v>
      </c>
      <c r="G1405" s="29" t="s">
        <v>6634</v>
      </c>
    </row>
    <row r="1406" spans="1:7">
      <c r="A1406" s="33">
        <v>43321</v>
      </c>
      <c r="B1406" s="29" t="s">
        <v>7677</v>
      </c>
      <c r="C1406" s="29" t="s">
        <v>7678</v>
      </c>
      <c r="D1406" s="29" t="s">
        <v>7679</v>
      </c>
      <c r="E1406" s="92" t="s">
        <v>2469</v>
      </c>
      <c r="F1406" s="89" t="s">
        <v>7680</v>
      </c>
      <c r="G1406" s="29" t="s">
        <v>7138</v>
      </c>
    </row>
    <row r="1407" spans="1:7">
      <c r="A1407" s="33">
        <v>43322</v>
      </c>
      <c r="B1407" s="29" t="s">
        <v>7681</v>
      </c>
      <c r="C1407" s="29" t="s">
        <v>7682</v>
      </c>
      <c r="D1407" s="29" t="s">
        <v>7683</v>
      </c>
      <c r="E1407" s="92" t="s">
        <v>7684</v>
      </c>
      <c r="F1407" s="89" t="s">
        <v>7685</v>
      </c>
      <c r="G1407" s="29" t="s">
        <v>7105</v>
      </c>
    </row>
    <row r="1408" spans="1:7">
      <c r="A1408" s="33">
        <v>43323</v>
      </c>
      <c r="B1408" s="29" t="s">
        <v>7686</v>
      </c>
      <c r="C1408" s="29" t="s">
        <v>7687</v>
      </c>
      <c r="D1408" s="29" t="s">
        <v>7688</v>
      </c>
      <c r="E1408" s="92" t="s">
        <v>7689</v>
      </c>
      <c r="F1408" s="89" t="s">
        <v>7690</v>
      </c>
      <c r="G1408" s="29" t="s">
        <v>7323</v>
      </c>
    </row>
    <row r="1409" spans="1:7">
      <c r="A1409" s="33">
        <v>43324</v>
      </c>
      <c r="B1409" s="29" t="s">
        <v>7691</v>
      </c>
      <c r="C1409" s="29" t="s">
        <v>7692</v>
      </c>
      <c r="D1409" s="29" t="s">
        <v>7693</v>
      </c>
      <c r="E1409" s="92" t="s">
        <v>2453</v>
      </c>
      <c r="F1409" s="89" t="s">
        <v>7694</v>
      </c>
      <c r="G1409" s="29" t="s">
        <v>7695</v>
      </c>
    </row>
    <row r="1410" spans="1:7">
      <c r="A1410" s="33">
        <v>43325</v>
      </c>
      <c r="B1410" s="29" t="s">
        <v>7696</v>
      </c>
      <c r="C1410" s="29" t="s">
        <v>4778</v>
      </c>
      <c r="D1410" s="29" t="s">
        <v>7697</v>
      </c>
      <c r="E1410" s="92" t="s">
        <v>2449</v>
      </c>
      <c r="F1410" s="89" t="s">
        <v>7698</v>
      </c>
      <c r="G1410" s="29" t="s">
        <v>7699</v>
      </c>
    </row>
    <row r="1411" spans="1:7">
      <c r="A1411" s="33">
        <v>43326</v>
      </c>
      <c r="B1411" s="29" t="s">
        <v>7700</v>
      </c>
      <c r="C1411" s="29" t="s">
        <v>7701</v>
      </c>
      <c r="D1411" s="29" t="s">
        <v>7702</v>
      </c>
      <c r="E1411" s="92" t="s">
        <v>3168</v>
      </c>
      <c r="F1411" s="89" t="s">
        <v>7703</v>
      </c>
      <c r="G1411" s="29" t="s">
        <v>7704</v>
      </c>
    </row>
    <row r="1412" spans="1:7">
      <c r="A1412" s="33">
        <v>43327</v>
      </c>
      <c r="B1412" s="29" t="s">
        <v>7705</v>
      </c>
      <c r="C1412" s="29" t="s">
        <v>7706</v>
      </c>
      <c r="D1412" s="29" t="s">
        <v>7705</v>
      </c>
      <c r="E1412" s="92" t="s">
        <v>7707</v>
      </c>
      <c r="F1412" s="89" t="s">
        <v>7708</v>
      </c>
      <c r="G1412" s="29" t="s">
        <v>7614</v>
      </c>
    </row>
    <row r="1413" spans="1:7">
      <c r="A1413" s="33">
        <v>43328</v>
      </c>
      <c r="B1413" s="29" t="s">
        <v>7709</v>
      </c>
      <c r="C1413" s="29" t="s">
        <v>7710</v>
      </c>
      <c r="D1413" s="29" t="s">
        <v>7711</v>
      </c>
      <c r="E1413" s="92" t="s">
        <v>2473</v>
      </c>
      <c r="F1413" s="89" t="s">
        <v>7712</v>
      </c>
      <c r="G1413" s="29" t="s">
        <v>7109</v>
      </c>
    </row>
    <row r="1414" spans="1:7">
      <c r="A1414" s="33">
        <v>43329</v>
      </c>
      <c r="B1414" s="29" t="s">
        <v>7713</v>
      </c>
      <c r="C1414" s="29" t="s">
        <v>7714</v>
      </c>
      <c r="D1414" s="29" t="s">
        <v>7715</v>
      </c>
      <c r="E1414" s="92" t="s">
        <v>308</v>
      </c>
      <c r="F1414" s="89" t="s">
        <v>7716</v>
      </c>
      <c r="G1414" s="29" t="s">
        <v>7361</v>
      </c>
    </row>
    <row r="1415" spans="1:7">
      <c r="A1415" s="33">
        <v>43330</v>
      </c>
      <c r="B1415" s="29" t="s">
        <v>7717</v>
      </c>
      <c r="C1415" s="29" t="s">
        <v>7718</v>
      </c>
      <c r="D1415" s="29" t="s">
        <v>7719</v>
      </c>
      <c r="E1415" s="92" t="s">
        <v>2402</v>
      </c>
      <c r="F1415" s="89" t="s">
        <v>7720</v>
      </c>
      <c r="G1415" s="29" t="s">
        <v>7128</v>
      </c>
    </row>
    <row r="1416" spans="1:7">
      <c r="A1416" s="33">
        <v>43331</v>
      </c>
      <c r="B1416" s="29" t="s">
        <v>7721</v>
      </c>
      <c r="C1416" s="29" t="s">
        <v>7722</v>
      </c>
      <c r="D1416" s="29" t="s">
        <v>7723</v>
      </c>
      <c r="E1416" s="92" t="s">
        <v>2441</v>
      </c>
      <c r="F1416" s="89" t="s">
        <v>7724</v>
      </c>
      <c r="G1416" s="29" t="s">
        <v>7725</v>
      </c>
    </row>
    <row r="1417" spans="1:7">
      <c r="A1417" s="33">
        <v>43332</v>
      </c>
      <c r="B1417" s="29" t="s">
        <v>7726</v>
      </c>
      <c r="C1417" s="29" t="s">
        <v>7727</v>
      </c>
      <c r="D1417" s="29" t="s">
        <v>7728</v>
      </c>
      <c r="E1417" s="92" t="s">
        <v>2406</v>
      </c>
      <c r="F1417" s="89" t="s">
        <v>7729</v>
      </c>
      <c r="G1417" s="29" t="s">
        <v>6611</v>
      </c>
    </row>
    <row r="1418" spans="1:7">
      <c r="A1418" s="33">
        <v>43333</v>
      </c>
      <c r="B1418" s="29" t="s">
        <v>7730</v>
      </c>
      <c r="C1418" s="29" t="s">
        <v>7731</v>
      </c>
      <c r="D1418" s="29" t="s">
        <v>7732</v>
      </c>
      <c r="E1418" s="92" t="s">
        <v>7733</v>
      </c>
      <c r="F1418" s="89" t="s">
        <v>7734</v>
      </c>
      <c r="G1418" s="29" t="s">
        <v>7735</v>
      </c>
    </row>
    <row r="1419" spans="1:7">
      <c r="A1419" s="33">
        <v>43334</v>
      </c>
      <c r="B1419" s="29" t="s">
        <v>7736</v>
      </c>
      <c r="C1419" s="29" t="s">
        <v>7737</v>
      </c>
      <c r="D1419" s="29" t="s">
        <v>7738</v>
      </c>
      <c r="E1419" s="92" t="s">
        <v>320</v>
      </c>
      <c r="F1419" s="89" t="s">
        <v>7739</v>
      </c>
      <c r="G1419" s="29" t="s">
        <v>7495</v>
      </c>
    </row>
    <row r="1420" spans="1:7">
      <c r="A1420" s="33">
        <v>43335</v>
      </c>
      <c r="B1420" s="29" t="s">
        <v>7740</v>
      </c>
      <c r="C1420" s="29" t="s">
        <v>7741</v>
      </c>
      <c r="D1420" s="29" t="s">
        <v>7740</v>
      </c>
      <c r="E1420" s="92" t="s">
        <v>3082</v>
      </c>
      <c r="F1420" s="89" t="s">
        <v>7742</v>
      </c>
      <c r="G1420" s="29" t="s">
        <v>7445</v>
      </c>
    </row>
    <row r="1421" spans="1:7">
      <c r="A1421" s="33">
        <v>43336</v>
      </c>
      <c r="B1421" s="29" t="s">
        <v>7743</v>
      </c>
      <c r="C1421" s="29" t="s">
        <v>5045</v>
      </c>
      <c r="D1421" s="29" t="s">
        <v>7744</v>
      </c>
      <c r="E1421" s="92" t="s">
        <v>328</v>
      </c>
      <c r="F1421" s="89" t="s">
        <v>7745</v>
      </c>
      <c r="G1421" s="29" t="s">
        <v>7746</v>
      </c>
    </row>
    <row r="1422" spans="1:7">
      <c r="A1422" s="33">
        <v>43337</v>
      </c>
      <c r="B1422" s="29" t="s">
        <v>7747</v>
      </c>
      <c r="C1422" s="29" t="s">
        <v>7748</v>
      </c>
      <c r="D1422" s="29" t="s">
        <v>7749</v>
      </c>
      <c r="E1422" s="92" t="s">
        <v>3090</v>
      </c>
      <c r="F1422" s="89" t="s">
        <v>7750</v>
      </c>
      <c r="G1422" s="29" t="s">
        <v>7725</v>
      </c>
    </row>
    <row r="1423" spans="1:7">
      <c r="A1423" s="33">
        <v>43338</v>
      </c>
      <c r="B1423" s="29" t="s">
        <v>7751</v>
      </c>
      <c r="C1423" s="29" t="s">
        <v>4778</v>
      </c>
      <c r="D1423" s="29" t="s">
        <v>7752</v>
      </c>
      <c r="E1423" s="92" t="s">
        <v>7753</v>
      </c>
      <c r="F1423" s="89" t="s">
        <v>7754</v>
      </c>
      <c r="G1423" s="29" t="s">
        <v>7463</v>
      </c>
    </row>
    <row r="1424" spans="1:7">
      <c r="A1424" s="33">
        <v>43339</v>
      </c>
      <c r="B1424" s="29" t="s">
        <v>7755</v>
      </c>
      <c r="C1424" s="29" t="s">
        <v>5017</v>
      </c>
      <c r="D1424" s="29" t="s">
        <v>7756</v>
      </c>
      <c r="E1424" s="92" t="s">
        <v>7757</v>
      </c>
      <c r="F1424" s="89" t="s">
        <v>7758</v>
      </c>
      <c r="G1424" s="29" t="s">
        <v>7759</v>
      </c>
    </row>
    <row r="1425" spans="1:7">
      <c r="A1425" s="33">
        <v>43340</v>
      </c>
      <c r="B1425" s="29" t="s">
        <v>7760</v>
      </c>
      <c r="C1425" s="29" t="s">
        <v>7761</v>
      </c>
      <c r="D1425" s="29" t="s">
        <v>7762</v>
      </c>
      <c r="E1425" s="92" t="s">
        <v>7763</v>
      </c>
      <c r="F1425" s="89" t="s">
        <v>7764</v>
      </c>
      <c r="G1425" s="29" t="s">
        <v>7765</v>
      </c>
    </row>
    <row r="1426" spans="1:7">
      <c r="A1426" s="33">
        <v>43341</v>
      </c>
      <c r="B1426" s="29" t="s">
        <v>7766</v>
      </c>
      <c r="C1426" s="29" t="s">
        <v>7767</v>
      </c>
      <c r="D1426" s="29" t="s">
        <v>7768</v>
      </c>
      <c r="E1426" s="92" t="s">
        <v>2410</v>
      </c>
      <c r="F1426" s="89" t="s">
        <v>7769</v>
      </c>
      <c r="G1426" s="29" t="s">
        <v>6389</v>
      </c>
    </row>
    <row r="1427" spans="1:7">
      <c r="A1427" s="33">
        <v>43342</v>
      </c>
      <c r="B1427" s="29" t="s">
        <v>7770</v>
      </c>
      <c r="C1427" s="29" t="s">
        <v>7771</v>
      </c>
      <c r="D1427" s="29" t="s">
        <v>7772</v>
      </c>
      <c r="E1427" s="92" t="s">
        <v>3188</v>
      </c>
      <c r="F1427" s="89" t="s">
        <v>7773</v>
      </c>
      <c r="G1427" s="29" t="s">
        <v>7774</v>
      </c>
    </row>
    <row r="1428" spans="1:7">
      <c r="A1428" s="33">
        <v>43343</v>
      </c>
      <c r="B1428" s="29" t="s">
        <v>7775</v>
      </c>
      <c r="C1428" s="29" t="s">
        <v>7776</v>
      </c>
      <c r="D1428" s="29" t="s">
        <v>7777</v>
      </c>
      <c r="E1428" s="92" t="s">
        <v>3145</v>
      </c>
      <c r="F1428" s="89" t="s">
        <v>7778</v>
      </c>
      <c r="G1428" s="29" t="s">
        <v>7779</v>
      </c>
    </row>
    <row r="1429" spans="1:7">
      <c r="A1429" s="33">
        <v>43344</v>
      </c>
      <c r="B1429" s="29" t="s">
        <v>7780</v>
      </c>
      <c r="C1429" s="29" t="s">
        <v>7781</v>
      </c>
      <c r="D1429" s="29" t="s">
        <v>7782</v>
      </c>
      <c r="E1429" s="92" t="s">
        <v>7783</v>
      </c>
      <c r="F1429" s="89" t="s">
        <v>7784</v>
      </c>
      <c r="G1429" s="29" t="s">
        <v>7785</v>
      </c>
    </row>
    <row r="1430" spans="1:7">
      <c r="A1430" s="33">
        <v>43345</v>
      </c>
      <c r="B1430" s="29" t="s">
        <v>7786</v>
      </c>
      <c r="C1430" s="29" t="s">
        <v>7787</v>
      </c>
      <c r="D1430" s="29" t="s">
        <v>7788</v>
      </c>
      <c r="E1430" s="92" t="s">
        <v>7789</v>
      </c>
      <c r="F1430" s="89" t="s">
        <v>27</v>
      </c>
      <c r="G1430" s="29" t="s">
        <v>7109</v>
      </c>
    </row>
    <row r="1431" spans="1:7">
      <c r="A1431" s="33">
        <v>43346</v>
      </c>
      <c r="B1431" s="29" t="s">
        <v>7790</v>
      </c>
      <c r="C1431" s="29" t="s">
        <v>4778</v>
      </c>
      <c r="D1431" s="29" t="s">
        <v>7791</v>
      </c>
      <c r="E1431" s="92" t="s">
        <v>3180</v>
      </c>
      <c r="F1431" s="89" t="s">
        <v>7792</v>
      </c>
      <c r="G1431" s="29" t="s">
        <v>7793</v>
      </c>
    </row>
    <row r="1432" spans="1:7">
      <c r="A1432" s="33">
        <v>43347</v>
      </c>
      <c r="B1432" s="29">
        <v>7263</v>
      </c>
      <c r="C1432" s="29" t="s">
        <v>7794</v>
      </c>
      <c r="D1432" s="29" t="s">
        <v>7795</v>
      </c>
      <c r="E1432" s="92" t="s">
        <v>7796</v>
      </c>
      <c r="F1432" s="89" t="s">
        <v>7797</v>
      </c>
      <c r="G1432" s="29" t="s">
        <v>7138</v>
      </c>
    </row>
    <row r="1433" spans="1:7">
      <c r="A1433" s="33">
        <v>43348</v>
      </c>
      <c r="B1433" s="29" t="s">
        <v>7798</v>
      </c>
      <c r="C1433" s="29" t="s">
        <v>7799</v>
      </c>
      <c r="D1433" s="29" t="s">
        <v>5026</v>
      </c>
      <c r="E1433" s="92" t="s">
        <v>312</v>
      </c>
      <c r="F1433" s="89" t="s">
        <v>23</v>
      </c>
      <c r="G1433" s="29" t="s">
        <v>7383</v>
      </c>
    </row>
    <row r="1434" spans="1:7">
      <c r="A1434" s="33">
        <v>43349</v>
      </c>
      <c r="B1434" s="29" t="s">
        <v>7800</v>
      </c>
      <c r="C1434" s="29" t="s">
        <v>7800</v>
      </c>
      <c r="D1434" s="29" t="s">
        <v>7801</v>
      </c>
      <c r="E1434" s="92" t="s">
        <v>3192</v>
      </c>
      <c r="F1434" s="89" t="s">
        <v>7802</v>
      </c>
      <c r="G1434" s="29" t="s">
        <v>7803</v>
      </c>
    </row>
    <row r="1435" spans="1:7">
      <c r="A1435" s="33">
        <v>43350</v>
      </c>
      <c r="B1435" s="29" t="s">
        <v>7804</v>
      </c>
      <c r="C1435" s="29" t="s">
        <v>7805</v>
      </c>
      <c r="D1435" s="29" t="s">
        <v>7806</v>
      </c>
      <c r="E1435" s="92" t="s">
        <v>7807</v>
      </c>
      <c r="F1435" s="89" t="s">
        <v>7808</v>
      </c>
      <c r="G1435" s="29" t="s">
        <v>7809</v>
      </c>
    </row>
    <row r="1436" spans="1:7">
      <c r="A1436" s="33">
        <v>43351</v>
      </c>
      <c r="B1436" s="29" t="s">
        <v>7810</v>
      </c>
      <c r="C1436" s="29" t="s">
        <v>7811</v>
      </c>
      <c r="D1436" s="29" t="s">
        <v>7812</v>
      </c>
      <c r="E1436" s="92" t="s">
        <v>3094</v>
      </c>
      <c r="F1436" s="89" t="s">
        <v>7813</v>
      </c>
      <c r="G1436" s="29" t="s">
        <v>7814</v>
      </c>
    </row>
    <row r="1437" spans="1:7">
      <c r="A1437" s="33">
        <v>43352</v>
      </c>
      <c r="B1437" s="29" t="s">
        <v>7815</v>
      </c>
      <c r="C1437" s="29" t="s">
        <v>7816</v>
      </c>
      <c r="D1437" s="29" t="s">
        <v>7817</v>
      </c>
      <c r="E1437" s="92" t="s">
        <v>7818</v>
      </c>
      <c r="F1437" s="89" t="s">
        <v>39</v>
      </c>
      <c r="G1437" s="29" t="s">
        <v>6611</v>
      </c>
    </row>
    <row r="1438" spans="1:7">
      <c r="A1438" s="33">
        <v>43353</v>
      </c>
      <c r="B1438" s="29" t="s">
        <v>7819</v>
      </c>
      <c r="C1438" s="29" t="s">
        <v>7820</v>
      </c>
      <c r="D1438" s="29" t="s">
        <v>7821</v>
      </c>
      <c r="E1438" s="92" t="s">
        <v>7822</v>
      </c>
      <c r="F1438" s="89" t="s">
        <v>7823</v>
      </c>
      <c r="G1438" s="29" t="s">
        <v>7824</v>
      </c>
    </row>
    <row r="1439" spans="1:7">
      <c r="A1439" s="33">
        <v>43354</v>
      </c>
      <c r="B1439" s="29" t="s">
        <v>7825</v>
      </c>
      <c r="C1439" s="29" t="s">
        <v>7826</v>
      </c>
      <c r="D1439" s="29" t="s">
        <v>7827</v>
      </c>
      <c r="E1439" s="92" t="s">
        <v>2370</v>
      </c>
      <c r="F1439" s="89" t="s">
        <v>7828</v>
      </c>
      <c r="G1439" s="29" t="s">
        <v>7379</v>
      </c>
    </row>
    <row r="1440" spans="1:7">
      <c r="A1440" s="33">
        <v>43355</v>
      </c>
      <c r="B1440" s="29" t="s">
        <v>7829</v>
      </c>
      <c r="C1440" s="29" t="s">
        <v>7830</v>
      </c>
      <c r="D1440" s="29" t="s">
        <v>7831</v>
      </c>
      <c r="E1440" s="92" t="s">
        <v>7832</v>
      </c>
      <c r="F1440" s="89" t="s">
        <v>7833</v>
      </c>
      <c r="G1440" s="29" t="s">
        <v>7327</v>
      </c>
    </row>
    <row r="1441" spans="1:7">
      <c r="A1441" s="33">
        <v>43356</v>
      </c>
      <c r="B1441" s="29" t="s">
        <v>7834</v>
      </c>
      <c r="C1441" s="29" t="s">
        <v>7835</v>
      </c>
      <c r="D1441" s="29" t="s">
        <v>7834</v>
      </c>
      <c r="E1441" s="92" t="s">
        <v>2414</v>
      </c>
      <c r="F1441" s="89" t="s">
        <v>7836</v>
      </c>
      <c r="G1441" s="29" t="s">
        <v>7650</v>
      </c>
    </row>
    <row r="1442" spans="1:7">
      <c r="A1442" s="33">
        <v>43357</v>
      </c>
      <c r="B1442" s="29" t="s">
        <v>7837</v>
      </c>
      <c r="C1442" s="29" t="s">
        <v>7838</v>
      </c>
      <c r="D1442" s="29" t="s">
        <v>7839</v>
      </c>
      <c r="E1442" s="92" t="s">
        <v>3098</v>
      </c>
      <c r="F1442" s="89" t="s">
        <v>43</v>
      </c>
      <c r="G1442" s="29" t="s">
        <v>7699</v>
      </c>
    </row>
    <row r="1443" spans="1:7">
      <c r="A1443" s="33">
        <v>43358</v>
      </c>
      <c r="B1443" s="29" t="s">
        <v>7840</v>
      </c>
      <c r="C1443" s="29" t="s">
        <v>7841</v>
      </c>
      <c r="D1443" s="29" t="s">
        <v>7842</v>
      </c>
      <c r="E1443" s="92" t="s">
        <v>2418</v>
      </c>
      <c r="F1443" s="89" t="s">
        <v>31</v>
      </c>
      <c r="G1443" s="29" t="s">
        <v>7843</v>
      </c>
    </row>
    <row r="1444" spans="1:7">
      <c r="A1444" s="33">
        <v>43359</v>
      </c>
      <c r="B1444" s="29" t="s">
        <v>7844</v>
      </c>
      <c r="C1444" s="29" t="s">
        <v>7845</v>
      </c>
      <c r="D1444" s="29" t="s">
        <v>7846</v>
      </c>
      <c r="E1444" s="92" t="s">
        <v>7847</v>
      </c>
      <c r="F1444" s="89" t="s">
        <v>7848</v>
      </c>
      <c r="G1444" s="29" t="s">
        <v>7849</v>
      </c>
    </row>
    <row r="1445" spans="1:7">
      <c r="A1445" s="33">
        <v>43360</v>
      </c>
      <c r="B1445" s="29" t="s">
        <v>7850</v>
      </c>
      <c r="C1445" s="29" t="s">
        <v>7851</v>
      </c>
      <c r="D1445" s="29" t="s">
        <v>7852</v>
      </c>
      <c r="E1445" s="92" t="s">
        <v>3110</v>
      </c>
      <c r="F1445" s="89" t="s">
        <v>7853</v>
      </c>
      <c r="G1445" s="29" t="s">
        <v>7854</v>
      </c>
    </row>
    <row r="1446" spans="1:7">
      <c r="A1446" s="33">
        <v>43361</v>
      </c>
      <c r="B1446" s="29" t="s">
        <v>7855</v>
      </c>
      <c r="C1446" s="29" t="s">
        <v>7856</v>
      </c>
      <c r="D1446" s="29" t="s">
        <v>7857</v>
      </c>
      <c r="E1446" s="92" t="s">
        <v>324</v>
      </c>
      <c r="F1446" s="89" t="s">
        <v>7858</v>
      </c>
      <c r="G1446" s="29" t="s">
        <v>7501</v>
      </c>
    </row>
    <row r="1447" spans="1:7">
      <c r="A1447" s="33">
        <v>43362</v>
      </c>
      <c r="B1447" s="29" t="s">
        <v>7859</v>
      </c>
      <c r="C1447" s="29" t="s">
        <v>7860</v>
      </c>
      <c r="D1447" s="29" t="s">
        <v>7861</v>
      </c>
      <c r="E1447" s="92" t="s">
        <v>2374</v>
      </c>
      <c r="F1447" s="89" t="s">
        <v>7862</v>
      </c>
      <c r="G1447" s="29" t="s">
        <v>7044</v>
      </c>
    </row>
    <row r="1448" spans="1:7">
      <c r="A1448" s="33">
        <v>43363</v>
      </c>
      <c r="B1448" s="29" t="s">
        <v>7863</v>
      </c>
      <c r="C1448" s="29" t="s">
        <v>7864</v>
      </c>
      <c r="D1448" s="29" t="s">
        <v>7865</v>
      </c>
      <c r="E1448" s="92" t="s">
        <v>2481</v>
      </c>
      <c r="F1448" s="89" t="s">
        <v>7866</v>
      </c>
      <c r="G1448" s="29" t="s">
        <v>7867</v>
      </c>
    </row>
    <row r="1449" spans="1:7">
      <c r="A1449" s="33">
        <v>43364</v>
      </c>
      <c r="B1449" s="29" t="s">
        <v>7868</v>
      </c>
      <c r="C1449" s="29" t="s">
        <v>7869</v>
      </c>
      <c r="D1449" s="29" t="s">
        <v>7870</v>
      </c>
      <c r="E1449" s="92" t="s">
        <v>7871</v>
      </c>
      <c r="F1449" s="89" t="s">
        <v>7872</v>
      </c>
      <c r="G1449" s="29" t="s">
        <v>7168</v>
      </c>
    </row>
    <row r="1450" spans="1:7">
      <c r="A1450" s="33">
        <v>43365</v>
      </c>
      <c r="B1450" s="29" t="s">
        <v>7873</v>
      </c>
      <c r="C1450" s="29" t="s">
        <v>7874</v>
      </c>
      <c r="D1450" s="29" t="s">
        <v>7875</v>
      </c>
      <c r="E1450" s="92" t="s">
        <v>3172</v>
      </c>
      <c r="F1450" s="89" t="s">
        <v>7876</v>
      </c>
      <c r="G1450" s="29" t="s">
        <v>7877</v>
      </c>
    </row>
    <row r="1451" spans="1:7">
      <c r="A1451" s="33">
        <v>43366</v>
      </c>
      <c r="B1451" s="29" t="s">
        <v>7878</v>
      </c>
      <c r="C1451" s="29" t="s">
        <v>7879</v>
      </c>
      <c r="D1451" s="29" t="s">
        <v>7880</v>
      </c>
      <c r="E1451" s="92" t="s">
        <v>7881</v>
      </c>
      <c r="F1451" s="89" t="s">
        <v>7882</v>
      </c>
      <c r="G1451" s="29" t="s">
        <v>6600</v>
      </c>
    </row>
    <row r="1452" spans="1:7">
      <c r="A1452" s="33">
        <v>43367</v>
      </c>
      <c r="B1452" s="29" t="s">
        <v>7883</v>
      </c>
      <c r="C1452" s="29" t="s">
        <v>7884</v>
      </c>
      <c r="D1452" s="29" t="s">
        <v>7885</v>
      </c>
      <c r="E1452" s="92" t="s">
        <v>2437</v>
      </c>
      <c r="F1452" s="89" t="s">
        <v>7886</v>
      </c>
      <c r="G1452" s="29" t="s">
        <v>7501</v>
      </c>
    </row>
    <row r="1453" spans="1:7">
      <c r="A1453" s="33">
        <v>43368</v>
      </c>
      <c r="B1453" s="29" t="s">
        <v>7887</v>
      </c>
      <c r="C1453" s="29" t="s">
        <v>7887</v>
      </c>
      <c r="D1453" s="29" t="s">
        <v>7888</v>
      </c>
      <c r="E1453" s="92" t="s">
        <v>3176</v>
      </c>
      <c r="F1453" s="89" t="s">
        <v>7889</v>
      </c>
      <c r="G1453" s="29" t="s">
        <v>7563</v>
      </c>
    </row>
    <row r="1454" spans="1:7">
      <c r="A1454" s="33">
        <v>43369</v>
      </c>
      <c r="B1454" s="29" t="s">
        <v>7890</v>
      </c>
      <c r="C1454" s="29" t="s">
        <v>7891</v>
      </c>
      <c r="D1454" s="29" t="s">
        <v>7892</v>
      </c>
      <c r="E1454" s="92" t="s">
        <v>2378</v>
      </c>
      <c r="F1454" s="89" t="s">
        <v>7893</v>
      </c>
      <c r="G1454" s="29" t="s">
        <v>7894</v>
      </c>
    </row>
    <row r="1455" spans="1:7">
      <c r="A1455" s="33">
        <v>43370</v>
      </c>
      <c r="B1455" s="29" t="s">
        <v>7895</v>
      </c>
      <c r="C1455" s="29" t="s">
        <v>7896</v>
      </c>
      <c r="D1455" s="29" t="s">
        <v>7897</v>
      </c>
      <c r="E1455" s="92" t="s">
        <v>2445</v>
      </c>
      <c r="F1455" s="89" t="s">
        <v>7898</v>
      </c>
      <c r="G1455" s="29" t="s">
        <v>7899</v>
      </c>
    </row>
    <row r="1456" spans="1:7">
      <c r="A1456" s="33">
        <v>43371</v>
      </c>
      <c r="B1456" s="29" t="s">
        <v>7900</v>
      </c>
      <c r="C1456" s="29" t="s">
        <v>4778</v>
      </c>
      <c r="D1456" s="29" t="s">
        <v>7901</v>
      </c>
      <c r="E1456" s="92" t="s">
        <v>3184</v>
      </c>
      <c r="F1456" s="89" t="s">
        <v>7902</v>
      </c>
      <c r="G1456" s="29" t="s">
        <v>7903</v>
      </c>
    </row>
    <row r="1457" spans="1:7">
      <c r="A1457" s="33">
        <v>43372</v>
      </c>
      <c r="B1457" s="29" t="s">
        <v>7904</v>
      </c>
      <c r="C1457" s="29" t="s">
        <v>7904</v>
      </c>
      <c r="D1457" s="29" t="s">
        <v>7905</v>
      </c>
      <c r="E1457" s="92" t="s">
        <v>7906</v>
      </c>
      <c r="F1457" s="89" t="s">
        <v>7907</v>
      </c>
      <c r="G1457" s="29" t="s">
        <v>7908</v>
      </c>
    </row>
    <row r="1458" spans="1:7">
      <c r="A1458" s="33">
        <v>43373</v>
      </c>
      <c r="B1458" s="29" t="s">
        <v>7909</v>
      </c>
      <c r="C1458" s="29" t="s">
        <v>7910</v>
      </c>
      <c r="D1458" s="29" t="s">
        <v>7911</v>
      </c>
      <c r="E1458" s="92" t="s">
        <v>304</v>
      </c>
      <c r="F1458" s="89" t="s">
        <v>7912</v>
      </c>
      <c r="G1458" s="35">
        <v>4000000000</v>
      </c>
    </row>
    <row r="1459" spans="1:7">
      <c r="A1459" s="33">
        <v>43374</v>
      </c>
      <c r="B1459" s="29" t="s">
        <v>7913</v>
      </c>
      <c r="C1459" s="29" t="s">
        <v>7914</v>
      </c>
      <c r="D1459" s="29" t="s">
        <v>7915</v>
      </c>
      <c r="E1459" s="92" t="s">
        <v>3066</v>
      </c>
      <c r="F1459" s="89" t="s">
        <v>35</v>
      </c>
      <c r="G1459" s="35">
        <v>4000000000</v>
      </c>
    </row>
    <row r="1460" spans="1:7">
      <c r="A1460" s="33">
        <v>43375</v>
      </c>
      <c r="B1460" s="29" t="s">
        <v>7916</v>
      </c>
      <c r="C1460" s="29" t="s">
        <v>7917</v>
      </c>
      <c r="D1460" s="29" t="s">
        <v>7918</v>
      </c>
      <c r="E1460" s="92" t="s">
        <v>3074</v>
      </c>
      <c r="F1460" s="89" t="s">
        <v>7919</v>
      </c>
      <c r="G1460" s="29" t="s">
        <v>7128</v>
      </c>
    </row>
    <row r="1461" spans="1:7">
      <c r="A1461" s="33">
        <v>43376</v>
      </c>
      <c r="B1461" s="29" t="s">
        <v>7920</v>
      </c>
      <c r="C1461" s="29" t="s">
        <v>7921</v>
      </c>
      <c r="D1461" s="29" t="s">
        <v>7922</v>
      </c>
      <c r="E1461" s="92" t="s">
        <v>7923</v>
      </c>
      <c r="F1461" s="89" t="s">
        <v>7924</v>
      </c>
      <c r="G1461" s="29" t="s">
        <v>7430</v>
      </c>
    </row>
    <row r="1462" spans="1:7">
      <c r="A1462" s="33">
        <v>43377</v>
      </c>
      <c r="B1462" s="29" t="s">
        <v>7925</v>
      </c>
      <c r="C1462" s="29" t="s">
        <v>7926</v>
      </c>
      <c r="D1462" s="29" t="s">
        <v>7925</v>
      </c>
      <c r="E1462" s="92" t="s">
        <v>3070</v>
      </c>
      <c r="F1462" s="89" t="s">
        <v>7927</v>
      </c>
      <c r="G1462" s="29" t="s">
        <v>7814</v>
      </c>
    </row>
    <row r="1463" spans="1:7">
      <c r="A1463" s="33">
        <v>43378</v>
      </c>
      <c r="B1463" s="29" t="s">
        <v>7928</v>
      </c>
      <c r="C1463" s="29" t="s">
        <v>7929</v>
      </c>
      <c r="D1463" s="29" t="s">
        <v>7930</v>
      </c>
      <c r="E1463" s="92" t="s">
        <v>3078</v>
      </c>
      <c r="F1463" s="89" t="s">
        <v>7931</v>
      </c>
      <c r="G1463" s="29" t="s">
        <v>6611</v>
      </c>
    </row>
    <row r="1464" spans="1:7">
      <c r="A1464" s="33">
        <v>43379</v>
      </c>
      <c r="B1464" s="29" t="s">
        <v>7932</v>
      </c>
      <c r="C1464" s="29" t="s">
        <v>7933</v>
      </c>
      <c r="D1464" s="29" t="s">
        <v>7934</v>
      </c>
      <c r="E1464" s="92" t="s">
        <v>7935</v>
      </c>
      <c r="F1464" s="89" t="s">
        <v>7936</v>
      </c>
      <c r="G1464" s="29" t="s">
        <v>6275</v>
      </c>
    </row>
    <row r="1465" spans="1:7">
      <c r="A1465" s="33">
        <v>43380</v>
      </c>
      <c r="B1465" s="29" t="s">
        <v>7937</v>
      </c>
      <c r="C1465" s="29" t="s">
        <v>7938</v>
      </c>
      <c r="D1465" s="29" t="s">
        <v>7939</v>
      </c>
      <c r="E1465" s="92" t="s">
        <v>2422</v>
      </c>
      <c r="F1465" s="89" t="s">
        <v>7940</v>
      </c>
      <c r="G1465" s="29" t="s">
        <v>7725</v>
      </c>
    </row>
    <row r="1466" spans="1:7">
      <c r="A1466" s="33">
        <v>43381</v>
      </c>
      <c r="B1466" s="29" t="s">
        <v>7941</v>
      </c>
      <c r="C1466" s="29" t="s">
        <v>7942</v>
      </c>
      <c r="D1466" s="29" t="s">
        <v>7943</v>
      </c>
      <c r="E1466" s="92" t="s">
        <v>2433</v>
      </c>
      <c r="F1466" s="89" t="s">
        <v>7944</v>
      </c>
      <c r="G1466" s="29" t="s">
        <v>7128</v>
      </c>
    </row>
    <row r="1467" spans="1:7">
      <c r="A1467" s="33">
        <v>43382</v>
      </c>
      <c r="B1467" s="29" t="s">
        <v>7945</v>
      </c>
      <c r="C1467" s="29" t="s">
        <v>7946</v>
      </c>
      <c r="D1467" s="29" t="s">
        <v>7947</v>
      </c>
      <c r="E1467" s="92" t="s">
        <v>3102</v>
      </c>
      <c r="F1467" s="89" t="s">
        <v>7948</v>
      </c>
      <c r="G1467" s="29" t="s">
        <v>7949</v>
      </c>
    </row>
    <row r="1468" spans="1:7">
      <c r="A1468" s="33">
        <v>43383</v>
      </c>
      <c r="B1468" s="29" t="s">
        <v>7950</v>
      </c>
      <c r="C1468" s="29" t="s">
        <v>7950</v>
      </c>
      <c r="D1468" s="29" t="s">
        <v>7951</v>
      </c>
      <c r="E1468" s="92" t="s">
        <v>3114</v>
      </c>
      <c r="F1468" s="89" t="s">
        <v>7952</v>
      </c>
      <c r="G1468" s="29" t="s">
        <v>7953</v>
      </c>
    </row>
    <row r="1469" spans="1:7">
      <c r="A1469" s="33">
        <v>43384</v>
      </c>
      <c r="B1469" s="29" t="s">
        <v>7954</v>
      </c>
      <c r="C1469" s="29" t="s">
        <v>7954</v>
      </c>
      <c r="D1469" s="29" t="s">
        <v>7955</v>
      </c>
      <c r="E1469" s="92" t="s">
        <v>3058</v>
      </c>
      <c r="F1469" s="89" t="s">
        <v>7956</v>
      </c>
      <c r="G1469" s="29" t="s">
        <v>7957</v>
      </c>
    </row>
    <row r="1470" spans="1:7">
      <c r="A1470" s="33">
        <v>43385</v>
      </c>
      <c r="B1470" s="29" t="s">
        <v>7958</v>
      </c>
      <c r="C1470" s="29" t="s">
        <v>7959</v>
      </c>
      <c r="D1470" s="29" t="s">
        <v>7960</v>
      </c>
      <c r="E1470" s="92" t="s">
        <v>2398</v>
      </c>
      <c r="F1470" s="89" t="s">
        <v>7961</v>
      </c>
      <c r="G1470" s="29" t="s">
        <v>7962</v>
      </c>
    </row>
    <row r="1471" spans="1:7">
      <c r="A1471" s="33">
        <v>43386</v>
      </c>
      <c r="B1471" s="29" t="s">
        <v>7963</v>
      </c>
      <c r="C1471" s="29" t="s">
        <v>7964</v>
      </c>
      <c r="D1471" s="29" t="s">
        <v>7965</v>
      </c>
      <c r="E1471" s="92" t="s">
        <v>7966</v>
      </c>
      <c r="F1471" s="89" t="s">
        <v>7967</v>
      </c>
      <c r="G1471" s="29" t="s">
        <v>7968</v>
      </c>
    </row>
    <row r="1472" spans="1:7">
      <c r="A1472" s="33">
        <v>43387</v>
      </c>
      <c r="B1472" s="29" t="s">
        <v>7969</v>
      </c>
      <c r="C1472" s="29" t="s">
        <v>7970</v>
      </c>
      <c r="D1472" s="29" t="s">
        <v>7971</v>
      </c>
      <c r="E1472" s="92" t="s">
        <v>7972</v>
      </c>
      <c r="F1472" s="89" t="s">
        <v>7973</v>
      </c>
      <c r="G1472" s="29" t="s">
        <v>7974</v>
      </c>
    </row>
    <row r="1473" spans="1:7">
      <c r="A1473" s="33">
        <v>43388</v>
      </c>
      <c r="B1473" s="29" t="s">
        <v>7975</v>
      </c>
      <c r="C1473" s="29" t="s">
        <v>7976</v>
      </c>
      <c r="D1473" s="29" t="s">
        <v>7977</v>
      </c>
      <c r="E1473" s="92" t="s">
        <v>7978</v>
      </c>
      <c r="F1473" s="89" t="s">
        <v>7979</v>
      </c>
      <c r="G1473" s="29" t="s">
        <v>7980</v>
      </c>
    </row>
    <row r="1474" spans="1:7">
      <c r="A1474" s="33">
        <v>43389</v>
      </c>
      <c r="B1474" s="29" t="s">
        <v>7981</v>
      </c>
      <c r="C1474" s="29" t="s">
        <v>7982</v>
      </c>
      <c r="D1474" s="29" t="s">
        <v>7983</v>
      </c>
      <c r="E1474" s="92" t="s">
        <v>2426</v>
      </c>
      <c r="F1474" s="89" t="s">
        <v>7984</v>
      </c>
      <c r="G1474" s="29" t="s">
        <v>7985</v>
      </c>
    </row>
    <row r="1475" spans="1:7">
      <c r="A1475" s="33">
        <v>43390</v>
      </c>
      <c r="B1475" s="29" t="s">
        <v>7986</v>
      </c>
      <c r="C1475" s="29" t="s">
        <v>7987</v>
      </c>
      <c r="D1475" s="29" t="s">
        <v>7988</v>
      </c>
      <c r="E1475" s="92" t="s">
        <v>3086</v>
      </c>
      <c r="F1475" s="89" t="s">
        <v>7989</v>
      </c>
      <c r="G1475" s="29" t="s">
        <v>7793</v>
      </c>
    </row>
    <row r="1476" spans="1:7">
      <c r="A1476" s="33">
        <v>43391</v>
      </c>
      <c r="B1476" s="29" t="s">
        <v>7990</v>
      </c>
      <c r="C1476" s="29" t="s">
        <v>7991</v>
      </c>
      <c r="D1476" s="29" t="s">
        <v>7992</v>
      </c>
      <c r="E1476" s="92" t="s">
        <v>300</v>
      </c>
      <c r="F1476" s="89" t="s">
        <v>7993</v>
      </c>
      <c r="G1476" s="29" t="s">
        <v>7994</v>
      </c>
    </row>
    <row r="1477" spans="1:7">
      <c r="A1477" s="33">
        <v>43392</v>
      </c>
      <c r="B1477" s="29" t="s">
        <v>7995</v>
      </c>
      <c r="C1477" s="29" t="s">
        <v>7996</v>
      </c>
      <c r="D1477" s="29" t="s">
        <v>7997</v>
      </c>
      <c r="E1477" s="92" t="s">
        <v>316</v>
      </c>
      <c r="F1477" s="89" t="s">
        <v>7998</v>
      </c>
      <c r="G1477" s="29" t="s">
        <v>7949</v>
      </c>
    </row>
    <row r="1478" spans="1:7">
      <c r="A1478" s="33">
        <v>43393</v>
      </c>
      <c r="B1478" s="29" t="s">
        <v>7999</v>
      </c>
      <c r="C1478" s="29" t="s">
        <v>8000</v>
      </c>
      <c r="D1478" s="29">
        <v>6449</v>
      </c>
      <c r="E1478" s="92" t="s">
        <v>3050</v>
      </c>
      <c r="F1478" s="89" t="s">
        <v>8001</v>
      </c>
      <c r="G1478" s="29" t="s">
        <v>7735</v>
      </c>
    </row>
    <row r="1479" spans="1:7">
      <c r="A1479" s="33">
        <v>43394</v>
      </c>
      <c r="B1479" s="29" t="s">
        <v>8002</v>
      </c>
      <c r="C1479" s="29" t="s">
        <v>8003</v>
      </c>
      <c r="D1479" s="29">
        <v>6476</v>
      </c>
      <c r="E1479" s="92" t="s">
        <v>3106</v>
      </c>
      <c r="F1479" s="89" t="s">
        <v>8004</v>
      </c>
      <c r="G1479" s="29" t="s">
        <v>8005</v>
      </c>
    </row>
    <row r="1480" spans="1:7">
      <c r="A1480" s="33">
        <v>43395</v>
      </c>
      <c r="B1480" s="29" t="s">
        <v>8006</v>
      </c>
      <c r="C1480" s="29" t="s">
        <v>8007</v>
      </c>
      <c r="D1480" s="29" t="s">
        <v>8008</v>
      </c>
      <c r="E1480" s="92" t="s">
        <v>8009</v>
      </c>
      <c r="F1480" s="89" t="s">
        <v>8010</v>
      </c>
      <c r="G1480" s="29" t="s">
        <v>6611</v>
      </c>
    </row>
    <row r="1481" spans="1:7">
      <c r="A1481" s="33">
        <v>43396</v>
      </c>
      <c r="B1481" s="29" t="s">
        <v>8011</v>
      </c>
      <c r="C1481" s="29" t="s">
        <v>8012</v>
      </c>
      <c r="D1481" s="29" t="s">
        <v>8013</v>
      </c>
      <c r="E1481" s="92" t="s">
        <v>3054</v>
      </c>
      <c r="F1481" s="89" t="s">
        <v>8014</v>
      </c>
      <c r="G1481" s="29" t="s">
        <v>7528</v>
      </c>
    </row>
    <row r="1482" spans="1:7">
      <c r="A1482" s="33">
        <v>43397</v>
      </c>
      <c r="B1482" s="29" t="s">
        <v>8015</v>
      </c>
      <c r="C1482" s="29" t="s">
        <v>8016</v>
      </c>
      <c r="D1482" s="29" t="s">
        <v>8017</v>
      </c>
      <c r="E1482" s="92" t="s">
        <v>2382</v>
      </c>
      <c r="F1482" s="89" t="s">
        <v>8018</v>
      </c>
      <c r="G1482" s="29" t="s">
        <v>8019</v>
      </c>
    </row>
    <row r="1483" spans="1:7">
      <c r="A1483" s="33">
        <v>43398</v>
      </c>
      <c r="B1483" s="29" t="s">
        <v>8020</v>
      </c>
      <c r="C1483" s="29" t="s">
        <v>8021</v>
      </c>
      <c r="D1483" s="29" t="s">
        <v>8022</v>
      </c>
      <c r="E1483" s="92" t="s">
        <v>3046</v>
      </c>
      <c r="F1483" s="89" t="s">
        <v>47</v>
      </c>
      <c r="G1483" s="29" t="s">
        <v>6580</v>
      </c>
    </row>
    <row r="1484" spans="1:7">
      <c r="A1484" s="33">
        <v>43399</v>
      </c>
      <c r="B1484" s="29" t="s">
        <v>8023</v>
      </c>
      <c r="C1484" s="29" t="s">
        <v>8024</v>
      </c>
      <c r="D1484" s="29" t="s">
        <v>8025</v>
      </c>
      <c r="E1484" s="92" t="s">
        <v>3062</v>
      </c>
      <c r="F1484" s="89" t="s">
        <v>8026</v>
      </c>
      <c r="G1484" s="29" t="s">
        <v>7725</v>
      </c>
    </row>
    <row r="1485" spans="1:7">
      <c r="A1485" s="33">
        <v>43400</v>
      </c>
      <c r="B1485" s="29" t="s">
        <v>8027</v>
      </c>
      <c r="C1485" s="29" t="s">
        <v>8028</v>
      </c>
      <c r="D1485" s="29" t="s">
        <v>8029</v>
      </c>
      <c r="E1485" s="92" t="s">
        <v>2430</v>
      </c>
      <c r="F1485" s="89" t="s">
        <v>8030</v>
      </c>
      <c r="G1485" s="29" t="s">
        <v>7522</v>
      </c>
    </row>
    <row r="1486" spans="1:7">
      <c r="A1486" s="33">
        <v>43401</v>
      </c>
      <c r="B1486" s="29" t="s">
        <v>8031</v>
      </c>
      <c r="C1486" s="29" t="s">
        <v>8032</v>
      </c>
      <c r="D1486" s="29" t="s">
        <v>8033</v>
      </c>
      <c r="E1486" s="92" t="s">
        <v>2390</v>
      </c>
      <c r="F1486" s="89" t="s">
        <v>8034</v>
      </c>
      <c r="G1486" s="29" t="s">
        <v>8035</v>
      </c>
    </row>
    <row r="1487" spans="1:7">
      <c r="A1487" s="33">
        <v>43402</v>
      </c>
      <c r="B1487" s="29" t="s">
        <v>8036</v>
      </c>
      <c r="C1487" s="29" t="s">
        <v>8037</v>
      </c>
      <c r="D1487" s="29" t="s">
        <v>8038</v>
      </c>
      <c r="E1487" s="92" t="s">
        <v>8039</v>
      </c>
      <c r="F1487" s="89" t="s">
        <v>8040</v>
      </c>
      <c r="G1487" s="29" t="s">
        <v>6600</v>
      </c>
    </row>
    <row r="1488" spans="1:7">
      <c r="A1488" s="33">
        <v>43403</v>
      </c>
      <c r="B1488" s="29" t="s">
        <v>8041</v>
      </c>
      <c r="C1488" s="29" t="s">
        <v>8042</v>
      </c>
      <c r="D1488" s="29" t="s">
        <v>8043</v>
      </c>
      <c r="E1488" s="92" t="s">
        <v>2257</v>
      </c>
      <c r="F1488" s="89" t="s">
        <v>8044</v>
      </c>
      <c r="G1488" s="29" t="s">
        <v>7962</v>
      </c>
    </row>
    <row r="1489" spans="1:7">
      <c r="A1489" s="33">
        <v>43404</v>
      </c>
      <c r="B1489" s="29" t="s">
        <v>8045</v>
      </c>
      <c r="C1489" s="29" t="s">
        <v>8046</v>
      </c>
      <c r="D1489" s="29" t="s">
        <v>8047</v>
      </c>
      <c r="E1489" s="92" t="s">
        <v>8048</v>
      </c>
      <c r="F1489" s="89" t="s">
        <v>8049</v>
      </c>
      <c r="G1489" s="29" t="s">
        <v>8050</v>
      </c>
    </row>
    <row r="1490" spans="1:7">
      <c r="A1490" s="33">
        <v>43405</v>
      </c>
      <c r="B1490" s="29" t="s">
        <v>8051</v>
      </c>
      <c r="C1490" s="29" t="s">
        <v>8052</v>
      </c>
      <c r="D1490" s="29" t="s">
        <v>8053</v>
      </c>
      <c r="E1490" s="92" t="s">
        <v>2253</v>
      </c>
      <c r="F1490" s="89" t="s">
        <v>8054</v>
      </c>
      <c r="G1490" s="29" t="s">
        <v>7953</v>
      </c>
    </row>
    <row r="1491" spans="1:7">
      <c r="A1491" s="33">
        <v>43406</v>
      </c>
      <c r="B1491" s="29" t="s">
        <v>8055</v>
      </c>
      <c r="C1491" s="29" t="s">
        <v>8056</v>
      </c>
      <c r="D1491" s="29" t="s">
        <v>8057</v>
      </c>
      <c r="E1491" s="92" t="s">
        <v>2366</v>
      </c>
      <c r="F1491" s="89" t="s">
        <v>8058</v>
      </c>
      <c r="G1491" s="29" t="s">
        <v>6630</v>
      </c>
    </row>
    <row r="1492" spans="1:7">
      <c r="A1492" s="33">
        <v>43407</v>
      </c>
      <c r="B1492" s="29" t="s">
        <v>8059</v>
      </c>
      <c r="C1492" s="29" t="s">
        <v>8060</v>
      </c>
      <c r="D1492" s="29" t="s">
        <v>8061</v>
      </c>
      <c r="E1492" s="92" t="s">
        <v>2386</v>
      </c>
      <c r="F1492" s="89" t="s">
        <v>8062</v>
      </c>
      <c r="G1492" s="29" t="s">
        <v>8063</v>
      </c>
    </row>
    <row r="1493" spans="1:7">
      <c r="A1493" s="33">
        <v>43408</v>
      </c>
      <c r="B1493" s="29" t="s">
        <v>8064</v>
      </c>
      <c r="C1493" s="29" t="s">
        <v>8065</v>
      </c>
      <c r="D1493" s="29" t="s">
        <v>8066</v>
      </c>
      <c r="E1493" s="92" t="s">
        <v>3204</v>
      </c>
      <c r="F1493" s="89" t="s">
        <v>8067</v>
      </c>
      <c r="G1493" s="29" t="s">
        <v>8068</v>
      </c>
    </row>
    <row r="1494" spans="1:7">
      <c r="A1494" s="33">
        <v>43409</v>
      </c>
      <c r="B1494" s="29" t="s">
        <v>8069</v>
      </c>
      <c r="C1494" s="29" t="s">
        <v>8070</v>
      </c>
      <c r="D1494" s="29" t="s">
        <v>8069</v>
      </c>
      <c r="E1494" s="92" t="s">
        <v>3208</v>
      </c>
      <c r="F1494" s="89" t="s">
        <v>8071</v>
      </c>
      <c r="G1494" s="29" t="s">
        <v>4778</v>
      </c>
    </row>
    <row r="1495" spans="1:7">
      <c r="A1495" s="33">
        <v>43410</v>
      </c>
      <c r="B1495" s="29" t="s">
        <v>8072</v>
      </c>
      <c r="C1495" s="29" t="s">
        <v>8073</v>
      </c>
      <c r="D1495" s="29" t="s">
        <v>8074</v>
      </c>
      <c r="E1495" s="92" t="s">
        <v>2570</v>
      </c>
      <c r="F1495" s="89" t="s">
        <v>8075</v>
      </c>
      <c r="G1495" s="29" t="s">
        <v>8076</v>
      </c>
    </row>
    <row r="1496" spans="1:7">
      <c r="A1496" s="33">
        <v>43411</v>
      </c>
      <c r="B1496" s="29" t="s">
        <v>8077</v>
      </c>
      <c r="C1496" s="29" t="s">
        <v>8078</v>
      </c>
      <c r="D1496" s="29" t="s">
        <v>8079</v>
      </c>
      <c r="E1496" s="92" t="s">
        <v>3196</v>
      </c>
      <c r="F1496" s="89" t="s">
        <v>8080</v>
      </c>
      <c r="G1496" s="29" t="s">
        <v>7089</v>
      </c>
    </row>
    <row r="1497" spans="1:7">
      <c r="A1497" s="33">
        <v>43412</v>
      </c>
      <c r="B1497" s="29" t="s">
        <v>8081</v>
      </c>
      <c r="C1497" s="29" t="s">
        <v>7727</v>
      </c>
      <c r="D1497" s="29" t="s">
        <v>8082</v>
      </c>
      <c r="E1497" s="92" t="s">
        <v>3200</v>
      </c>
      <c r="F1497" s="89" t="s">
        <v>8083</v>
      </c>
      <c r="G1497" s="29" t="s">
        <v>7495</v>
      </c>
    </row>
    <row r="1498" spans="1:7">
      <c r="A1498" s="33">
        <v>43413</v>
      </c>
      <c r="B1498" s="29" t="s">
        <v>8084</v>
      </c>
      <c r="C1498" s="29" t="s">
        <v>4778</v>
      </c>
      <c r="D1498" s="29" t="s">
        <v>8085</v>
      </c>
      <c r="E1498" s="92" t="s">
        <v>8086</v>
      </c>
      <c r="F1498" s="89" t="s">
        <v>8087</v>
      </c>
      <c r="G1498" s="29" t="s">
        <v>7867</v>
      </c>
    </row>
    <row r="1499" spans="1:7">
      <c r="A1499" s="33">
        <v>43414</v>
      </c>
      <c r="B1499" s="29" t="s">
        <v>8088</v>
      </c>
      <c r="C1499" s="29" t="s">
        <v>8089</v>
      </c>
      <c r="D1499" s="29" t="s">
        <v>8090</v>
      </c>
      <c r="E1499" s="92" t="s">
        <v>8091</v>
      </c>
      <c r="F1499" s="89" t="s">
        <v>8092</v>
      </c>
      <c r="G1499" s="29" t="s">
        <v>7824</v>
      </c>
    </row>
    <row r="1500" spans="1:7">
      <c r="A1500" s="33">
        <v>43415</v>
      </c>
      <c r="B1500" s="29" t="s">
        <v>8093</v>
      </c>
      <c r="C1500" s="29" t="s">
        <v>4778</v>
      </c>
      <c r="D1500" s="29" t="s">
        <v>8094</v>
      </c>
      <c r="E1500" s="92" t="s">
        <v>3138</v>
      </c>
      <c r="F1500" s="89" t="s">
        <v>8095</v>
      </c>
      <c r="G1500" s="29" t="s">
        <v>8096</v>
      </c>
    </row>
    <row r="1501" spans="1:7">
      <c r="A1501" s="33">
        <v>43416</v>
      </c>
      <c r="B1501" s="29" t="s">
        <v>8097</v>
      </c>
      <c r="C1501" s="29" t="s">
        <v>8098</v>
      </c>
      <c r="D1501" s="29" t="s">
        <v>8099</v>
      </c>
      <c r="E1501" s="92" t="s">
        <v>3212</v>
      </c>
      <c r="F1501" s="89" t="s">
        <v>8100</v>
      </c>
      <c r="G1501" s="29" t="s">
        <v>8101</v>
      </c>
    </row>
    <row r="1502" spans="1:7">
      <c r="A1502" s="33">
        <v>43417</v>
      </c>
      <c r="B1502" s="29" t="s">
        <v>8102</v>
      </c>
      <c r="C1502" s="29" t="s">
        <v>8103</v>
      </c>
      <c r="D1502" s="29" t="s">
        <v>8104</v>
      </c>
      <c r="E1502" s="92" t="s">
        <v>8105</v>
      </c>
      <c r="F1502" s="89" t="s">
        <v>51</v>
      </c>
      <c r="G1502" s="29" t="s">
        <v>7779</v>
      </c>
    </row>
    <row r="1503" spans="1:7">
      <c r="A1503" s="33">
        <v>43418</v>
      </c>
      <c r="B1503" s="29" t="s">
        <v>8106</v>
      </c>
      <c r="C1503" s="29" t="s">
        <v>8107</v>
      </c>
      <c r="D1503" s="29" t="s">
        <v>8108</v>
      </c>
      <c r="E1503" s="92" t="s">
        <v>8109</v>
      </c>
      <c r="F1503" s="89" t="s">
        <v>8110</v>
      </c>
      <c r="G1503" s="29" t="s">
        <v>8111</v>
      </c>
    </row>
    <row r="1504" spans="1:7">
      <c r="A1504" s="33">
        <v>43419</v>
      </c>
      <c r="B1504" s="29" t="s">
        <v>8112</v>
      </c>
      <c r="C1504" s="29" t="s">
        <v>8113</v>
      </c>
      <c r="D1504" s="29" t="s">
        <v>8114</v>
      </c>
      <c r="E1504" s="92" t="s">
        <v>3232</v>
      </c>
      <c r="F1504" s="89" t="s">
        <v>75</v>
      </c>
      <c r="G1504" s="29" t="s">
        <v>8115</v>
      </c>
    </row>
    <row r="1505" spans="1:7">
      <c r="A1505" s="33">
        <v>43420</v>
      </c>
      <c r="B1505" s="29" t="s">
        <v>8116</v>
      </c>
      <c r="C1505" s="29" t="s">
        <v>8117</v>
      </c>
      <c r="D1505" s="29" t="s">
        <v>8118</v>
      </c>
      <c r="E1505" s="92" t="s">
        <v>8119</v>
      </c>
      <c r="F1505" s="89" t="s">
        <v>8120</v>
      </c>
      <c r="G1505" s="29" t="s">
        <v>8121</v>
      </c>
    </row>
    <row r="1506" spans="1:7">
      <c r="A1506" s="33">
        <v>43421</v>
      </c>
      <c r="B1506" s="29" t="s">
        <v>8122</v>
      </c>
      <c r="C1506" s="29" t="s">
        <v>8122</v>
      </c>
      <c r="D1506" s="29" t="s">
        <v>8123</v>
      </c>
      <c r="E1506" s="92" t="s">
        <v>8124</v>
      </c>
      <c r="F1506" s="89" t="s">
        <v>8125</v>
      </c>
      <c r="G1506" s="29" t="s">
        <v>8101</v>
      </c>
    </row>
    <row r="1507" spans="1:7">
      <c r="A1507" s="33">
        <v>43422</v>
      </c>
      <c r="B1507" s="29" t="s">
        <v>8126</v>
      </c>
      <c r="C1507" s="29" t="s">
        <v>8127</v>
      </c>
      <c r="D1507" s="29" t="s">
        <v>8126</v>
      </c>
      <c r="E1507" s="92" t="s">
        <v>8128</v>
      </c>
      <c r="F1507" s="89" t="s">
        <v>8129</v>
      </c>
      <c r="G1507" s="29" t="s">
        <v>8130</v>
      </c>
    </row>
    <row r="1508" spans="1:7">
      <c r="A1508" s="33">
        <v>43423</v>
      </c>
      <c r="B1508" s="29" t="s">
        <v>8131</v>
      </c>
      <c r="C1508" s="29" t="s">
        <v>8131</v>
      </c>
      <c r="D1508" s="29" t="s">
        <v>8132</v>
      </c>
      <c r="E1508" s="92" t="s">
        <v>3126</v>
      </c>
      <c r="F1508" s="89" t="s">
        <v>8133</v>
      </c>
      <c r="G1508" s="29" t="s">
        <v>8134</v>
      </c>
    </row>
    <row r="1509" spans="1:7">
      <c r="A1509" s="33">
        <v>43424</v>
      </c>
      <c r="B1509" s="29" t="s">
        <v>8135</v>
      </c>
      <c r="C1509" s="29" t="s">
        <v>8136</v>
      </c>
      <c r="D1509" s="29" t="s">
        <v>8137</v>
      </c>
      <c r="E1509" s="92" t="s">
        <v>3118</v>
      </c>
      <c r="F1509" s="89" t="s">
        <v>8138</v>
      </c>
      <c r="G1509" s="29" t="s">
        <v>8139</v>
      </c>
    </row>
    <row r="1510" spans="1:7">
      <c r="A1510" s="33">
        <v>43425</v>
      </c>
      <c r="B1510" s="29" t="s">
        <v>8140</v>
      </c>
      <c r="C1510" s="29" t="s">
        <v>8141</v>
      </c>
      <c r="D1510" s="29" t="s">
        <v>8142</v>
      </c>
      <c r="E1510" s="92" t="s">
        <v>3134</v>
      </c>
      <c r="F1510" s="89" t="s">
        <v>78</v>
      </c>
      <c r="G1510" s="29" t="s">
        <v>6911</v>
      </c>
    </row>
    <row r="1511" spans="1:7">
      <c r="A1511" s="33">
        <v>43426</v>
      </c>
      <c r="B1511" s="29" t="s">
        <v>8143</v>
      </c>
      <c r="C1511" s="29" t="s">
        <v>8144</v>
      </c>
      <c r="D1511" s="29" t="s">
        <v>8145</v>
      </c>
      <c r="E1511" s="92" t="s">
        <v>3130</v>
      </c>
      <c r="F1511" s="89" t="s">
        <v>8146</v>
      </c>
      <c r="G1511" s="29" t="s">
        <v>7077</v>
      </c>
    </row>
    <row r="1512" spans="1:7">
      <c r="A1512" s="33">
        <v>43427</v>
      </c>
      <c r="B1512" s="29" t="s">
        <v>8147</v>
      </c>
      <c r="C1512" s="29" t="s">
        <v>8148</v>
      </c>
      <c r="D1512" s="29" t="s">
        <v>8149</v>
      </c>
      <c r="E1512" s="92" t="s">
        <v>2566</v>
      </c>
      <c r="F1512" s="89" t="s">
        <v>8150</v>
      </c>
      <c r="G1512" s="29" t="s">
        <v>7319</v>
      </c>
    </row>
    <row r="1513" spans="1:7">
      <c r="A1513" s="33">
        <v>43428</v>
      </c>
      <c r="B1513" s="29" t="s">
        <v>8151</v>
      </c>
      <c r="C1513" s="29" t="s">
        <v>8152</v>
      </c>
      <c r="D1513" s="29" t="s">
        <v>8153</v>
      </c>
      <c r="E1513" s="92" t="s">
        <v>8154</v>
      </c>
      <c r="F1513" s="89" t="s">
        <v>8155</v>
      </c>
      <c r="G1513" s="29" t="s">
        <v>8156</v>
      </c>
    </row>
    <row r="1514" spans="1:7">
      <c r="A1514" s="33">
        <v>43429</v>
      </c>
      <c r="B1514" s="29" t="s">
        <v>8157</v>
      </c>
      <c r="C1514" s="29" t="s">
        <v>8158</v>
      </c>
      <c r="D1514" s="29" t="s">
        <v>8159</v>
      </c>
      <c r="E1514" s="92" t="s">
        <v>2333</v>
      </c>
      <c r="F1514" s="89" t="s">
        <v>8160</v>
      </c>
      <c r="G1514" s="29" t="s">
        <v>6997</v>
      </c>
    </row>
    <row r="1515" spans="1:7">
      <c r="A1515" s="33">
        <v>43430</v>
      </c>
      <c r="B1515" s="29" t="s">
        <v>8161</v>
      </c>
      <c r="C1515" s="29" t="s">
        <v>8162</v>
      </c>
      <c r="D1515" s="29" t="s">
        <v>8163</v>
      </c>
      <c r="E1515" s="92" t="s">
        <v>8164</v>
      </c>
      <c r="F1515" s="89" t="s">
        <v>55</v>
      </c>
      <c r="G1515" s="29" t="s">
        <v>8165</v>
      </c>
    </row>
    <row r="1516" spans="1:7">
      <c r="A1516" s="33">
        <v>43431</v>
      </c>
      <c r="B1516" s="29" t="s">
        <v>8166</v>
      </c>
      <c r="C1516" s="29" t="s">
        <v>8167</v>
      </c>
      <c r="D1516" s="29" t="s">
        <v>8168</v>
      </c>
      <c r="E1516" s="92" t="s">
        <v>3216</v>
      </c>
      <c r="F1516" s="89" t="s">
        <v>8169</v>
      </c>
      <c r="G1516" s="35">
        <v>6000000000</v>
      </c>
    </row>
    <row r="1517" spans="1:7">
      <c r="A1517" s="33">
        <v>43432</v>
      </c>
      <c r="B1517" s="29" t="s">
        <v>8170</v>
      </c>
      <c r="C1517" s="29" t="s">
        <v>8171</v>
      </c>
      <c r="D1517" s="29" t="s">
        <v>8170</v>
      </c>
      <c r="E1517" s="92" t="s">
        <v>2562</v>
      </c>
      <c r="F1517" s="89" t="s">
        <v>8172</v>
      </c>
      <c r="G1517" s="29" t="s">
        <v>7603</v>
      </c>
    </row>
    <row r="1518" spans="1:7">
      <c r="A1518" s="33">
        <v>43433</v>
      </c>
      <c r="B1518" s="34">
        <v>4269004</v>
      </c>
      <c r="C1518" s="34">
        <v>4413021</v>
      </c>
      <c r="D1518" s="34">
        <v>4145765</v>
      </c>
      <c r="E1518" s="92" t="s">
        <v>3122</v>
      </c>
      <c r="F1518" s="89" t="s">
        <v>8173</v>
      </c>
      <c r="G1518" s="29" t="s">
        <v>8174</v>
      </c>
    </row>
    <row r="1519" spans="1:7">
      <c r="A1519" s="33">
        <v>43434</v>
      </c>
      <c r="B1519" s="34">
        <v>4289089</v>
      </c>
      <c r="C1519" s="34">
        <v>4322977</v>
      </c>
      <c r="D1519" s="34">
        <v>3942822</v>
      </c>
      <c r="E1519" s="92" t="s">
        <v>2329</v>
      </c>
      <c r="F1519" s="89" t="s">
        <v>63</v>
      </c>
      <c r="G1519" s="29" t="s">
        <v>7315</v>
      </c>
    </row>
    <row r="1520" spans="1:7">
      <c r="A1520" s="33">
        <v>43435</v>
      </c>
      <c r="B1520" s="34">
        <v>4024464</v>
      </c>
      <c r="C1520" s="34">
        <v>4309377</v>
      </c>
      <c r="D1520" s="34">
        <v>3969711</v>
      </c>
      <c r="E1520" s="92" t="s">
        <v>2507</v>
      </c>
      <c r="F1520" s="89" t="s">
        <v>67</v>
      </c>
      <c r="G1520" s="29" t="s">
        <v>7085</v>
      </c>
    </row>
    <row r="1521" spans="1:7">
      <c r="A1521" s="33">
        <v>43436</v>
      </c>
      <c r="B1521" s="34">
        <v>4200733</v>
      </c>
      <c r="C1521" s="29" t="s">
        <v>8175</v>
      </c>
      <c r="D1521" s="34">
        <v>4110979</v>
      </c>
      <c r="E1521" s="92" t="s">
        <v>2337</v>
      </c>
      <c r="F1521" s="89" t="s">
        <v>8176</v>
      </c>
      <c r="G1521" s="29" t="s">
        <v>8177</v>
      </c>
    </row>
    <row r="1522" spans="1:7">
      <c r="A1522" s="33">
        <v>43437</v>
      </c>
      <c r="B1522" s="34">
        <v>4147324</v>
      </c>
      <c r="C1522" s="34">
        <v>4155979</v>
      </c>
      <c r="D1522" s="34">
        <v>3840446</v>
      </c>
      <c r="E1522" s="92" t="s">
        <v>8178</v>
      </c>
      <c r="F1522" s="89" t="s">
        <v>8179</v>
      </c>
      <c r="G1522" s="29" t="s">
        <v>8180</v>
      </c>
    </row>
    <row r="1523" spans="1:7">
      <c r="A1523" s="33">
        <v>43438</v>
      </c>
      <c r="B1523" s="34">
        <v>3886295</v>
      </c>
      <c r="C1523" s="34">
        <v>4075628</v>
      </c>
      <c r="D1523" s="29" t="s">
        <v>8181</v>
      </c>
      <c r="E1523" s="92" t="s">
        <v>2492</v>
      </c>
      <c r="F1523" s="89" t="s">
        <v>8182</v>
      </c>
      <c r="G1523" s="29" t="s">
        <v>4778</v>
      </c>
    </row>
    <row r="1524" spans="1:7">
      <c r="A1524" s="33">
        <v>43439</v>
      </c>
      <c r="B1524" s="34">
        <v>3958895</v>
      </c>
      <c r="C1524" s="34">
        <v>3969536</v>
      </c>
      <c r="D1524" s="34">
        <v>3753995</v>
      </c>
      <c r="E1524" s="92" t="s">
        <v>2499</v>
      </c>
      <c r="F1524" s="89" t="s">
        <v>8183</v>
      </c>
      <c r="G1524" s="29" t="s">
        <v>7704</v>
      </c>
    </row>
    <row r="1525" spans="1:7">
      <c r="A1525" s="33">
        <v>43440</v>
      </c>
      <c r="B1525" s="34">
        <v>3754074</v>
      </c>
      <c r="C1525" s="34">
        <v>3874966</v>
      </c>
      <c r="D1525" s="34">
        <v>3521102</v>
      </c>
      <c r="E1525" s="92" t="s">
        <v>2289</v>
      </c>
      <c r="F1525" s="89" t="s">
        <v>8184</v>
      </c>
      <c r="G1525" s="29" t="s">
        <v>8185</v>
      </c>
    </row>
    <row r="1526" spans="1:7">
      <c r="A1526" s="33">
        <v>43441</v>
      </c>
      <c r="B1526" s="29" t="s">
        <v>8186</v>
      </c>
      <c r="C1526" s="29" t="s">
        <v>8186</v>
      </c>
      <c r="D1526" s="34">
        <v>3280229</v>
      </c>
      <c r="E1526" s="92" t="s">
        <v>2495</v>
      </c>
      <c r="F1526" s="89" t="s">
        <v>8187</v>
      </c>
      <c r="G1526" s="29" t="s">
        <v>8188</v>
      </c>
    </row>
    <row r="1527" spans="1:7">
      <c r="A1527" s="33">
        <v>43442</v>
      </c>
      <c r="B1527" s="29" t="s">
        <v>8189</v>
      </c>
      <c r="C1527" s="34">
        <v>3506043</v>
      </c>
      <c r="D1527" s="34">
        <v>3350651</v>
      </c>
      <c r="E1527" s="92" t="s">
        <v>2503</v>
      </c>
      <c r="F1527" s="89" t="s">
        <v>80</v>
      </c>
      <c r="G1527" s="29" t="s">
        <v>8190</v>
      </c>
    </row>
    <row r="1528" spans="1:7">
      <c r="A1528" s="33">
        <v>43443</v>
      </c>
      <c r="B1528" s="34">
        <v>3473228</v>
      </c>
      <c r="C1528" s="34">
        <v>3685306</v>
      </c>
      <c r="D1528" s="34">
        <v>3469094</v>
      </c>
      <c r="E1528" s="92" t="s">
        <v>2558</v>
      </c>
      <c r="F1528" s="89" t="s">
        <v>8191</v>
      </c>
      <c r="G1528" s="29" t="s">
        <v>8192</v>
      </c>
    </row>
    <row r="1529" spans="1:7">
      <c r="A1529" s="33">
        <v>43444</v>
      </c>
      <c r="B1529" s="34">
        <v>3612046</v>
      </c>
      <c r="C1529" s="34">
        <v>3647333</v>
      </c>
      <c r="D1529" s="34">
        <v>3470145</v>
      </c>
      <c r="E1529" s="92" t="s">
        <v>2394</v>
      </c>
      <c r="F1529" s="89" t="s">
        <v>8193</v>
      </c>
      <c r="G1529" s="29" t="s">
        <v>8194</v>
      </c>
    </row>
    <row r="1530" spans="1:7">
      <c r="A1530" s="33">
        <v>43445</v>
      </c>
      <c r="B1530" s="34">
        <v>3497555</v>
      </c>
      <c r="C1530" s="34">
        <v>3513185</v>
      </c>
      <c r="D1530" s="29" t="s">
        <v>8195</v>
      </c>
      <c r="E1530" s="92" t="s">
        <v>296</v>
      </c>
      <c r="F1530" s="89" t="s">
        <v>8196</v>
      </c>
      <c r="G1530" s="29" t="s">
        <v>8076</v>
      </c>
    </row>
    <row r="1531" spans="1:7">
      <c r="A1531" s="33">
        <v>43446</v>
      </c>
      <c r="B1531" s="34">
        <v>3421458</v>
      </c>
      <c r="C1531" s="34">
        <v>3534229</v>
      </c>
      <c r="D1531" s="34">
        <v>3413481</v>
      </c>
      <c r="E1531" s="92" t="s">
        <v>2765</v>
      </c>
      <c r="F1531" s="89" t="s">
        <v>71</v>
      </c>
      <c r="G1531" s="29" t="s">
        <v>8197</v>
      </c>
    </row>
    <row r="1532" spans="1:7">
      <c r="A1532" s="33">
        <v>43447</v>
      </c>
      <c r="B1532" s="34">
        <v>3487879</v>
      </c>
      <c r="C1532" s="29" t="s">
        <v>8198</v>
      </c>
      <c r="D1532" s="34">
        <v>3298132</v>
      </c>
      <c r="E1532" s="92" t="s">
        <v>2285</v>
      </c>
      <c r="F1532" s="89" t="s">
        <v>8199</v>
      </c>
      <c r="G1532" s="29" t="s">
        <v>6637</v>
      </c>
    </row>
    <row r="1533" spans="1:7">
      <c r="A1533" s="33">
        <v>43448</v>
      </c>
      <c r="B1533" s="34">
        <v>3311752</v>
      </c>
      <c r="C1533" s="34">
        <v>3329556</v>
      </c>
      <c r="D1533" s="34">
        <v>3206542</v>
      </c>
      <c r="E1533" s="92" t="s">
        <v>2359</v>
      </c>
      <c r="F1533" s="89" t="s">
        <v>6987</v>
      </c>
      <c r="G1533" s="29" t="s">
        <v>8200</v>
      </c>
    </row>
    <row r="1534" spans="1:7">
      <c r="A1534" s="33">
        <v>43449</v>
      </c>
      <c r="B1534" s="34">
        <v>3243998</v>
      </c>
      <c r="C1534" s="34">
        <v>3275378</v>
      </c>
      <c r="D1534" s="34">
        <v>3191303</v>
      </c>
      <c r="E1534" s="92" t="s">
        <v>3030</v>
      </c>
      <c r="F1534" s="89" t="s">
        <v>8201</v>
      </c>
      <c r="G1534" s="29" t="s">
        <v>8202</v>
      </c>
    </row>
    <row r="1535" spans="1:7">
      <c r="A1535" s="33">
        <v>43450</v>
      </c>
      <c r="B1535" s="34">
        <v>3236275</v>
      </c>
      <c r="C1535" s="34">
        <v>3305753</v>
      </c>
      <c r="D1535" s="29" t="s">
        <v>8203</v>
      </c>
      <c r="E1535" s="92" t="s">
        <v>2488</v>
      </c>
      <c r="F1535" s="89" t="s">
        <v>8204</v>
      </c>
      <c r="G1535" s="29" t="s">
        <v>8205</v>
      </c>
    </row>
    <row r="1536" spans="1:7">
      <c r="A1536" s="33">
        <v>43451</v>
      </c>
      <c r="B1536" s="34">
        <v>3253123</v>
      </c>
      <c r="C1536" s="34">
        <v>3597918</v>
      </c>
      <c r="D1536" s="34">
        <v>3253123</v>
      </c>
      <c r="E1536" s="92" t="s">
        <v>3034</v>
      </c>
      <c r="F1536" s="89" t="s">
        <v>8206</v>
      </c>
      <c r="G1536" s="29" t="s">
        <v>8207</v>
      </c>
    </row>
    <row r="1537" spans="1:7">
      <c r="A1537" s="33">
        <v>43452</v>
      </c>
      <c r="B1537" s="34">
        <v>3544761</v>
      </c>
      <c r="C1537" s="34">
        <v>3701349</v>
      </c>
      <c r="D1537" s="34">
        <v>3487169</v>
      </c>
      <c r="E1537" s="92" t="s">
        <v>2761</v>
      </c>
      <c r="F1537" s="89" t="s">
        <v>59</v>
      </c>
      <c r="G1537" s="29" t="s">
        <v>8208</v>
      </c>
    </row>
    <row r="1538" spans="1:7">
      <c r="A1538" s="33">
        <v>43453</v>
      </c>
      <c r="B1538" s="34">
        <v>3706825</v>
      </c>
      <c r="C1538" s="34">
        <v>3949323</v>
      </c>
      <c r="D1538" s="29" t="s">
        <v>8209</v>
      </c>
      <c r="E1538" s="92" t="s">
        <v>3042</v>
      </c>
      <c r="F1538" s="89" t="s">
        <v>8210</v>
      </c>
      <c r="G1538" s="29" t="s">
        <v>8211</v>
      </c>
    </row>
    <row r="1539" spans="1:7">
      <c r="A1539" s="33">
        <v>43454</v>
      </c>
      <c r="B1539" s="34">
        <v>3742195</v>
      </c>
      <c r="C1539" s="34">
        <v>4191229</v>
      </c>
      <c r="D1539" s="34">
        <v>3728975</v>
      </c>
      <c r="E1539" s="92" t="s">
        <v>2281</v>
      </c>
      <c r="F1539" s="89" t="s">
        <v>8212</v>
      </c>
      <c r="G1539" s="29" t="s">
        <v>8213</v>
      </c>
    </row>
    <row r="1540" spans="1:7">
      <c r="A1540" s="33">
        <v>43455</v>
      </c>
      <c r="B1540" s="34">
        <v>4133704</v>
      </c>
      <c r="C1540" s="29" t="s">
        <v>8214</v>
      </c>
      <c r="D1540" s="34">
        <v>3850946</v>
      </c>
      <c r="E1540" s="92" t="s">
        <v>2293</v>
      </c>
      <c r="F1540" s="89" t="s">
        <v>8215</v>
      </c>
      <c r="G1540" s="29" t="s">
        <v>8216</v>
      </c>
    </row>
    <row r="1541" spans="1:7">
      <c r="A1541" s="33">
        <v>43456</v>
      </c>
      <c r="B1541" s="34">
        <v>3898084</v>
      </c>
      <c r="C1541" s="34">
        <v>4014183</v>
      </c>
      <c r="D1541" s="34">
        <v>3855739</v>
      </c>
      <c r="E1541" s="92" t="s">
        <v>3022</v>
      </c>
      <c r="F1541" s="89" t="s">
        <v>8217</v>
      </c>
      <c r="G1541" s="29" t="s">
        <v>8218</v>
      </c>
    </row>
    <row r="1542" spans="1:7">
      <c r="A1542" s="33">
        <v>43457</v>
      </c>
      <c r="B1542" s="34">
        <v>4020995</v>
      </c>
      <c r="C1542" s="34">
        <v>4085724</v>
      </c>
      <c r="D1542" s="34">
        <v>3976406</v>
      </c>
      <c r="E1542" s="92" t="s">
        <v>2769</v>
      </c>
      <c r="F1542" s="89" t="s">
        <v>8219</v>
      </c>
      <c r="G1542" s="29" t="s">
        <v>8220</v>
      </c>
    </row>
    <row r="1543" spans="1:7">
      <c r="A1543" s="33">
        <v>43458</v>
      </c>
      <c r="B1543" s="34">
        <v>4000332</v>
      </c>
      <c r="C1543" s="34">
        <v>4271792</v>
      </c>
      <c r="D1543" s="34">
        <v>4000332</v>
      </c>
      <c r="E1543" s="92" t="s">
        <v>3026</v>
      </c>
      <c r="F1543" s="89" t="s">
        <v>8221</v>
      </c>
      <c r="G1543" s="29" t="s">
        <v>8222</v>
      </c>
    </row>
    <row r="1544" spans="1:7">
      <c r="A1544" s="33">
        <v>43459</v>
      </c>
      <c r="B1544" s="34">
        <v>4081031</v>
      </c>
      <c r="C1544" s="34">
        <v>4089562</v>
      </c>
      <c r="D1544" s="34">
        <v>3760021</v>
      </c>
      <c r="E1544" s="92" t="s">
        <v>2484</v>
      </c>
      <c r="F1544" s="89" t="s">
        <v>8223</v>
      </c>
      <c r="G1544" s="29" t="s">
        <v>8224</v>
      </c>
    </row>
    <row r="1545" spans="1:7">
      <c r="A1545" s="33">
        <v>43460</v>
      </c>
      <c r="B1545" s="34">
        <v>3819667</v>
      </c>
      <c r="C1545" s="29" t="s">
        <v>8225</v>
      </c>
      <c r="D1545" s="34">
        <v>3769864</v>
      </c>
      <c r="E1545" s="92" t="s">
        <v>2340</v>
      </c>
      <c r="F1545" s="89" t="s">
        <v>6666</v>
      </c>
      <c r="G1545" s="29" t="s">
        <v>8226</v>
      </c>
    </row>
    <row r="1546" spans="1:7">
      <c r="A1546" s="33">
        <v>43461</v>
      </c>
      <c r="B1546" s="34">
        <v>3854688</v>
      </c>
      <c r="C1546" s="34">
        <v>3874417</v>
      </c>
      <c r="D1546" s="34">
        <v>3645448</v>
      </c>
      <c r="E1546" s="92" t="s">
        <v>5943</v>
      </c>
      <c r="F1546" s="89" t="s">
        <v>8227</v>
      </c>
      <c r="G1546" s="29" t="s">
        <v>7345</v>
      </c>
    </row>
    <row r="1547" spans="1:7">
      <c r="A1547" s="33">
        <v>43462</v>
      </c>
      <c r="B1547" s="34">
        <v>3653132</v>
      </c>
      <c r="C1547" s="34">
        <v>3956136</v>
      </c>
      <c r="D1547" s="34">
        <v>3642632</v>
      </c>
      <c r="E1547" s="92" t="s">
        <v>2355</v>
      </c>
      <c r="F1547" s="89" t="s">
        <v>8228</v>
      </c>
      <c r="G1547" s="29" t="s">
        <v>7160</v>
      </c>
    </row>
    <row r="1548" spans="1:7">
      <c r="A1548" s="33">
        <v>43463</v>
      </c>
      <c r="B1548" s="34">
        <v>3932492</v>
      </c>
      <c r="C1548" s="34">
        <v>3963759</v>
      </c>
      <c r="D1548" s="34">
        <v>3820409</v>
      </c>
      <c r="E1548" s="92" t="s">
        <v>2737</v>
      </c>
      <c r="F1548" s="89" t="s">
        <v>8229</v>
      </c>
      <c r="G1548" s="29" t="s">
        <v>7361</v>
      </c>
    </row>
    <row r="1549" spans="1:7">
      <c r="A1549" s="33">
        <v>43464</v>
      </c>
      <c r="B1549" s="34">
        <v>3822385</v>
      </c>
      <c r="C1549" s="34">
        <v>3901909</v>
      </c>
      <c r="D1549" s="34">
        <v>3797219</v>
      </c>
      <c r="E1549" s="92" t="s">
        <v>2363</v>
      </c>
      <c r="F1549" s="89" t="s">
        <v>8230</v>
      </c>
      <c r="G1549" s="29" t="s">
        <v>8231</v>
      </c>
    </row>
    <row r="1550" spans="1:7">
      <c r="A1550" s="33">
        <v>43465</v>
      </c>
      <c r="B1550" s="34">
        <v>3866839</v>
      </c>
      <c r="C1550" s="34">
        <v>3868743</v>
      </c>
      <c r="D1550" s="34">
        <v>3725867</v>
      </c>
      <c r="E1550" s="92" t="s">
        <v>2725</v>
      </c>
      <c r="F1550" s="89" t="s">
        <v>8232</v>
      </c>
      <c r="G1550" s="29" t="s">
        <v>7765</v>
      </c>
    </row>
    <row r="1551" spans="1:7">
      <c r="A1551" s="33">
        <v>43466</v>
      </c>
      <c r="B1551" s="34">
        <v>3746713</v>
      </c>
      <c r="C1551" s="34">
        <v>3850914</v>
      </c>
      <c r="D1551" s="34">
        <v>3707231</v>
      </c>
      <c r="E1551" s="92" t="s">
        <v>2297</v>
      </c>
      <c r="F1551" s="89" t="s">
        <v>8233</v>
      </c>
      <c r="G1551" s="29" t="s">
        <v>8234</v>
      </c>
    </row>
    <row r="1552" spans="1:7">
      <c r="A1552" s="33">
        <v>43467</v>
      </c>
      <c r="B1552" s="34">
        <v>3849216</v>
      </c>
      <c r="C1552" s="34">
        <v>3947981</v>
      </c>
      <c r="D1552" s="34">
        <v>3817409</v>
      </c>
      <c r="E1552" s="92" t="s">
        <v>2273</v>
      </c>
      <c r="F1552" s="89" t="s">
        <v>8235</v>
      </c>
      <c r="G1552" s="29" t="s">
        <v>7156</v>
      </c>
    </row>
    <row r="1553" spans="1:7">
      <c r="A1553" s="33">
        <v>43468</v>
      </c>
      <c r="B1553" s="34">
        <v>3931049</v>
      </c>
      <c r="C1553" s="34">
        <v>3935685</v>
      </c>
      <c r="D1553" s="34">
        <v>3826223</v>
      </c>
      <c r="E1553" s="92" t="s">
        <v>3038</v>
      </c>
      <c r="F1553" s="89" t="s">
        <v>8236</v>
      </c>
      <c r="G1553" s="29" t="s">
        <v>7105</v>
      </c>
    </row>
    <row r="1554" spans="1:7">
      <c r="A1554" s="33">
        <v>43469</v>
      </c>
      <c r="B1554" s="29" t="s">
        <v>8237</v>
      </c>
      <c r="C1554" s="34">
        <v>3865935</v>
      </c>
      <c r="D1554" s="34">
        <v>3783854</v>
      </c>
      <c r="E1554" s="92" t="s">
        <v>2741</v>
      </c>
      <c r="F1554" s="89" t="s">
        <v>8238</v>
      </c>
      <c r="G1554" s="29" t="s">
        <v>7357</v>
      </c>
    </row>
    <row r="1555" spans="1:7">
      <c r="A1555" s="33">
        <v>43470</v>
      </c>
      <c r="B1555" s="34">
        <v>3851974</v>
      </c>
      <c r="C1555" s="34">
        <v>3904903</v>
      </c>
      <c r="D1555" s="29" t="s">
        <v>8239</v>
      </c>
      <c r="E1555" s="92" t="s">
        <v>3228</v>
      </c>
      <c r="F1555" s="89" t="s">
        <v>8240</v>
      </c>
      <c r="G1555" s="29" t="s">
        <v>6661</v>
      </c>
    </row>
    <row r="1556" spans="1:7">
      <c r="A1556" s="33">
        <v>43471</v>
      </c>
      <c r="B1556" s="34">
        <v>3836519</v>
      </c>
      <c r="C1556" s="34">
        <v>4093297</v>
      </c>
      <c r="D1556" s="34">
        <v>3826513</v>
      </c>
      <c r="E1556" s="92" t="s">
        <v>2773</v>
      </c>
      <c r="F1556" s="89" t="s">
        <v>85</v>
      </c>
      <c r="G1556" s="29" t="s">
        <v>8241</v>
      </c>
    </row>
    <row r="1557" spans="1:7">
      <c r="A1557" s="33">
        <v>43472</v>
      </c>
      <c r="B1557" s="34">
        <v>4078585</v>
      </c>
      <c r="C1557" s="34">
        <v>4092614</v>
      </c>
      <c r="D1557" s="34">
        <v>4020894</v>
      </c>
      <c r="E1557" s="92" t="s">
        <v>2733</v>
      </c>
      <c r="F1557" s="89" t="s">
        <v>8242</v>
      </c>
      <c r="G1557" s="29" t="s">
        <v>8243</v>
      </c>
    </row>
    <row r="1558" spans="1:7">
      <c r="A1558" s="33">
        <v>43473</v>
      </c>
      <c r="B1558" s="34">
        <v>4028472</v>
      </c>
      <c r="C1558" s="34">
        <v>4109021</v>
      </c>
      <c r="D1558" s="34">
        <v>3996955</v>
      </c>
      <c r="E1558" s="92" t="s">
        <v>2351</v>
      </c>
      <c r="F1558" s="89" t="s">
        <v>8244</v>
      </c>
      <c r="G1558" s="29" t="s">
        <v>8190</v>
      </c>
    </row>
    <row r="1559" spans="1:7">
      <c r="A1559" s="33">
        <v>43474</v>
      </c>
      <c r="B1559" s="34">
        <v>4031552</v>
      </c>
      <c r="C1559" s="34">
        <v>4068404</v>
      </c>
      <c r="D1559" s="34">
        <v>4022663</v>
      </c>
      <c r="E1559" s="92" t="s">
        <v>2269</v>
      </c>
      <c r="F1559" s="89" t="s">
        <v>8245</v>
      </c>
      <c r="G1559" s="29" t="s">
        <v>6604</v>
      </c>
    </row>
    <row r="1560" spans="1:7">
      <c r="A1560" s="33">
        <v>43475</v>
      </c>
      <c r="B1560" s="34">
        <v>4034411</v>
      </c>
      <c r="C1560" s="34">
        <v>4064067</v>
      </c>
      <c r="D1560" s="34">
        <v>3659175</v>
      </c>
      <c r="E1560" s="92" t="s">
        <v>2325</v>
      </c>
      <c r="F1560" s="89" t="s">
        <v>8246</v>
      </c>
      <c r="G1560" s="29" t="s">
        <v>8247</v>
      </c>
    </row>
    <row r="1561" spans="1:7">
      <c r="A1561" s="33">
        <v>43476</v>
      </c>
      <c r="B1561" s="34">
        <v>3674015</v>
      </c>
      <c r="C1561" s="34">
        <v>3713882</v>
      </c>
      <c r="D1561" s="29" t="s">
        <v>8248</v>
      </c>
      <c r="E1561" s="92" t="s">
        <v>2745</v>
      </c>
      <c r="F1561" s="89" t="s">
        <v>8249</v>
      </c>
      <c r="G1561" s="29" t="s">
        <v>8250</v>
      </c>
    </row>
    <row r="1562" spans="1:7">
      <c r="A1562" s="33">
        <v>43477</v>
      </c>
      <c r="B1562" s="34">
        <v>3686973</v>
      </c>
      <c r="C1562" s="34">
        <v>3698978</v>
      </c>
      <c r="D1562" s="34">
        <v>3653811</v>
      </c>
      <c r="E1562" s="92" t="s">
        <v>2749</v>
      </c>
      <c r="F1562" s="89" t="s">
        <v>8251</v>
      </c>
      <c r="G1562" s="29" t="s">
        <v>8252</v>
      </c>
    </row>
    <row r="1563" spans="1:7">
      <c r="A1563" s="33">
        <v>43478</v>
      </c>
      <c r="B1563" s="34">
        <v>3658868</v>
      </c>
      <c r="C1563" s="29" t="s">
        <v>8253</v>
      </c>
      <c r="D1563" s="34">
        <v>3544927</v>
      </c>
      <c r="E1563" s="92" t="s">
        <v>2265</v>
      </c>
      <c r="F1563" s="89" t="s">
        <v>8254</v>
      </c>
      <c r="G1563" s="29" t="s">
        <v>8156</v>
      </c>
    </row>
    <row r="1564" spans="1:7">
      <c r="A1564" s="33">
        <v>43479</v>
      </c>
      <c r="B1564" s="34">
        <v>3557311</v>
      </c>
      <c r="C1564" s="34">
        <v>3727836</v>
      </c>
      <c r="D1564" s="34">
        <v>3552285</v>
      </c>
      <c r="E1564" s="92" t="s">
        <v>8255</v>
      </c>
      <c r="F1564" s="89" t="s">
        <v>8256</v>
      </c>
      <c r="G1564" s="29" t="s">
        <v>6643</v>
      </c>
    </row>
    <row r="1565" spans="1:7">
      <c r="A1565" s="33">
        <v>43480</v>
      </c>
      <c r="B1565" s="34">
        <v>3704216</v>
      </c>
      <c r="C1565" s="34">
        <v>3720153</v>
      </c>
      <c r="D1565" s="34">
        <v>3619949</v>
      </c>
      <c r="E1565" s="92" t="s">
        <v>2261</v>
      </c>
      <c r="F1565" s="89" t="s">
        <v>8257</v>
      </c>
      <c r="G1565" s="29" t="s">
        <v>8250</v>
      </c>
    </row>
    <row r="1566" spans="1:7">
      <c r="A1566" s="33">
        <v>43481</v>
      </c>
      <c r="B1566" s="29" t="s">
        <v>8258</v>
      </c>
      <c r="C1566" s="34">
        <v>3685777</v>
      </c>
      <c r="D1566" s="34">
        <v>3624673</v>
      </c>
      <c r="E1566" s="92" t="s">
        <v>8259</v>
      </c>
      <c r="F1566" s="89" t="s">
        <v>8260</v>
      </c>
      <c r="G1566" s="29" t="s">
        <v>7014</v>
      </c>
    </row>
    <row r="1567" spans="1:7">
      <c r="A1567" s="33">
        <v>43482</v>
      </c>
      <c r="B1567" s="34">
        <v>3651871</v>
      </c>
      <c r="C1567" s="34">
        <v>3680136</v>
      </c>
      <c r="D1567" s="34">
        <v>3621961</v>
      </c>
      <c r="E1567" s="92" t="s">
        <v>3220</v>
      </c>
      <c r="F1567" s="89" t="s">
        <v>8261</v>
      </c>
      <c r="G1567" s="29" t="s">
        <v>8262</v>
      </c>
    </row>
    <row r="1568" spans="1:7">
      <c r="A1568" s="33">
        <v>43483</v>
      </c>
      <c r="B1568" s="29" t="s">
        <v>8263</v>
      </c>
      <c r="C1568" s="29" t="s">
        <v>8264</v>
      </c>
      <c r="D1568" s="34">
        <v>3637081</v>
      </c>
      <c r="E1568" s="92" t="s">
        <v>2650</v>
      </c>
      <c r="F1568" s="89" t="s">
        <v>8265</v>
      </c>
      <c r="G1568" s="35">
        <v>5000000000</v>
      </c>
    </row>
    <row r="1569" spans="1:7">
      <c r="A1569" s="33">
        <v>43484</v>
      </c>
      <c r="B1569" s="34">
        <v>3652378</v>
      </c>
      <c r="C1569" s="34">
        <v>3758533</v>
      </c>
      <c r="D1569" s="34">
        <v>3652378</v>
      </c>
      <c r="E1569" s="92" t="s">
        <v>2519</v>
      </c>
      <c r="F1569" s="89" t="s">
        <v>8266</v>
      </c>
      <c r="G1569" s="29" t="s">
        <v>7569</v>
      </c>
    </row>
    <row r="1570" spans="1:7">
      <c r="A1570" s="33">
        <v>43485</v>
      </c>
      <c r="B1570" s="34">
        <v>3725446</v>
      </c>
      <c r="C1570" s="34">
        <v>3743388</v>
      </c>
      <c r="D1570" s="29" t="s">
        <v>8267</v>
      </c>
      <c r="E1570" s="92" t="s">
        <v>8268</v>
      </c>
      <c r="F1570" s="89" t="s">
        <v>8266</v>
      </c>
      <c r="G1570" s="29" t="s">
        <v>8269</v>
      </c>
    </row>
    <row r="1571" spans="1:7">
      <c r="A1571" s="33">
        <v>43486</v>
      </c>
      <c r="B1571" s="34">
        <v>3600373</v>
      </c>
      <c r="C1571" s="34">
        <v>3608841</v>
      </c>
      <c r="D1571" s="34">
        <v>3558537</v>
      </c>
      <c r="E1571" s="92" t="s">
        <v>2729</v>
      </c>
      <c r="F1571" s="89" t="s">
        <v>8270</v>
      </c>
      <c r="G1571" s="35">
        <v>5000000000</v>
      </c>
    </row>
    <row r="1572" spans="1:7">
      <c r="A1572" s="33">
        <v>43487</v>
      </c>
      <c r="B1572" s="34">
        <v>3575081</v>
      </c>
      <c r="C1572" s="34">
        <v>3620747</v>
      </c>
      <c r="D1572" s="34">
        <v>3539721</v>
      </c>
      <c r="E1572" s="92" t="s">
        <v>2301</v>
      </c>
      <c r="F1572" s="89" t="s">
        <v>8271</v>
      </c>
      <c r="G1572" s="29" t="s">
        <v>8190</v>
      </c>
    </row>
    <row r="1573" spans="1:7">
      <c r="A1573" s="33">
        <v>43488</v>
      </c>
      <c r="B1573" s="34">
        <v>3605557</v>
      </c>
      <c r="C1573" s="34">
        <v>3623068</v>
      </c>
      <c r="D1573" s="34">
        <v>3565314</v>
      </c>
      <c r="E1573" s="92" t="s">
        <v>2511</v>
      </c>
      <c r="F1573" s="89" t="s">
        <v>8272</v>
      </c>
      <c r="G1573" s="29" t="s">
        <v>8273</v>
      </c>
    </row>
    <row r="1574" spans="1:7">
      <c r="A1574" s="33">
        <v>43489</v>
      </c>
      <c r="B1574" s="29" t="s">
        <v>8274</v>
      </c>
      <c r="C1574" s="34">
        <v>3616087</v>
      </c>
      <c r="D1574" s="34">
        <v>3569093</v>
      </c>
      <c r="E1574" s="92" t="s">
        <v>2574</v>
      </c>
      <c r="F1574" s="89" t="s">
        <v>8275</v>
      </c>
      <c r="G1574" s="29" t="s">
        <v>8177</v>
      </c>
    </row>
    <row r="1575" spans="1:7">
      <c r="A1575" s="33">
        <v>43490</v>
      </c>
      <c r="B1575" s="29" t="s">
        <v>8276</v>
      </c>
      <c r="C1575" s="34">
        <v>3612928</v>
      </c>
      <c r="D1575" s="34">
        <v>3575597</v>
      </c>
      <c r="E1575" s="92" t="s">
        <v>8277</v>
      </c>
      <c r="F1575" s="89" t="s">
        <v>8278</v>
      </c>
      <c r="G1575" s="29" t="s">
        <v>4778</v>
      </c>
    </row>
    <row r="1576" spans="1:7">
      <c r="A1576" s="33">
        <v>43491</v>
      </c>
      <c r="B1576" s="34">
        <v>3599715</v>
      </c>
      <c r="C1576" s="34">
        <v>3654933</v>
      </c>
      <c r="D1576" s="34">
        <v>3593346</v>
      </c>
      <c r="E1576" s="92" t="s">
        <v>2757</v>
      </c>
      <c r="F1576" s="89" t="s">
        <v>8279</v>
      </c>
      <c r="G1576" s="29" t="s">
        <v>8280</v>
      </c>
    </row>
    <row r="1577" spans="1:7">
      <c r="A1577" s="33">
        <v>43492</v>
      </c>
      <c r="B1577" s="34">
        <v>3604687</v>
      </c>
      <c r="C1577" s="34">
        <v>3612671</v>
      </c>
      <c r="D1577" s="34">
        <v>3567246</v>
      </c>
      <c r="E1577" s="92" t="s">
        <v>3224</v>
      </c>
      <c r="F1577" s="89" t="s">
        <v>8281</v>
      </c>
      <c r="G1577" s="29" t="s">
        <v>8282</v>
      </c>
    </row>
    <row r="1578" spans="1:7">
      <c r="A1578" s="33">
        <v>43493</v>
      </c>
      <c r="B1578" s="34">
        <v>3584283</v>
      </c>
      <c r="C1578" s="34">
        <v>3586751</v>
      </c>
      <c r="D1578" s="34">
        <v>3439233</v>
      </c>
      <c r="E1578" s="92" t="s">
        <v>2654</v>
      </c>
      <c r="F1578" s="89" t="s">
        <v>8283</v>
      </c>
      <c r="G1578" s="29" t="s">
        <v>7259</v>
      </c>
    </row>
    <row r="1579" spans="1:7">
      <c r="A1579" s="33">
        <v>43494</v>
      </c>
      <c r="B1579" s="29" t="s">
        <v>8284</v>
      </c>
      <c r="C1579" s="34">
        <v>3476065</v>
      </c>
      <c r="D1579" s="29" t="s">
        <v>8285</v>
      </c>
      <c r="E1579" s="92" t="s">
        <v>2753</v>
      </c>
      <c r="F1579" s="89" t="s">
        <v>8286</v>
      </c>
      <c r="G1579" s="29" t="s">
        <v>8287</v>
      </c>
    </row>
    <row r="1580" spans="1:7">
      <c r="A1580" s="33">
        <v>43495</v>
      </c>
      <c r="B1580" s="34">
        <v>3443897</v>
      </c>
      <c r="C1580" s="34">
        <v>3495175</v>
      </c>
      <c r="D1580" s="34">
        <v>3429388</v>
      </c>
      <c r="E1580" s="92" t="s">
        <v>2585</v>
      </c>
      <c r="F1580" s="89" t="s">
        <v>8288</v>
      </c>
      <c r="G1580" s="29" t="s">
        <v>7569</v>
      </c>
    </row>
    <row r="1581" spans="1:7">
      <c r="A1581" s="33">
        <v>43496</v>
      </c>
      <c r="B1581" s="34">
        <v>3485409</v>
      </c>
      <c r="C1581" s="34">
        <v>3504805</v>
      </c>
      <c r="D1581" s="34">
        <v>3447916</v>
      </c>
      <c r="E1581" s="92" t="s">
        <v>2530</v>
      </c>
      <c r="F1581" s="89" t="s">
        <v>8289</v>
      </c>
      <c r="G1581" s="29" t="s">
        <v>8290</v>
      </c>
    </row>
    <row r="1582" spans="1:7">
      <c r="A1582" s="33">
        <v>43497</v>
      </c>
      <c r="B1582" s="34">
        <v>3460547</v>
      </c>
      <c r="C1582" s="34">
        <v>3501954</v>
      </c>
      <c r="D1582" s="34">
        <v>3431592</v>
      </c>
      <c r="E1582" s="92" t="s">
        <v>2305</v>
      </c>
      <c r="F1582" s="89" t="s">
        <v>8291</v>
      </c>
      <c r="G1582" s="29" t="s">
        <v>8292</v>
      </c>
    </row>
    <row r="1583" spans="1:7">
      <c r="A1583" s="33">
        <v>43498</v>
      </c>
      <c r="B1583" s="34">
        <v>3484626</v>
      </c>
      <c r="C1583" s="34">
        <v>3523287</v>
      </c>
      <c r="D1583" s="34">
        <v>3467575</v>
      </c>
      <c r="E1583" s="92" t="s">
        <v>8293</v>
      </c>
      <c r="F1583" s="89" t="s">
        <v>8294</v>
      </c>
      <c r="G1583" s="29" t="s">
        <v>8295</v>
      </c>
    </row>
    <row r="1584" spans="1:7">
      <c r="A1584" s="33">
        <v>43499</v>
      </c>
      <c r="B1584" s="29" t="s">
        <v>8296</v>
      </c>
      <c r="C1584" s="34">
        <v>3521388</v>
      </c>
      <c r="D1584" s="34">
        <v>3447924</v>
      </c>
      <c r="E1584" s="92" t="s">
        <v>2526</v>
      </c>
      <c r="F1584" s="89" t="s">
        <v>8297</v>
      </c>
      <c r="G1584" s="29" t="s">
        <v>7332</v>
      </c>
    </row>
    <row r="1585" spans="1:7">
      <c r="A1585" s="33">
        <v>43500</v>
      </c>
      <c r="B1585" s="34">
        <v>3467212</v>
      </c>
      <c r="C1585" s="34">
        <v>3476224</v>
      </c>
      <c r="D1585" s="34">
        <v>3442587</v>
      </c>
      <c r="E1585" s="92" t="s">
        <v>2515</v>
      </c>
      <c r="F1585" s="89" t="s">
        <v>89</v>
      </c>
      <c r="G1585" s="29" t="s">
        <v>8226</v>
      </c>
    </row>
    <row r="1586" spans="1:7">
      <c r="A1586" s="33">
        <v>43501</v>
      </c>
      <c r="B1586" s="34">
        <v>3454951</v>
      </c>
      <c r="C1586" s="34">
        <v>3478148</v>
      </c>
      <c r="D1586" s="34">
        <v>3451937</v>
      </c>
      <c r="E1586" s="92" t="s">
        <v>2277</v>
      </c>
      <c r="F1586" s="89" t="s">
        <v>8298</v>
      </c>
      <c r="G1586" s="29" t="s">
        <v>8243</v>
      </c>
    </row>
    <row r="1587" spans="1:7">
      <c r="A1587" s="33">
        <v>43502</v>
      </c>
      <c r="B1587" s="34">
        <v>3469092</v>
      </c>
      <c r="C1587" s="34">
        <v>3469092</v>
      </c>
      <c r="D1587" s="34">
        <v>3398565</v>
      </c>
      <c r="E1587" s="92" t="s">
        <v>2542</v>
      </c>
      <c r="F1587" s="89" t="s">
        <v>8299</v>
      </c>
      <c r="G1587" s="29" t="s">
        <v>6641</v>
      </c>
    </row>
    <row r="1588" spans="1:7">
      <c r="A1588" s="33">
        <v>43503</v>
      </c>
      <c r="B1588" s="34">
        <v>3414929</v>
      </c>
      <c r="C1588" s="34">
        <v>3427946</v>
      </c>
      <c r="D1588" s="34">
        <v>3394219</v>
      </c>
      <c r="E1588" s="92" t="s">
        <v>8300</v>
      </c>
      <c r="F1588" s="89" t="s">
        <v>8301</v>
      </c>
      <c r="G1588" s="35">
        <v>5000000000</v>
      </c>
    </row>
    <row r="1589" spans="1:7">
      <c r="A1589" s="33">
        <v>43504</v>
      </c>
      <c r="B1589" s="34">
        <v>3401376</v>
      </c>
      <c r="C1589" s="34">
        <v>3695614</v>
      </c>
      <c r="D1589" s="34">
        <v>3391024</v>
      </c>
      <c r="E1589" s="92" t="s">
        <v>2343</v>
      </c>
      <c r="F1589" s="89" t="s">
        <v>8302</v>
      </c>
      <c r="G1589" s="29" t="s">
        <v>4778</v>
      </c>
    </row>
    <row r="1590" spans="1:7">
      <c r="A1590" s="33">
        <v>43505</v>
      </c>
      <c r="B1590" s="34">
        <v>3671586</v>
      </c>
      <c r="C1590" s="34">
        <v>3679941</v>
      </c>
      <c r="D1590" s="34">
        <v>3646559</v>
      </c>
      <c r="E1590" s="92" t="s">
        <v>2534</v>
      </c>
      <c r="F1590" s="89" t="s">
        <v>8303</v>
      </c>
      <c r="G1590" s="29" t="s">
        <v>8224</v>
      </c>
    </row>
    <row r="1591" spans="1:7">
      <c r="A1591" s="33">
        <v>43506</v>
      </c>
      <c r="B1591" s="34">
        <v>3673201</v>
      </c>
      <c r="C1591" s="34">
        <v>3695036</v>
      </c>
      <c r="D1591" s="29" t="s">
        <v>8304</v>
      </c>
      <c r="E1591" s="92" t="s">
        <v>8305</v>
      </c>
      <c r="F1591" s="89" t="s">
        <v>8306</v>
      </c>
      <c r="G1591" s="29" t="s">
        <v>8307</v>
      </c>
    </row>
    <row r="1592" spans="1:7">
      <c r="A1592" s="33">
        <v>43507</v>
      </c>
      <c r="B1592" s="34">
        <v>3695613</v>
      </c>
      <c r="C1592" s="34">
        <v>3695613</v>
      </c>
      <c r="D1592" s="34">
        <v>3642288</v>
      </c>
      <c r="E1592" s="92" t="s">
        <v>3018</v>
      </c>
      <c r="F1592" s="89" t="s">
        <v>8308</v>
      </c>
      <c r="G1592" s="29" t="s">
        <v>8307</v>
      </c>
    </row>
    <row r="1593" spans="1:7">
      <c r="A1593" s="33">
        <v>43508</v>
      </c>
      <c r="B1593" s="34">
        <v>3642752</v>
      </c>
      <c r="C1593" s="34">
        <v>3668587</v>
      </c>
      <c r="D1593" s="34">
        <v>3618557</v>
      </c>
      <c r="E1593" s="92" t="s">
        <v>8309</v>
      </c>
      <c r="F1593" s="89" t="s">
        <v>8310</v>
      </c>
      <c r="G1593" s="29" t="s">
        <v>8165</v>
      </c>
    </row>
    <row r="1594" spans="1:7">
      <c r="A1594" s="33">
        <v>43509</v>
      </c>
      <c r="B1594" s="34">
        <v>3653604</v>
      </c>
      <c r="C1594" s="34">
        <v>3669747</v>
      </c>
      <c r="D1594" s="34">
        <v>3617246</v>
      </c>
      <c r="E1594" s="92" t="s">
        <v>8311</v>
      </c>
      <c r="F1594" s="89" t="s">
        <v>8312</v>
      </c>
      <c r="G1594" s="29" t="s">
        <v>7031</v>
      </c>
    </row>
    <row r="1595" spans="1:7">
      <c r="A1595" s="33">
        <v>43510</v>
      </c>
      <c r="B1595" s="29" t="s">
        <v>8313</v>
      </c>
      <c r="C1595" s="34">
        <v>3646257</v>
      </c>
      <c r="D1595" s="34">
        <v>3607698</v>
      </c>
      <c r="E1595" s="92" t="s">
        <v>2538</v>
      </c>
      <c r="F1595" s="89" t="s">
        <v>8314</v>
      </c>
      <c r="G1595" s="29" t="s">
        <v>8315</v>
      </c>
    </row>
    <row r="1596" spans="1:7">
      <c r="A1596" s="33">
        <v>43511</v>
      </c>
      <c r="B1596" s="34">
        <v>3617368</v>
      </c>
      <c r="C1596" s="29" t="s">
        <v>4778</v>
      </c>
      <c r="D1596" s="34">
        <v>3608207</v>
      </c>
      <c r="E1596" s="92" t="s">
        <v>2546</v>
      </c>
      <c r="F1596" s="89" t="s">
        <v>8316</v>
      </c>
      <c r="G1596" s="29" t="s">
        <v>8317</v>
      </c>
    </row>
    <row r="1597" spans="1:7">
      <c r="A1597" s="33">
        <v>43512</v>
      </c>
      <c r="B1597" s="29" t="s">
        <v>8318</v>
      </c>
      <c r="C1597" s="34">
        <v>3652841</v>
      </c>
      <c r="D1597" s="29" t="s">
        <v>8318</v>
      </c>
      <c r="E1597" s="92" t="s">
        <v>2523</v>
      </c>
      <c r="F1597" s="89" t="s">
        <v>8319</v>
      </c>
      <c r="G1597" s="29" t="s">
        <v>8320</v>
      </c>
    </row>
    <row r="1598" spans="1:7">
      <c r="A1598" s="33">
        <v>43513</v>
      </c>
      <c r="B1598" s="34">
        <v>3633359</v>
      </c>
      <c r="C1598" s="34">
        <v>3680537</v>
      </c>
      <c r="D1598" s="34">
        <v>3619182</v>
      </c>
      <c r="E1598" s="92" t="s">
        <v>2309</v>
      </c>
      <c r="F1598" s="89" t="s">
        <v>8321</v>
      </c>
      <c r="G1598" s="29" t="s">
        <v>8134</v>
      </c>
    </row>
    <row r="1599" spans="1:7">
      <c r="A1599" s="33">
        <v>43514</v>
      </c>
      <c r="B1599" s="29" t="s">
        <v>8322</v>
      </c>
      <c r="C1599" s="34">
        <v>3936665</v>
      </c>
      <c r="D1599" s="34">
        <v>3669982</v>
      </c>
      <c r="E1599" s="92" t="s">
        <v>2582</v>
      </c>
      <c r="F1599" s="89" t="s">
        <v>8323</v>
      </c>
      <c r="G1599" s="29" t="s">
        <v>8324</v>
      </c>
    </row>
    <row r="1600" spans="1:7">
      <c r="A1600" s="33">
        <v>43515</v>
      </c>
      <c r="B1600" s="34">
        <v>3911662</v>
      </c>
      <c r="C1600" s="34">
        <v>4010879</v>
      </c>
      <c r="D1600" s="34">
        <v>3908153</v>
      </c>
      <c r="E1600" s="92" t="s">
        <v>2578</v>
      </c>
      <c r="F1600" s="89" t="s">
        <v>8325</v>
      </c>
      <c r="G1600" s="29" t="s">
        <v>6943</v>
      </c>
    </row>
    <row r="1601" spans="1:7">
      <c r="A1601" s="33">
        <v>43516</v>
      </c>
      <c r="B1601" s="34">
        <v>3946685</v>
      </c>
      <c r="C1601" s="34">
        <v>4000486</v>
      </c>
      <c r="D1601" s="34">
        <v>3926247</v>
      </c>
      <c r="E1601" s="92" t="s">
        <v>233</v>
      </c>
      <c r="F1601" s="89" t="s">
        <v>8326</v>
      </c>
      <c r="G1601" s="29" t="s">
        <v>8327</v>
      </c>
    </row>
    <row r="1602" spans="1:7">
      <c r="A1602" s="33">
        <v>43517</v>
      </c>
      <c r="B1602" s="34">
        <v>4000257</v>
      </c>
      <c r="C1602" s="29" t="s">
        <v>8328</v>
      </c>
      <c r="D1602" s="34">
        <v>3940108</v>
      </c>
      <c r="E1602" s="92" t="s">
        <v>2647</v>
      </c>
      <c r="F1602" s="89" t="s">
        <v>5652</v>
      </c>
      <c r="G1602" s="29" t="s">
        <v>6908</v>
      </c>
    </row>
    <row r="1603" spans="1:7">
      <c r="A1603" s="33">
        <v>43518</v>
      </c>
      <c r="B1603" s="34">
        <v>3952406</v>
      </c>
      <c r="C1603" s="34">
        <v>4006538</v>
      </c>
      <c r="D1603" s="34">
        <v>3950816</v>
      </c>
      <c r="E1603" s="92" t="s">
        <v>2631</v>
      </c>
      <c r="F1603" s="89" t="s">
        <v>8329</v>
      </c>
      <c r="G1603" s="29" t="s">
        <v>8330</v>
      </c>
    </row>
    <row r="1604" spans="1:7">
      <c r="A1604" s="33">
        <v>43519</v>
      </c>
      <c r="B1604" s="34">
        <v>3998916</v>
      </c>
      <c r="C1604" s="34">
        <v>4166286</v>
      </c>
      <c r="D1604" s="34">
        <v>3968727</v>
      </c>
      <c r="E1604" s="92" t="s">
        <v>2717</v>
      </c>
      <c r="F1604" s="89" t="s">
        <v>8331</v>
      </c>
      <c r="G1604" s="29" t="s">
        <v>8332</v>
      </c>
    </row>
    <row r="1605" spans="1:7">
      <c r="A1605" s="33">
        <v>43520</v>
      </c>
      <c r="B1605" s="34">
        <v>4145458</v>
      </c>
      <c r="C1605" s="34">
        <v>4210642</v>
      </c>
      <c r="D1605" s="34">
        <v>3793709</v>
      </c>
      <c r="E1605" s="92" t="s">
        <v>2697</v>
      </c>
      <c r="F1605" s="89" t="s">
        <v>8333</v>
      </c>
      <c r="G1605" s="29" t="s">
        <v>8334</v>
      </c>
    </row>
    <row r="1606" spans="1:7">
      <c r="A1606" s="33">
        <v>43521</v>
      </c>
      <c r="B1606" s="34">
        <v>3807002</v>
      </c>
      <c r="C1606" s="34">
        <v>3913707</v>
      </c>
      <c r="D1606" s="34">
        <v>3807002</v>
      </c>
      <c r="E1606" s="92" t="s">
        <v>2658</v>
      </c>
      <c r="F1606" s="89" t="s">
        <v>8335</v>
      </c>
      <c r="G1606" s="29" t="s">
        <v>8336</v>
      </c>
    </row>
    <row r="1607" spans="1:7">
      <c r="A1607" s="33">
        <v>43522</v>
      </c>
      <c r="B1607" s="34">
        <v>3878697</v>
      </c>
      <c r="C1607" s="34">
        <v>3891579</v>
      </c>
      <c r="D1607" s="34">
        <v>3837986</v>
      </c>
      <c r="E1607" s="92" t="s">
        <v>2592</v>
      </c>
      <c r="F1607" s="89" t="s">
        <v>8337</v>
      </c>
      <c r="G1607" s="29" t="s">
        <v>8338</v>
      </c>
    </row>
    <row r="1608" spans="1:7">
      <c r="A1608" s="33">
        <v>43523</v>
      </c>
      <c r="B1608" s="29" t="s">
        <v>8339</v>
      </c>
      <c r="C1608" s="34">
        <v>3888802</v>
      </c>
      <c r="D1608" s="34">
        <v>3787059</v>
      </c>
      <c r="E1608" s="92" t="s">
        <v>8340</v>
      </c>
      <c r="F1608" s="89" t="s">
        <v>5832</v>
      </c>
      <c r="G1608" s="29" t="s">
        <v>4778</v>
      </c>
    </row>
    <row r="1609" spans="1:7">
      <c r="A1609" s="33">
        <v>43524</v>
      </c>
      <c r="B1609" s="34">
        <v>3848262</v>
      </c>
      <c r="C1609" s="34">
        <v>3906058</v>
      </c>
      <c r="D1609" s="34">
        <v>3845821</v>
      </c>
      <c r="E1609" s="92" t="s">
        <v>2666</v>
      </c>
      <c r="F1609" s="89" t="s">
        <v>8341</v>
      </c>
      <c r="G1609" s="29" t="s">
        <v>8342</v>
      </c>
    </row>
    <row r="1610" spans="1:7">
      <c r="A1610" s="33">
        <v>43525</v>
      </c>
      <c r="B1610" s="34">
        <v>3853757</v>
      </c>
      <c r="C1610" s="34">
        <v>3907795</v>
      </c>
      <c r="D1610" s="34">
        <v>3851692</v>
      </c>
      <c r="E1610" s="92" t="s">
        <v>245</v>
      </c>
      <c r="F1610" s="89" t="s">
        <v>8343</v>
      </c>
      <c r="G1610" s="29" t="s">
        <v>8344</v>
      </c>
    </row>
    <row r="1611" spans="1:7">
      <c r="A1611" s="33">
        <v>43526</v>
      </c>
      <c r="B1611" s="34">
        <v>3855318</v>
      </c>
      <c r="C1611" s="34">
        <v>3874607</v>
      </c>
      <c r="D1611" s="34">
        <v>3832128</v>
      </c>
      <c r="E1611" s="92" t="s">
        <v>2635</v>
      </c>
      <c r="F1611" s="89" t="s">
        <v>8345</v>
      </c>
      <c r="G1611" s="29" t="s">
        <v>6857</v>
      </c>
    </row>
    <row r="1612" spans="1:7">
      <c r="A1612" s="33">
        <v>43527</v>
      </c>
      <c r="B1612" s="34">
        <v>3862266</v>
      </c>
      <c r="C1612" s="34">
        <v>3875484</v>
      </c>
      <c r="D1612" s="34">
        <v>3836906</v>
      </c>
      <c r="E1612" s="92" t="s">
        <v>2627</v>
      </c>
      <c r="F1612" s="89" t="s">
        <v>8346</v>
      </c>
      <c r="G1612" s="29" t="s">
        <v>8347</v>
      </c>
    </row>
    <row r="1613" spans="1:7">
      <c r="A1613" s="33">
        <v>43528</v>
      </c>
      <c r="B1613" s="34">
        <v>3845092</v>
      </c>
      <c r="C1613" s="34">
        <v>3867382</v>
      </c>
      <c r="D1613" s="29" t="s">
        <v>8348</v>
      </c>
      <c r="E1613" s="92" t="s">
        <v>2588</v>
      </c>
      <c r="F1613" s="89" t="s">
        <v>8349</v>
      </c>
      <c r="G1613" s="29" t="s">
        <v>8350</v>
      </c>
    </row>
    <row r="1614" spans="1:7">
      <c r="A1614" s="33">
        <v>43529</v>
      </c>
      <c r="B1614" s="34">
        <v>3759833</v>
      </c>
      <c r="C1614" s="34">
        <v>3903917</v>
      </c>
      <c r="D1614" s="34">
        <v>3745183</v>
      </c>
      <c r="E1614" s="92" t="s">
        <v>292</v>
      </c>
      <c r="F1614" s="89" t="s">
        <v>8351</v>
      </c>
      <c r="G1614" s="29" t="s">
        <v>7230</v>
      </c>
    </row>
    <row r="1615" spans="1:7">
      <c r="A1615" s="33">
        <v>43530</v>
      </c>
      <c r="B1615" s="34">
        <v>3897081</v>
      </c>
      <c r="C1615" s="29" t="s">
        <v>8352</v>
      </c>
      <c r="D1615" s="34">
        <v>3871461</v>
      </c>
      <c r="E1615" s="92" t="s">
        <v>2662</v>
      </c>
      <c r="F1615" s="89" t="s">
        <v>8353</v>
      </c>
      <c r="G1615" s="29" t="s">
        <v>8354</v>
      </c>
    </row>
    <row r="1616" spans="1:7">
      <c r="A1616" s="33">
        <v>43531</v>
      </c>
      <c r="B1616" s="34">
        <v>3903385</v>
      </c>
      <c r="C1616" s="34">
        <v>3939373</v>
      </c>
      <c r="D1616" s="34">
        <v>3894113</v>
      </c>
      <c r="E1616" s="92" t="s">
        <v>2604</v>
      </c>
      <c r="F1616" s="89" t="s">
        <v>8355</v>
      </c>
      <c r="G1616" s="29" t="s">
        <v>8356</v>
      </c>
    </row>
    <row r="1617" spans="1:7">
      <c r="A1617" s="33">
        <v>43532</v>
      </c>
      <c r="B1617" s="34">
        <v>3913226</v>
      </c>
      <c r="C1617" s="34">
        <v>3950432</v>
      </c>
      <c r="D1617" s="34">
        <v>3875229</v>
      </c>
      <c r="E1617" s="92" t="s">
        <v>2682</v>
      </c>
      <c r="F1617" s="89" t="s">
        <v>8357</v>
      </c>
      <c r="G1617" s="29" t="s">
        <v>8358</v>
      </c>
    </row>
    <row r="1618" spans="1:7">
      <c r="A1618" s="33">
        <v>43533</v>
      </c>
      <c r="B1618" s="34">
        <v>3894552</v>
      </c>
      <c r="C1618" s="34">
        <v>3987238</v>
      </c>
      <c r="D1618" s="29" t="s">
        <v>8359</v>
      </c>
      <c r="E1618" s="92" t="s">
        <v>2721</v>
      </c>
      <c r="F1618" s="89" t="s">
        <v>8360</v>
      </c>
      <c r="G1618" s="29" t="s">
        <v>8334</v>
      </c>
    </row>
    <row r="1619" spans="1:7">
      <c r="A1619" s="33">
        <v>43534</v>
      </c>
      <c r="B1619" s="34">
        <v>3966174</v>
      </c>
      <c r="C1619" s="34">
        <v>3966174</v>
      </c>
      <c r="D1619" s="34">
        <v>3924381</v>
      </c>
      <c r="E1619" s="92" t="s">
        <v>257</v>
      </c>
      <c r="F1619" s="89" t="s">
        <v>8361</v>
      </c>
      <c r="G1619" s="29" t="s">
        <v>8362</v>
      </c>
    </row>
    <row r="1620" spans="1:7">
      <c r="A1620" s="33">
        <v>43535</v>
      </c>
      <c r="B1620" s="29" t="s">
        <v>8363</v>
      </c>
      <c r="C1620" s="34">
        <v>3966385</v>
      </c>
      <c r="D1620" s="34">
        <v>3889239</v>
      </c>
      <c r="E1620" s="92" t="s">
        <v>2701</v>
      </c>
      <c r="F1620" s="89" t="s">
        <v>8364</v>
      </c>
      <c r="G1620" s="29" t="s">
        <v>8365</v>
      </c>
    </row>
    <row r="1621" spans="1:7">
      <c r="A1621" s="33">
        <v>43536</v>
      </c>
      <c r="B1621" s="34">
        <v>3903758</v>
      </c>
      <c r="C1621" s="34">
        <v>3926889</v>
      </c>
      <c r="D1621" s="34">
        <v>3863559</v>
      </c>
      <c r="E1621" s="92" t="s">
        <v>2347</v>
      </c>
      <c r="F1621" s="89" t="s">
        <v>8366</v>
      </c>
      <c r="G1621" s="29" t="s">
        <v>8367</v>
      </c>
    </row>
    <row r="1622" spans="1:7">
      <c r="A1622" s="33">
        <v>43537</v>
      </c>
      <c r="B1622" s="34">
        <v>3913047</v>
      </c>
      <c r="C1622" s="34">
        <v>3926598</v>
      </c>
      <c r="D1622" s="34">
        <v>3891904</v>
      </c>
      <c r="E1622" s="92" t="s">
        <v>2639</v>
      </c>
      <c r="F1622" s="89" t="s">
        <v>97</v>
      </c>
      <c r="G1622" s="29" t="s">
        <v>8368</v>
      </c>
    </row>
    <row r="1623" spans="1:7">
      <c r="A1623" s="33">
        <v>43538</v>
      </c>
      <c r="B1623" s="34">
        <v>3905577</v>
      </c>
      <c r="C1623" s="34">
        <v>3946504</v>
      </c>
      <c r="D1623" s="34">
        <v>3901297</v>
      </c>
      <c r="E1623" s="92" t="s">
        <v>2608</v>
      </c>
      <c r="F1623" s="89" t="s">
        <v>8369</v>
      </c>
      <c r="G1623" s="29" t="s">
        <v>6837</v>
      </c>
    </row>
    <row r="1624" spans="1:7">
      <c r="A1624" s="33">
        <v>43539</v>
      </c>
      <c r="B1624" s="34">
        <v>3926663</v>
      </c>
      <c r="C1624" s="34">
        <v>3968543</v>
      </c>
      <c r="D1624" s="34">
        <v>3914015</v>
      </c>
      <c r="E1624" s="92" t="s">
        <v>2321</v>
      </c>
      <c r="F1624" s="89" t="s">
        <v>93</v>
      </c>
      <c r="G1624" s="29" t="s">
        <v>8370</v>
      </c>
    </row>
    <row r="1625" spans="1:7">
      <c r="A1625" s="33">
        <v>43540</v>
      </c>
      <c r="B1625" s="29" t="s">
        <v>8371</v>
      </c>
      <c r="C1625" s="34">
        <v>4077036</v>
      </c>
      <c r="D1625" s="34">
        <v>3961657</v>
      </c>
      <c r="E1625" s="92" t="s">
        <v>2554</v>
      </c>
      <c r="F1625" s="89" t="s">
        <v>8372</v>
      </c>
      <c r="G1625" s="29" t="s">
        <v>8373</v>
      </c>
    </row>
    <row r="1626" spans="1:7">
      <c r="A1626" s="33">
        <v>43541</v>
      </c>
      <c r="B1626" s="34">
        <v>4047719</v>
      </c>
      <c r="C1626" s="34">
        <v>4054122</v>
      </c>
      <c r="D1626" s="34">
        <v>4006411</v>
      </c>
      <c r="E1626" s="92" t="s">
        <v>8374</v>
      </c>
      <c r="F1626" s="89" t="s">
        <v>101</v>
      </c>
      <c r="G1626" s="29" t="s">
        <v>7234</v>
      </c>
    </row>
    <row r="1627" spans="1:7">
      <c r="A1627" s="33">
        <v>43542</v>
      </c>
      <c r="B1627" s="34">
        <v>4029969</v>
      </c>
      <c r="C1627" s="34">
        <v>4071557</v>
      </c>
      <c r="D1627" s="34">
        <v>4009117</v>
      </c>
      <c r="E1627" s="92" t="s">
        <v>2313</v>
      </c>
      <c r="F1627" s="89" t="s">
        <v>8375</v>
      </c>
      <c r="G1627" s="29" t="s">
        <v>8376</v>
      </c>
    </row>
    <row r="1628" spans="1:7">
      <c r="A1628" s="33">
        <v>43543</v>
      </c>
      <c r="B1628" s="34">
        <v>4032692</v>
      </c>
      <c r="C1628" s="34">
        <v>4082216</v>
      </c>
      <c r="D1628" s="34">
        <v>4023813</v>
      </c>
      <c r="E1628" s="92" t="s">
        <v>2693</v>
      </c>
      <c r="F1628" s="89" t="s">
        <v>98</v>
      </c>
      <c r="G1628" s="29" t="s">
        <v>8377</v>
      </c>
    </row>
    <row r="1629" spans="1:7">
      <c r="A1629" s="33">
        <v>43544</v>
      </c>
      <c r="B1629" s="34">
        <v>4070794</v>
      </c>
      <c r="C1629" s="34">
        <v>4089462</v>
      </c>
      <c r="D1629" s="34">
        <v>4031111</v>
      </c>
      <c r="E1629" s="92" t="s">
        <v>288</v>
      </c>
      <c r="F1629" s="89" t="s">
        <v>8378</v>
      </c>
      <c r="G1629" s="29" t="s">
        <v>7230</v>
      </c>
    </row>
    <row r="1630" spans="1:7">
      <c r="A1630" s="33">
        <v>43545</v>
      </c>
      <c r="B1630" s="34">
        <v>4083954</v>
      </c>
      <c r="C1630" s="29" t="s">
        <v>8379</v>
      </c>
      <c r="D1630" s="34">
        <v>4005151</v>
      </c>
      <c r="E1630" s="92" t="s">
        <v>2317</v>
      </c>
      <c r="F1630" s="89" t="s">
        <v>8380</v>
      </c>
      <c r="G1630" s="29" t="s">
        <v>8334</v>
      </c>
    </row>
    <row r="1631" spans="1:7">
      <c r="A1631" s="33">
        <v>43546</v>
      </c>
      <c r="B1631" s="34">
        <v>4028515</v>
      </c>
      <c r="C1631" s="34">
        <v>4053907</v>
      </c>
      <c r="D1631" s="34">
        <v>4021542</v>
      </c>
      <c r="E1631" s="92" t="s">
        <v>2620</v>
      </c>
      <c r="F1631" s="89" t="s">
        <v>8381</v>
      </c>
      <c r="G1631" s="29" t="s">
        <v>8382</v>
      </c>
    </row>
    <row r="1632" spans="1:7">
      <c r="A1632" s="33">
        <v>43547</v>
      </c>
      <c r="B1632" s="34">
        <v>4022713</v>
      </c>
      <c r="C1632" s="34">
        <v>4049883</v>
      </c>
      <c r="D1632" s="34">
        <v>4015965</v>
      </c>
      <c r="E1632" s="92" t="s">
        <v>8383</v>
      </c>
      <c r="F1632" s="89" t="s">
        <v>109</v>
      </c>
      <c r="G1632" s="29" t="s">
        <v>8356</v>
      </c>
    </row>
    <row r="1633" spans="1:7">
      <c r="A1633" s="33">
        <v>43548</v>
      </c>
      <c r="B1633" s="34">
        <v>4035164</v>
      </c>
      <c r="C1633" s="29" t="s">
        <v>8384</v>
      </c>
      <c r="D1633" s="34">
        <v>4006193</v>
      </c>
      <c r="E1633" s="92" t="s">
        <v>241</v>
      </c>
      <c r="F1633" s="89" t="s">
        <v>113</v>
      </c>
      <c r="G1633" s="29" t="s">
        <v>8385</v>
      </c>
    </row>
    <row r="1634" spans="1:7">
      <c r="A1634" s="33">
        <v>43549</v>
      </c>
      <c r="B1634" s="34">
        <v>4024113</v>
      </c>
      <c r="C1634" s="34">
        <v>4038841</v>
      </c>
      <c r="D1634" s="34">
        <v>3934031</v>
      </c>
      <c r="E1634" s="92" t="s">
        <v>261</v>
      </c>
      <c r="F1634" s="89" t="s">
        <v>8386</v>
      </c>
      <c r="G1634" s="29" t="s">
        <v>8387</v>
      </c>
    </row>
    <row r="1635" spans="1:7">
      <c r="A1635" s="33">
        <v>43550</v>
      </c>
      <c r="B1635" s="34">
        <v>3969229</v>
      </c>
      <c r="C1635" s="34">
        <v>3985081</v>
      </c>
      <c r="D1635" s="34">
        <v>3944753</v>
      </c>
      <c r="E1635" s="92" t="s">
        <v>2686</v>
      </c>
      <c r="F1635" s="89" t="s">
        <v>117</v>
      </c>
      <c r="G1635" s="29" t="s">
        <v>4980</v>
      </c>
    </row>
    <row r="1636" spans="1:7">
      <c r="A1636" s="33">
        <v>43551</v>
      </c>
      <c r="B1636" s="34">
        <v>3984245</v>
      </c>
      <c r="C1636" s="34">
        <v>4087066</v>
      </c>
      <c r="D1636" s="34">
        <v>3977811</v>
      </c>
      <c r="E1636" s="92" t="s">
        <v>2713</v>
      </c>
      <c r="F1636" s="89" t="s">
        <v>128</v>
      </c>
      <c r="G1636" s="29" t="s">
        <v>8388</v>
      </c>
    </row>
    <row r="1637" spans="1:7">
      <c r="A1637" s="33">
        <v>43552</v>
      </c>
      <c r="B1637" s="34">
        <v>4087584</v>
      </c>
      <c r="C1637" s="34">
        <v>4094902</v>
      </c>
      <c r="D1637" s="34">
        <v>4040266</v>
      </c>
      <c r="E1637" s="92" t="s">
        <v>2678</v>
      </c>
      <c r="F1637" s="89" t="s">
        <v>105</v>
      </c>
      <c r="G1637" s="29" t="s">
        <v>6902</v>
      </c>
    </row>
    <row r="1638" spans="1:7">
      <c r="A1638" s="33">
        <v>43553</v>
      </c>
      <c r="B1638" s="29" t="s">
        <v>8389</v>
      </c>
      <c r="C1638" s="34">
        <v>4113501</v>
      </c>
      <c r="D1638" s="34">
        <v>4034097</v>
      </c>
      <c r="E1638" s="92" t="s">
        <v>253</v>
      </c>
      <c r="F1638" s="89" t="s">
        <v>8390</v>
      </c>
      <c r="G1638" s="29" t="s">
        <v>8388</v>
      </c>
    </row>
    <row r="1639" spans="1:7">
      <c r="A1639" s="33">
        <v>43554</v>
      </c>
      <c r="B1639" s="34">
        <v>4092136</v>
      </c>
      <c r="C1639" s="34">
        <v>4296807</v>
      </c>
      <c r="D1639" s="29" t="s">
        <v>8391</v>
      </c>
      <c r="E1639" s="92" t="s">
        <v>284</v>
      </c>
      <c r="F1639" s="89" t="s">
        <v>124</v>
      </c>
      <c r="G1639" s="29" t="s">
        <v>8392</v>
      </c>
    </row>
    <row r="1640" spans="1:7">
      <c r="A1640" s="33">
        <v>43555</v>
      </c>
      <c r="B1640" s="34">
        <v>4105456</v>
      </c>
      <c r="C1640" s="34">
        <v>4113023</v>
      </c>
      <c r="D1640" s="34">
        <v>4094101</v>
      </c>
      <c r="E1640" s="92" t="s">
        <v>2670</v>
      </c>
      <c r="F1640" s="89" t="s">
        <v>8393</v>
      </c>
      <c r="G1640" s="29" t="s">
        <v>8394</v>
      </c>
    </row>
    <row r="1641" spans="1:7">
      <c r="A1641" s="33">
        <v>43556</v>
      </c>
      <c r="B1641" s="34">
        <v>4105362</v>
      </c>
      <c r="C1641" s="34">
        <v>4164953</v>
      </c>
      <c r="D1641" s="34">
        <v>4096901</v>
      </c>
      <c r="E1641" s="92" t="s">
        <v>8395</v>
      </c>
      <c r="F1641" s="89" t="s">
        <v>8396</v>
      </c>
      <c r="G1641" s="29" t="s">
        <v>7230</v>
      </c>
    </row>
    <row r="1642" spans="1:7">
      <c r="A1642" s="33">
        <v>43557</v>
      </c>
      <c r="B1642" s="34">
        <v>4156919</v>
      </c>
      <c r="C1642" s="29" t="s">
        <v>4778</v>
      </c>
      <c r="D1642" s="34">
        <v>4155317</v>
      </c>
      <c r="E1642" s="92" t="s">
        <v>2705</v>
      </c>
      <c r="F1642" s="89" t="s">
        <v>132</v>
      </c>
      <c r="G1642" s="29" t="s">
        <v>8397</v>
      </c>
    </row>
    <row r="1643" spans="1:7">
      <c r="A1643" s="33">
        <v>43558</v>
      </c>
      <c r="B1643" s="34">
        <v>4879958</v>
      </c>
      <c r="C1643" s="34">
        <v>5307003</v>
      </c>
      <c r="D1643" s="34">
        <v>4876621</v>
      </c>
      <c r="E1643" s="92" t="s">
        <v>8398</v>
      </c>
      <c r="F1643" s="89" t="s">
        <v>8399</v>
      </c>
      <c r="G1643" s="29" t="s">
        <v>8400</v>
      </c>
    </row>
    <row r="1644" spans="1:7">
      <c r="A1644" s="33">
        <v>43559</v>
      </c>
      <c r="B1644" s="34">
        <v>4971308</v>
      </c>
      <c r="C1644" s="29" t="s">
        <v>8401</v>
      </c>
      <c r="D1644" s="34">
        <v>4836794</v>
      </c>
      <c r="E1644" s="92" t="s">
        <v>2624</v>
      </c>
      <c r="F1644" s="89" t="s">
        <v>8402</v>
      </c>
      <c r="G1644" s="29" t="s">
        <v>6779</v>
      </c>
    </row>
    <row r="1645" spans="1:7">
      <c r="A1645" s="33">
        <v>43560</v>
      </c>
      <c r="B1645" s="34">
        <v>4922806</v>
      </c>
      <c r="C1645" s="29" t="s">
        <v>8403</v>
      </c>
      <c r="D1645" s="34">
        <v>4919492</v>
      </c>
      <c r="E1645" s="92" t="s">
        <v>210</v>
      </c>
      <c r="F1645" s="89" t="s">
        <v>136</v>
      </c>
      <c r="G1645" s="29" t="s">
        <v>6763</v>
      </c>
    </row>
    <row r="1646" spans="1:7">
      <c r="A1646" s="33">
        <v>43561</v>
      </c>
      <c r="B1646" s="34">
        <v>5036793</v>
      </c>
      <c r="C1646" s="34">
        <v>5205822</v>
      </c>
      <c r="D1646" s="34">
        <v>4992222</v>
      </c>
      <c r="E1646" s="92" t="s">
        <v>2690</v>
      </c>
      <c r="F1646" s="89" t="s">
        <v>8404</v>
      </c>
      <c r="G1646" s="29" t="s">
        <v>4778</v>
      </c>
    </row>
    <row r="1647" spans="1:7">
      <c r="A1647" s="33">
        <v>43562</v>
      </c>
      <c r="B1647" s="34">
        <v>5062794</v>
      </c>
      <c r="C1647" s="34">
        <v>5235187</v>
      </c>
      <c r="D1647" s="34">
        <v>5050412</v>
      </c>
      <c r="E1647" s="92" t="s">
        <v>2709</v>
      </c>
      <c r="F1647" s="89" t="s">
        <v>8405</v>
      </c>
      <c r="G1647" s="29" t="s">
        <v>6790</v>
      </c>
    </row>
    <row r="1648" spans="1:7">
      <c r="A1648" s="33">
        <v>43563</v>
      </c>
      <c r="B1648" s="34">
        <v>5199835</v>
      </c>
      <c r="C1648" s="34">
        <v>5318836</v>
      </c>
      <c r="D1648" s="34">
        <v>5148212</v>
      </c>
      <c r="E1648" s="92" t="s">
        <v>2674</v>
      </c>
      <c r="F1648" s="89" t="s">
        <v>8406</v>
      </c>
      <c r="G1648" s="29" t="s">
        <v>8407</v>
      </c>
    </row>
    <row r="1649" spans="1:7">
      <c r="A1649" s="33">
        <v>43564</v>
      </c>
      <c r="B1649" s="34">
        <v>5289918</v>
      </c>
      <c r="C1649" s="34">
        <v>5289918</v>
      </c>
      <c r="D1649" s="34">
        <v>5167419</v>
      </c>
      <c r="E1649" s="92" t="s">
        <v>2643</v>
      </c>
      <c r="F1649" s="89" t="s">
        <v>8408</v>
      </c>
      <c r="G1649" s="29" t="s">
        <v>4778</v>
      </c>
    </row>
    <row r="1650" spans="1:7">
      <c r="A1650" s="33">
        <v>43565</v>
      </c>
      <c r="B1650" s="34">
        <v>5204105</v>
      </c>
      <c r="C1650" s="34">
        <v>5421651</v>
      </c>
      <c r="D1650" s="34">
        <v>5193382</v>
      </c>
      <c r="E1650" s="92" t="s">
        <v>8409</v>
      </c>
      <c r="F1650" s="89" t="s">
        <v>8410</v>
      </c>
      <c r="G1650" s="29" t="s">
        <v>8411</v>
      </c>
    </row>
    <row r="1651" spans="1:7">
      <c r="A1651" s="33">
        <v>43566</v>
      </c>
      <c r="B1651" s="34">
        <v>5325082</v>
      </c>
      <c r="C1651" s="34">
        <v>5354226</v>
      </c>
      <c r="D1651" s="34">
        <v>5017296</v>
      </c>
      <c r="E1651" s="92" t="s">
        <v>2612</v>
      </c>
      <c r="F1651" s="89" t="s">
        <v>8412</v>
      </c>
      <c r="G1651" s="29" t="s">
        <v>8413</v>
      </c>
    </row>
    <row r="1652" spans="1:7">
      <c r="A1652" s="33">
        <v>43567</v>
      </c>
      <c r="B1652" s="34">
        <v>5061201</v>
      </c>
      <c r="C1652" s="34">
        <v>5103274</v>
      </c>
      <c r="D1652" s="34">
        <v>4955853</v>
      </c>
      <c r="E1652" s="92" t="s">
        <v>2596</v>
      </c>
      <c r="F1652" s="89" t="s">
        <v>8414</v>
      </c>
      <c r="G1652" s="29" t="s">
        <v>8415</v>
      </c>
    </row>
    <row r="1653" spans="1:7">
      <c r="A1653" s="33">
        <v>43568</v>
      </c>
      <c r="B1653" s="29" t="s">
        <v>8416</v>
      </c>
      <c r="C1653" s="34">
        <v>5127122</v>
      </c>
      <c r="D1653" s="34">
        <v>5061589</v>
      </c>
      <c r="E1653" s="92" t="s">
        <v>8417</v>
      </c>
      <c r="F1653" s="89" t="s">
        <v>8418</v>
      </c>
      <c r="G1653" s="29" t="s">
        <v>8334</v>
      </c>
    </row>
    <row r="1654" spans="1:7">
      <c r="A1654" s="33">
        <v>43569</v>
      </c>
      <c r="B1654" s="34">
        <v>5095759</v>
      </c>
      <c r="C1654" s="34">
        <v>5184016</v>
      </c>
      <c r="D1654" s="34">
        <v>5053568</v>
      </c>
      <c r="E1654" s="92" t="s">
        <v>3014</v>
      </c>
      <c r="F1654" s="89" t="s">
        <v>8419</v>
      </c>
      <c r="G1654" s="29" t="s">
        <v>8387</v>
      </c>
    </row>
    <row r="1655" spans="1:7">
      <c r="A1655" s="33">
        <v>43570</v>
      </c>
      <c r="B1655" s="34">
        <v>5167322</v>
      </c>
      <c r="C1655" s="34">
        <v>5196607</v>
      </c>
      <c r="D1655" s="34">
        <v>5024069</v>
      </c>
      <c r="E1655" s="92" t="s">
        <v>2550</v>
      </c>
      <c r="F1655" s="89" t="s">
        <v>147</v>
      </c>
      <c r="G1655" s="29" t="s">
        <v>6750</v>
      </c>
    </row>
    <row r="1656" spans="1:7">
      <c r="A1656" s="33">
        <v>43571</v>
      </c>
      <c r="B1656" s="34">
        <v>5066578</v>
      </c>
      <c r="C1656" s="34">
        <v>5238945</v>
      </c>
      <c r="D1656" s="34">
        <v>5055195</v>
      </c>
      <c r="E1656" s="92" t="s">
        <v>280</v>
      </c>
      <c r="F1656" s="89" t="s">
        <v>8420</v>
      </c>
      <c r="G1656" s="29" t="s">
        <v>6650</v>
      </c>
    </row>
    <row r="1657" spans="1:7">
      <c r="A1657" s="33">
        <v>43572</v>
      </c>
      <c r="B1657" s="34">
        <v>5236135</v>
      </c>
      <c r="C1657" s="34">
        <v>5274275</v>
      </c>
      <c r="D1657" s="34">
        <v>5219206</v>
      </c>
      <c r="E1657" s="92" t="s">
        <v>2616</v>
      </c>
      <c r="F1657" s="89" t="s">
        <v>6792</v>
      </c>
      <c r="G1657" s="29" t="s">
        <v>8421</v>
      </c>
    </row>
    <row r="1658" spans="1:7">
      <c r="A1658" s="33">
        <v>43573</v>
      </c>
      <c r="B1658" s="29" t="s">
        <v>8422</v>
      </c>
      <c r="C1658" s="34">
        <v>5319986</v>
      </c>
      <c r="D1658" s="34">
        <v>5250507</v>
      </c>
      <c r="E1658" s="92" t="s">
        <v>214</v>
      </c>
      <c r="F1658" s="89" t="s">
        <v>8423</v>
      </c>
      <c r="G1658" s="29" t="s">
        <v>4951</v>
      </c>
    </row>
    <row r="1659" spans="1:7">
      <c r="A1659" s="33">
        <v>43574</v>
      </c>
      <c r="B1659" s="34">
        <v>5298154</v>
      </c>
      <c r="C1659" s="29" t="s">
        <v>8424</v>
      </c>
      <c r="D1659" s="34">
        <v>5233335</v>
      </c>
      <c r="E1659" s="92" t="s">
        <v>249</v>
      </c>
      <c r="F1659" s="89" t="s">
        <v>8425</v>
      </c>
      <c r="G1659" s="29" t="s">
        <v>6703</v>
      </c>
    </row>
    <row r="1660" spans="1:7">
      <c r="A1660" s="33">
        <v>43575</v>
      </c>
      <c r="B1660" s="34">
        <v>5304161</v>
      </c>
      <c r="C1660" s="34">
        <v>5358491</v>
      </c>
      <c r="D1660" s="34">
        <v>5295878</v>
      </c>
      <c r="E1660" s="92" t="s">
        <v>199</v>
      </c>
      <c r="F1660" s="89" t="s">
        <v>8426</v>
      </c>
      <c r="G1660" s="29" t="s">
        <v>8427</v>
      </c>
    </row>
    <row r="1661" spans="1:7">
      <c r="A1661" s="33">
        <v>43576</v>
      </c>
      <c r="B1661" s="34">
        <v>5335879</v>
      </c>
      <c r="C1661" s="34">
        <v>5359925</v>
      </c>
      <c r="D1661" s="34">
        <v>5257339</v>
      </c>
      <c r="E1661" s="92" t="s">
        <v>195</v>
      </c>
      <c r="F1661" s="89" t="s">
        <v>158</v>
      </c>
      <c r="G1661" s="29" t="s">
        <v>8415</v>
      </c>
    </row>
    <row r="1662" spans="1:7">
      <c r="A1662" s="33">
        <v>43577</v>
      </c>
      <c r="B1662" s="34">
        <v>5312495</v>
      </c>
      <c r="C1662" s="34">
        <v>5422688</v>
      </c>
      <c r="D1662" s="34">
        <v>5280277</v>
      </c>
      <c r="E1662" s="92" t="s">
        <v>269</v>
      </c>
      <c r="F1662" s="89" t="s">
        <v>154</v>
      </c>
      <c r="G1662" s="29" t="s">
        <v>6696</v>
      </c>
    </row>
    <row r="1663" spans="1:7">
      <c r="A1663" s="33">
        <v>43578</v>
      </c>
      <c r="B1663" s="34">
        <v>5399366</v>
      </c>
      <c r="C1663" s="34">
        <v>5633802</v>
      </c>
      <c r="D1663" s="34">
        <v>5389409</v>
      </c>
      <c r="E1663" s="92" t="s">
        <v>2600</v>
      </c>
      <c r="F1663" s="89" t="s">
        <v>8428</v>
      </c>
      <c r="G1663" s="29" t="s">
        <v>6783</v>
      </c>
    </row>
    <row r="1664" spans="1:7">
      <c r="A1664" s="33">
        <v>43579</v>
      </c>
      <c r="B1664" s="34">
        <v>5571508</v>
      </c>
      <c r="C1664" s="34">
        <v>5642044</v>
      </c>
      <c r="D1664" s="34">
        <v>5418263</v>
      </c>
      <c r="E1664" s="92" t="s">
        <v>2777</v>
      </c>
      <c r="F1664" s="89" t="s">
        <v>8429</v>
      </c>
      <c r="G1664" s="29" t="s">
        <v>8430</v>
      </c>
    </row>
    <row r="1665" spans="1:7">
      <c r="A1665" s="33">
        <v>43580</v>
      </c>
      <c r="B1665" s="34">
        <v>5466524</v>
      </c>
      <c r="C1665" s="34">
        <v>5542238</v>
      </c>
      <c r="D1665" s="34">
        <v>5181339</v>
      </c>
      <c r="E1665" s="92" t="s">
        <v>8431</v>
      </c>
      <c r="F1665" s="89" t="s">
        <v>150</v>
      </c>
      <c r="G1665" s="29" t="s">
        <v>8432</v>
      </c>
    </row>
    <row r="1666" spans="1:7">
      <c r="A1666" s="33">
        <v>43581</v>
      </c>
      <c r="B1666" s="34">
        <v>5210305</v>
      </c>
      <c r="C1666" s="34">
        <v>5383634</v>
      </c>
      <c r="D1666" s="34">
        <v>5177369</v>
      </c>
      <c r="E1666" s="92" t="s">
        <v>8433</v>
      </c>
      <c r="F1666" s="89" t="s">
        <v>8434</v>
      </c>
      <c r="G1666" s="29" t="s">
        <v>6763</v>
      </c>
    </row>
    <row r="1667" spans="1:7">
      <c r="A1667" s="33">
        <v>43582</v>
      </c>
      <c r="B1667" s="34">
        <v>5279471</v>
      </c>
      <c r="C1667" s="29" t="s">
        <v>8435</v>
      </c>
      <c r="D1667" s="34">
        <v>5233636</v>
      </c>
      <c r="E1667" s="92" t="s">
        <v>206</v>
      </c>
      <c r="F1667" s="89" t="s">
        <v>144</v>
      </c>
      <c r="G1667" s="29" t="s">
        <v>6733</v>
      </c>
    </row>
    <row r="1668" spans="1:7">
      <c r="A1668" s="33">
        <v>43583</v>
      </c>
      <c r="B1668" s="34">
        <v>5271747</v>
      </c>
      <c r="C1668" s="34">
        <v>5326232</v>
      </c>
      <c r="D1668" s="34">
        <v>5255684</v>
      </c>
      <c r="E1668" s="92" t="s">
        <v>265</v>
      </c>
      <c r="F1668" s="89" t="s">
        <v>140</v>
      </c>
      <c r="G1668" s="29" t="s">
        <v>6804</v>
      </c>
    </row>
    <row r="1669" spans="1:7">
      <c r="A1669" s="33">
        <v>43584</v>
      </c>
      <c r="B1669" s="34">
        <v>5284858</v>
      </c>
      <c r="C1669" s="34">
        <v>5311275</v>
      </c>
      <c r="D1669" s="34">
        <v>5216488</v>
      </c>
      <c r="E1669" s="92" t="s">
        <v>272</v>
      </c>
      <c r="F1669" s="89" t="s">
        <v>8436</v>
      </c>
      <c r="G1669" s="29" t="s">
        <v>8415</v>
      </c>
    </row>
    <row r="1670" spans="1:7">
      <c r="A1670" s="33">
        <v>43585</v>
      </c>
      <c r="B1670" s="34">
        <v>5247726</v>
      </c>
      <c r="C1670" s="34">
        <v>5363257</v>
      </c>
      <c r="D1670" s="29" t="s">
        <v>8437</v>
      </c>
      <c r="E1670" s="92" t="s">
        <v>230</v>
      </c>
      <c r="F1670" s="89" t="s">
        <v>162</v>
      </c>
      <c r="G1670" s="29" t="s">
        <v>6685</v>
      </c>
    </row>
    <row r="1671" spans="1:7">
      <c r="A1671" s="33">
        <v>43586</v>
      </c>
      <c r="B1671" s="34">
        <v>5350915</v>
      </c>
      <c r="C1671" s="34">
        <v>5418004</v>
      </c>
      <c r="D1671" s="34">
        <v>5347646</v>
      </c>
      <c r="E1671" s="92" t="s">
        <v>8438</v>
      </c>
      <c r="F1671" s="89" t="s">
        <v>5884</v>
      </c>
      <c r="G1671" s="29" t="s">
        <v>8415</v>
      </c>
    </row>
    <row r="1672" spans="1:7">
      <c r="A1672" s="33">
        <v>43587</v>
      </c>
      <c r="B1672" s="34">
        <v>5402423</v>
      </c>
      <c r="C1672" s="34">
        <v>5522263</v>
      </c>
      <c r="D1672" s="34">
        <v>5394217</v>
      </c>
      <c r="E1672" s="92" t="s">
        <v>276</v>
      </c>
      <c r="F1672" s="89" t="s">
        <v>2816</v>
      </c>
      <c r="G1672" s="29" t="s">
        <v>6696</v>
      </c>
    </row>
    <row r="1673" spans="1:7">
      <c r="A1673" s="33">
        <v>43588</v>
      </c>
      <c r="B1673" s="34">
        <v>5505552</v>
      </c>
      <c r="C1673" s="34">
        <v>5865882</v>
      </c>
      <c r="D1673" s="34">
        <v>5490202</v>
      </c>
      <c r="E1673" s="92" t="s">
        <v>8439</v>
      </c>
      <c r="F1673" s="89" t="s">
        <v>8440</v>
      </c>
      <c r="G1673" s="29" t="s">
        <v>8441</v>
      </c>
    </row>
    <row r="1674" spans="1:7">
      <c r="A1674" s="33">
        <v>43589</v>
      </c>
      <c r="B1674" s="34">
        <v>5769203</v>
      </c>
      <c r="C1674" s="34">
        <v>5886894</v>
      </c>
      <c r="D1674" s="34">
        <v>5645469</v>
      </c>
      <c r="E1674" s="92" t="s">
        <v>3009</v>
      </c>
      <c r="F1674" s="89" t="s">
        <v>8442</v>
      </c>
      <c r="G1674" s="29" t="s">
        <v>8443</v>
      </c>
    </row>
    <row r="1675" spans="1:7">
      <c r="A1675" s="33">
        <v>43590</v>
      </c>
      <c r="B1675" s="34">
        <v>5831068</v>
      </c>
      <c r="C1675" s="34">
        <v>5833863</v>
      </c>
      <c r="D1675" s="34">
        <v>5708035</v>
      </c>
      <c r="E1675" s="92" t="s">
        <v>6676</v>
      </c>
      <c r="F1675" s="89" t="s">
        <v>2781</v>
      </c>
      <c r="G1675" s="29" t="s">
        <v>4957</v>
      </c>
    </row>
    <row r="1676" spans="1:7">
      <c r="A1676" s="33">
        <v>43591</v>
      </c>
      <c r="B1676" s="34">
        <v>5791693</v>
      </c>
      <c r="C1676" s="34">
        <v>5802958</v>
      </c>
      <c r="D1676" s="34">
        <v>5653688</v>
      </c>
      <c r="E1676" s="92" t="s">
        <v>8444</v>
      </c>
      <c r="F1676" s="89" t="s">
        <v>175</v>
      </c>
      <c r="G1676" s="29" t="s">
        <v>4953</v>
      </c>
    </row>
    <row r="1677" spans="1:7">
      <c r="A1677" s="33">
        <v>43592</v>
      </c>
      <c r="B1677" s="34">
        <v>5745599</v>
      </c>
      <c r="C1677" s="34">
        <v>5988178</v>
      </c>
      <c r="D1677" s="34">
        <v>5741396</v>
      </c>
      <c r="E1677" s="92" t="s">
        <v>191</v>
      </c>
      <c r="F1677" s="89" t="s">
        <v>8445</v>
      </c>
      <c r="G1677" s="29" t="s">
        <v>6678</v>
      </c>
    </row>
    <row r="1678" spans="1:7">
      <c r="A1678" s="33">
        <v>43593</v>
      </c>
      <c r="B1678" s="34">
        <v>5849481</v>
      </c>
      <c r="C1678" s="34">
        <v>5989981</v>
      </c>
      <c r="D1678" s="34">
        <v>5794716</v>
      </c>
      <c r="E1678" s="92" t="s">
        <v>2905</v>
      </c>
      <c r="F1678" s="89" t="s">
        <v>172</v>
      </c>
      <c r="G1678" s="29" t="s">
        <v>8432</v>
      </c>
    </row>
    <row r="1679" spans="1:7">
      <c r="A1679" s="33">
        <v>43594</v>
      </c>
      <c r="B1679" s="34">
        <v>5982316</v>
      </c>
      <c r="C1679" s="34">
        <v>6183039</v>
      </c>
      <c r="D1679" s="34">
        <v>5982316</v>
      </c>
      <c r="E1679" s="92" t="s">
        <v>187</v>
      </c>
      <c r="F1679" s="89" t="s">
        <v>8446</v>
      </c>
      <c r="G1679" s="29" t="s">
        <v>6763</v>
      </c>
    </row>
    <row r="1680" spans="1:7">
      <c r="A1680" s="33">
        <v>43595</v>
      </c>
      <c r="B1680" s="34">
        <v>6175823</v>
      </c>
      <c r="C1680" s="34">
        <v>6434618</v>
      </c>
      <c r="D1680" s="34">
        <v>6161519</v>
      </c>
      <c r="E1680" s="92" t="s">
        <v>2901</v>
      </c>
      <c r="F1680" s="89" t="s">
        <v>2820</v>
      </c>
      <c r="G1680" s="29" t="s">
        <v>8447</v>
      </c>
    </row>
    <row r="1681" spans="1:7">
      <c r="A1681" s="33">
        <v>43596</v>
      </c>
      <c r="B1681" s="34">
        <v>6379667</v>
      </c>
      <c r="C1681" s="34">
        <v>7333003</v>
      </c>
      <c r="D1681" s="34">
        <v>6375699</v>
      </c>
      <c r="E1681" s="92" t="s">
        <v>8448</v>
      </c>
      <c r="F1681" s="89" t="s">
        <v>2844</v>
      </c>
      <c r="G1681" s="29" t="s">
        <v>8449</v>
      </c>
    </row>
    <row r="1682" spans="1:7">
      <c r="A1682" s="33">
        <v>43597</v>
      </c>
      <c r="B1682" s="34">
        <v>7203507</v>
      </c>
      <c r="C1682" s="34">
        <v>7503872</v>
      </c>
      <c r="D1682" s="34">
        <v>6815771</v>
      </c>
      <c r="E1682" s="92" t="s">
        <v>226</v>
      </c>
      <c r="F1682" s="89" t="s">
        <v>166</v>
      </c>
      <c r="G1682" s="29" t="s">
        <v>8450</v>
      </c>
    </row>
    <row r="1683" spans="1:7">
      <c r="A1683" s="33">
        <v>43598</v>
      </c>
      <c r="B1683" s="34">
        <v>6971178</v>
      </c>
      <c r="C1683" s="34">
        <v>8047413</v>
      </c>
      <c r="D1683" s="34">
        <v>6898282</v>
      </c>
      <c r="E1683" s="92" t="s">
        <v>8451</v>
      </c>
      <c r="F1683" s="89" t="s">
        <v>2813</v>
      </c>
      <c r="G1683" s="29" t="s">
        <v>8452</v>
      </c>
    </row>
    <row r="1684" spans="1:7">
      <c r="A1684" s="33">
        <v>43599</v>
      </c>
      <c r="B1684" s="34">
        <v>7807884</v>
      </c>
      <c r="C1684" s="34">
        <v>8268713</v>
      </c>
      <c r="D1684" s="34">
        <v>7696391</v>
      </c>
      <c r="E1684" s="92" t="s">
        <v>183</v>
      </c>
      <c r="F1684" s="89" t="s">
        <v>170</v>
      </c>
      <c r="G1684" s="29" t="s">
        <v>8453</v>
      </c>
    </row>
    <row r="1685" spans="1:7">
      <c r="A1685" s="33">
        <v>43600</v>
      </c>
      <c r="B1685" s="34">
        <v>7989375</v>
      </c>
      <c r="C1685" s="34">
        <v>8216424</v>
      </c>
      <c r="D1685" s="34">
        <v>7899107</v>
      </c>
      <c r="E1685" s="92" t="s">
        <v>2785</v>
      </c>
      <c r="F1685" s="89" t="s">
        <v>2793</v>
      </c>
      <c r="G1685" s="29" t="s">
        <v>8454</v>
      </c>
    </row>
    <row r="1686" spans="1:7">
      <c r="A1686" s="33">
        <v>43601</v>
      </c>
      <c r="B1686" s="34">
        <v>8194501</v>
      </c>
      <c r="C1686" s="34">
        <v>8320824</v>
      </c>
      <c r="D1686" s="34">
        <v>7729608</v>
      </c>
      <c r="E1686" s="92" t="s">
        <v>8455</v>
      </c>
      <c r="F1686" s="89" t="s">
        <v>2925</v>
      </c>
      <c r="G1686" s="29" t="s">
        <v>4778</v>
      </c>
    </row>
    <row r="1687" spans="1:7">
      <c r="A1687" s="33">
        <v>43602</v>
      </c>
      <c r="B1687" s="34">
        <v>7886926</v>
      </c>
      <c r="C1687" s="34">
        <v>7929146</v>
      </c>
      <c r="D1687" s="34">
        <v>7038125</v>
      </c>
      <c r="E1687" s="92" t="s">
        <v>8456</v>
      </c>
      <c r="F1687" s="89" t="s">
        <v>2840</v>
      </c>
      <c r="G1687" s="29" t="s">
        <v>8457</v>
      </c>
    </row>
    <row r="1688" spans="1:7">
      <c r="A1688" s="33">
        <v>43603</v>
      </c>
      <c r="B1688" s="34">
        <v>7341665</v>
      </c>
      <c r="C1688" s="34">
        <v>7447272</v>
      </c>
      <c r="D1688" s="34">
        <v>7251504</v>
      </c>
      <c r="E1688" s="92" t="s">
        <v>8458</v>
      </c>
      <c r="F1688" s="89" t="s">
        <v>2848</v>
      </c>
      <c r="G1688" s="29" t="s">
        <v>4778</v>
      </c>
    </row>
    <row r="1689" spans="1:7">
      <c r="A1689" s="33">
        <v>43604</v>
      </c>
      <c r="B1689" s="34">
        <v>7267963</v>
      </c>
      <c r="C1689" s="34">
        <v>8261941</v>
      </c>
      <c r="D1689" s="34">
        <v>7267963</v>
      </c>
      <c r="E1689" s="92" t="s">
        <v>8459</v>
      </c>
      <c r="F1689" s="89" t="s">
        <v>2836</v>
      </c>
      <c r="G1689" s="29" t="s">
        <v>8460</v>
      </c>
    </row>
    <row r="1690" spans="1:7">
      <c r="A1690" s="33">
        <v>43605</v>
      </c>
      <c r="B1690" s="34">
        <v>8196924</v>
      </c>
      <c r="C1690" s="34">
        <v>8200968</v>
      </c>
      <c r="D1690" s="34">
        <v>7678782</v>
      </c>
      <c r="E1690" s="92" t="s">
        <v>8461</v>
      </c>
      <c r="F1690" s="89" t="s">
        <v>8462</v>
      </c>
      <c r="G1690" s="29" t="s">
        <v>6775</v>
      </c>
    </row>
    <row r="1691" spans="1:7">
      <c r="A1691" s="33">
        <v>43606</v>
      </c>
      <c r="B1691" s="34">
        <v>7977969</v>
      </c>
      <c r="C1691" s="34">
        <v>8062168</v>
      </c>
      <c r="D1691" s="29" t="s">
        <v>8463</v>
      </c>
      <c r="E1691" s="92" t="s">
        <v>2909</v>
      </c>
      <c r="F1691" s="89" t="s">
        <v>2832</v>
      </c>
      <c r="G1691" s="29" t="s">
        <v>8464</v>
      </c>
    </row>
    <row r="1692" spans="1:7">
      <c r="A1692" s="33">
        <v>43607</v>
      </c>
      <c r="B1692" s="34">
        <v>7956292</v>
      </c>
      <c r="C1692" s="34">
        <v>7997612</v>
      </c>
      <c r="D1692" s="34">
        <v>7615987</v>
      </c>
      <c r="E1692" s="92" t="s">
        <v>8465</v>
      </c>
      <c r="F1692" s="89" t="s">
        <v>2973</v>
      </c>
      <c r="G1692" s="29" t="s">
        <v>8466</v>
      </c>
    </row>
    <row r="1693" spans="1:7">
      <c r="A1693" s="33">
        <v>43608</v>
      </c>
      <c r="B1693" s="34">
        <v>7677269</v>
      </c>
      <c r="C1693" s="34">
        <v>7943792</v>
      </c>
      <c r="D1693" s="34">
        <v>7533197</v>
      </c>
      <c r="E1693" s="92" t="s">
        <v>8467</v>
      </c>
      <c r="F1693" s="89" t="s">
        <v>2961</v>
      </c>
      <c r="G1693" s="29" t="s">
        <v>8468</v>
      </c>
    </row>
    <row r="1694" spans="1:7">
      <c r="A1694" s="33">
        <v>43609</v>
      </c>
      <c r="B1694" s="34">
        <v>7881695</v>
      </c>
      <c r="C1694" s="29" t="s">
        <v>8469</v>
      </c>
      <c r="D1694" s="34">
        <v>7824449</v>
      </c>
      <c r="E1694" s="92" t="s">
        <v>2882</v>
      </c>
      <c r="F1694" s="89" t="s">
        <v>8470</v>
      </c>
      <c r="G1694" s="29" t="s">
        <v>8460</v>
      </c>
    </row>
    <row r="1695" spans="1:7">
      <c r="A1695" s="33">
        <v>43610</v>
      </c>
      <c r="B1695" s="34">
        <v>7991885</v>
      </c>
      <c r="C1695" s="34">
        <v>8117926</v>
      </c>
      <c r="D1695" s="34">
        <v>7965976</v>
      </c>
      <c r="E1695" s="92" t="s">
        <v>5893</v>
      </c>
      <c r="F1695" s="89" t="s">
        <v>2969</v>
      </c>
      <c r="G1695" s="29" t="s">
        <v>8471</v>
      </c>
    </row>
    <row r="1696" spans="1:7">
      <c r="A1696" s="33">
        <v>43611</v>
      </c>
      <c r="B1696" s="34">
        <v>8055206</v>
      </c>
      <c r="C1696" s="34">
        <v>8687521</v>
      </c>
      <c r="D1696" s="29" t="s">
        <v>8472</v>
      </c>
      <c r="E1696" s="92" t="s">
        <v>2898</v>
      </c>
      <c r="F1696" s="89" t="s">
        <v>2828</v>
      </c>
      <c r="G1696" s="29" t="s">
        <v>8473</v>
      </c>
    </row>
    <row r="1697" spans="1:7">
      <c r="A1697" s="33">
        <v>43612</v>
      </c>
      <c r="B1697" s="34">
        <v>8674072</v>
      </c>
      <c r="C1697" s="34">
        <v>8907175</v>
      </c>
      <c r="D1697" s="34">
        <v>8668705</v>
      </c>
      <c r="E1697" s="92" t="s">
        <v>3007</v>
      </c>
      <c r="F1697" s="89" t="s">
        <v>2824</v>
      </c>
      <c r="G1697" s="29" t="s">
        <v>4778</v>
      </c>
    </row>
    <row r="1698" spans="1:7">
      <c r="A1698" s="33">
        <v>43613</v>
      </c>
      <c r="B1698" s="34">
        <v>8802758</v>
      </c>
      <c r="C1698" s="34">
        <v>8807017</v>
      </c>
      <c r="D1698" s="34">
        <v>8634722</v>
      </c>
      <c r="E1698" s="92" t="s">
        <v>2851</v>
      </c>
      <c r="F1698" s="89" t="s">
        <v>2797</v>
      </c>
      <c r="G1698" s="29" t="s">
        <v>8474</v>
      </c>
    </row>
    <row r="1699" spans="1:7">
      <c r="A1699" s="33">
        <v>43614</v>
      </c>
      <c r="B1699" s="34">
        <v>8718592</v>
      </c>
      <c r="C1699" s="34">
        <v>8755853</v>
      </c>
      <c r="D1699" s="34">
        <v>8482729</v>
      </c>
      <c r="E1699" s="92" t="s">
        <v>218</v>
      </c>
      <c r="F1699" s="89" t="s">
        <v>8475</v>
      </c>
      <c r="G1699" s="29" t="s">
        <v>8476</v>
      </c>
    </row>
    <row r="1700" spans="1:7">
      <c r="A1700" s="33">
        <v>43615</v>
      </c>
      <c r="B1700" s="34">
        <v>8661761</v>
      </c>
      <c r="C1700" s="34">
        <v>9008314</v>
      </c>
      <c r="D1700" s="34">
        <v>8221273</v>
      </c>
      <c r="E1700" s="92" t="s">
        <v>2886</v>
      </c>
      <c r="F1700" s="89" t="s">
        <v>2977</v>
      </c>
      <c r="G1700" s="29" t="s">
        <v>8477</v>
      </c>
    </row>
    <row r="1701" spans="1:7">
      <c r="A1701" s="33">
        <v>43616</v>
      </c>
      <c r="B1701" s="34">
        <v>8320286</v>
      </c>
      <c r="C1701" s="34">
        <v>8586659</v>
      </c>
      <c r="D1701" s="34">
        <v>8172551</v>
      </c>
      <c r="E1701" s="92" t="s">
        <v>2866</v>
      </c>
      <c r="F1701" s="89" t="s">
        <v>2965</v>
      </c>
      <c r="G1701" s="29" t="s">
        <v>8478</v>
      </c>
    </row>
    <row r="1702" spans="1:7">
      <c r="A1702" s="33">
        <v>43617</v>
      </c>
      <c r="B1702" s="29" t="s">
        <v>8479</v>
      </c>
      <c r="C1702" s="34">
        <v>8625601</v>
      </c>
      <c r="D1702" s="34">
        <v>8481578</v>
      </c>
      <c r="E1702" s="92" t="s">
        <v>2890</v>
      </c>
      <c r="F1702" s="89" t="s">
        <v>2913</v>
      </c>
      <c r="G1702" s="29" t="s">
        <v>8480</v>
      </c>
    </row>
    <row r="1703" spans="1:7">
      <c r="A1703" s="33">
        <v>43618</v>
      </c>
      <c r="B1703" s="34">
        <v>8565474</v>
      </c>
      <c r="C1703" s="34">
        <v>8809304</v>
      </c>
      <c r="D1703" s="34">
        <v>8561235</v>
      </c>
      <c r="E1703" s="92" t="s">
        <v>222</v>
      </c>
      <c r="F1703" s="89" t="s">
        <v>2805</v>
      </c>
      <c r="G1703" s="29" t="s">
        <v>8481</v>
      </c>
    </row>
    <row r="1704" spans="1:7">
      <c r="A1704" s="33">
        <v>43619</v>
      </c>
      <c r="B1704" s="34">
        <v>8741747</v>
      </c>
      <c r="C1704" s="29" t="s">
        <v>8482</v>
      </c>
      <c r="D1704" s="34">
        <v>8204186</v>
      </c>
      <c r="E1704" s="92" t="s">
        <v>2894</v>
      </c>
      <c r="F1704" s="89" t="s">
        <v>2985</v>
      </c>
      <c r="G1704" s="29" t="s">
        <v>8483</v>
      </c>
    </row>
    <row r="1705" spans="1:7">
      <c r="A1705" s="33">
        <v>43620</v>
      </c>
      <c r="B1705" s="34">
        <v>8210985</v>
      </c>
      <c r="C1705" s="34">
        <v>8210985</v>
      </c>
      <c r="D1705" s="34">
        <v>7564489</v>
      </c>
      <c r="E1705" s="92" t="s">
        <v>3003</v>
      </c>
      <c r="F1705" s="89" t="s">
        <v>8484</v>
      </c>
      <c r="G1705" s="29" t="s">
        <v>8485</v>
      </c>
    </row>
    <row r="1706" spans="1:7">
      <c r="A1706" s="33">
        <v>43621</v>
      </c>
      <c r="B1706" s="34">
        <v>7704343</v>
      </c>
      <c r="C1706" s="34">
        <v>7901849</v>
      </c>
      <c r="D1706" s="34">
        <v>7668668</v>
      </c>
      <c r="E1706" s="92" t="s">
        <v>2874</v>
      </c>
      <c r="F1706" s="89" t="s">
        <v>2981</v>
      </c>
      <c r="G1706" s="29" t="s">
        <v>6771</v>
      </c>
    </row>
    <row r="1707" spans="1:7">
      <c r="A1707" s="33">
        <v>43622</v>
      </c>
      <c r="B1707" s="34">
        <v>7819633</v>
      </c>
      <c r="C1707" s="34">
        <v>7937341</v>
      </c>
      <c r="D1707" s="34">
        <v>7571471</v>
      </c>
      <c r="E1707" s="92" t="s">
        <v>2857</v>
      </c>
      <c r="F1707" s="89" t="s">
        <v>8486</v>
      </c>
      <c r="G1707" s="29" t="s">
        <v>4969</v>
      </c>
    </row>
    <row r="1708" spans="1:7">
      <c r="A1708" s="33">
        <v>43623</v>
      </c>
      <c r="B1708" s="34">
        <v>7826901</v>
      </c>
      <c r="C1708" s="34">
        <v>8126153</v>
      </c>
      <c r="D1708" s="34">
        <v>7788374</v>
      </c>
      <c r="E1708" s="92" t="s">
        <v>8487</v>
      </c>
      <c r="F1708" s="89" t="s">
        <v>2809</v>
      </c>
      <c r="G1708" s="29" t="s">
        <v>4778</v>
      </c>
    </row>
    <row r="1709" spans="1:7">
      <c r="A1709" s="33">
        <v>43624</v>
      </c>
      <c r="B1709" s="34">
        <v>8036775</v>
      </c>
      <c r="C1709" s="34">
        <v>8076891</v>
      </c>
      <c r="D1709" s="34">
        <v>7837611</v>
      </c>
      <c r="E1709" s="92" t="s">
        <v>2870</v>
      </c>
      <c r="F1709" s="89" t="s">
        <v>179</v>
      </c>
      <c r="G1709" s="29" t="s">
        <v>6726</v>
      </c>
    </row>
    <row r="1710" spans="1:7">
      <c r="A1710" s="33">
        <v>43625</v>
      </c>
      <c r="B1710" s="34">
        <v>7949675</v>
      </c>
      <c r="C1710" s="34">
        <v>7975974</v>
      </c>
      <c r="D1710" s="29" t="s">
        <v>8488</v>
      </c>
      <c r="E1710" s="92" t="s">
        <v>2855</v>
      </c>
      <c r="F1710" s="89" t="s">
        <v>2957</v>
      </c>
      <c r="G1710" s="29" t="s">
        <v>8413</v>
      </c>
    </row>
    <row r="1711" spans="1:7">
      <c r="A1711" s="33">
        <v>43626</v>
      </c>
      <c r="B1711" s="34">
        <v>7692285</v>
      </c>
      <c r="C1711" s="29" t="s">
        <v>8489</v>
      </c>
      <c r="D1711" s="34">
        <v>7586731</v>
      </c>
      <c r="E1711" s="92" t="s">
        <v>3001</v>
      </c>
      <c r="F1711" s="89" t="s">
        <v>2921</v>
      </c>
      <c r="G1711" s="29" t="s">
        <v>8441</v>
      </c>
    </row>
    <row r="1712" spans="1:7">
      <c r="A1712" s="33">
        <v>43627</v>
      </c>
      <c r="B1712" s="34">
        <v>8004244</v>
      </c>
      <c r="C1712" s="34">
        <v>8026394</v>
      </c>
      <c r="D1712" s="34">
        <v>7772804</v>
      </c>
      <c r="E1712" s="92" t="s">
        <v>2997</v>
      </c>
      <c r="F1712" s="89" t="s">
        <v>2917</v>
      </c>
      <c r="G1712" s="29" t="s">
        <v>8490</v>
      </c>
    </row>
    <row r="1713" spans="1:7">
      <c r="A1713" s="33">
        <v>43628</v>
      </c>
      <c r="B1713" s="34">
        <v>7925434</v>
      </c>
      <c r="C1713" s="34">
        <v>8196648</v>
      </c>
      <c r="D1713" s="29" t="s">
        <v>8491</v>
      </c>
      <c r="E1713" s="92" t="s">
        <v>8492</v>
      </c>
      <c r="F1713" s="89" t="s">
        <v>2941</v>
      </c>
      <c r="G1713" s="29" t="s">
        <v>8493</v>
      </c>
    </row>
    <row r="1714" spans="1:7">
      <c r="A1714" s="33">
        <v>43629</v>
      </c>
      <c r="B1714" s="34">
        <v>8145545</v>
      </c>
      <c r="C1714" s="34">
        <v>8311567</v>
      </c>
      <c r="D1714" s="34">
        <v>8087061</v>
      </c>
      <c r="E1714" s="92" t="s">
        <v>2953</v>
      </c>
      <c r="F1714" s="89" t="s">
        <v>2789</v>
      </c>
      <c r="G1714" s="29" t="s">
        <v>8441</v>
      </c>
    </row>
    <row r="1715" spans="1:7">
      <c r="A1715" s="33">
        <v>43630</v>
      </c>
      <c r="B1715" s="34">
        <v>8230898</v>
      </c>
      <c r="C1715" s="34">
        <v>8710637</v>
      </c>
      <c r="D1715" s="34">
        <v>8183393</v>
      </c>
      <c r="E1715" s="92" t="s">
        <v>2862</v>
      </c>
      <c r="F1715" s="89" t="s">
        <v>2933</v>
      </c>
      <c r="G1715" s="29" t="s">
        <v>8494</v>
      </c>
    </row>
    <row r="1716" spans="1:7">
      <c r="A1716" s="33">
        <v>43631</v>
      </c>
      <c r="B1716" s="34">
        <v>8689746</v>
      </c>
      <c r="C1716" s="34">
        <v>8859128</v>
      </c>
      <c r="D1716" s="34">
        <v>8618396</v>
      </c>
      <c r="E1716" s="92" t="s">
        <v>2929</v>
      </c>
      <c r="F1716" s="89" t="s">
        <v>2937</v>
      </c>
      <c r="G1716" s="29" t="s">
        <v>6787</v>
      </c>
    </row>
    <row r="1717" spans="1:7">
      <c r="A1717" s="33">
        <v>43632</v>
      </c>
      <c r="B1717" s="29" t="s">
        <v>8495</v>
      </c>
      <c r="C1717" s="34">
        <v>9335867</v>
      </c>
      <c r="D1717" s="34">
        <v>8814557</v>
      </c>
      <c r="E1717" s="92" t="s">
        <v>2801</v>
      </c>
      <c r="F1717" s="89" t="s">
        <v>2993</v>
      </c>
      <c r="G1717" s="29" t="s">
        <v>8496</v>
      </c>
    </row>
    <row r="1718" spans="1:7">
      <c r="A1718" s="33">
        <v>43633</v>
      </c>
      <c r="B1718" s="34">
        <v>8988924</v>
      </c>
      <c r="C1718" s="34">
        <v>9416407</v>
      </c>
      <c r="D1718" s="34">
        <v>8988924</v>
      </c>
      <c r="E1718" s="92" t="s">
        <v>2989</v>
      </c>
      <c r="F1718" s="89" t="s">
        <v>2949</v>
      </c>
      <c r="G1718" s="29" t="s">
        <v>8497</v>
      </c>
    </row>
    <row r="1719" spans="1:7">
      <c r="A1719" s="33">
        <v>43634</v>
      </c>
      <c r="B1719" s="34">
        <v>9335467</v>
      </c>
      <c r="C1719" s="34">
        <v>9348374</v>
      </c>
      <c r="D1719" s="34">
        <v>9004901</v>
      </c>
      <c r="E1719" s="92" t="s">
        <v>2878</v>
      </c>
      <c r="F1719" s="89" t="s">
        <v>2945</v>
      </c>
      <c r="G1719" s="29" t="s">
        <v>8498</v>
      </c>
    </row>
    <row r="1720" spans="1:7">
      <c r="A1720" s="33">
        <v>43635</v>
      </c>
      <c r="B1720" s="34">
        <v>9078728</v>
      </c>
      <c r="C1720" s="34">
        <v>9299621</v>
      </c>
      <c r="D1720" s="34">
        <v>9070396</v>
      </c>
      <c r="E1720" s="92" t="s">
        <v>2945</v>
      </c>
      <c r="F1720" s="89" t="s">
        <v>2878</v>
      </c>
      <c r="G1720" s="29" t="s">
        <v>8411</v>
      </c>
    </row>
    <row r="1721" spans="1:7">
      <c r="A1721" s="33">
        <v>43636</v>
      </c>
      <c r="B1721" s="34">
        <v>9273061</v>
      </c>
      <c r="C1721" s="29" t="s">
        <v>8499</v>
      </c>
      <c r="D1721" s="34">
        <v>9232484</v>
      </c>
      <c r="E1721" s="92" t="s">
        <v>2949</v>
      </c>
      <c r="F1721" s="89" t="s">
        <v>2989</v>
      </c>
      <c r="G1721" s="29" t="s">
        <v>8500</v>
      </c>
    </row>
    <row r="1722" spans="1:7">
      <c r="A1722" s="33">
        <v>43637</v>
      </c>
      <c r="B1722" s="34">
        <v>9525074</v>
      </c>
      <c r="C1722" s="29" t="s">
        <v>7467</v>
      </c>
      <c r="D1722" s="34">
        <v>9525074</v>
      </c>
      <c r="E1722" s="92" t="s">
        <v>2993</v>
      </c>
      <c r="F1722" s="89" t="s">
        <v>2801</v>
      </c>
      <c r="G1722" s="29" t="s">
        <v>8501</v>
      </c>
    </row>
    <row r="1723" spans="1:7">
      <c r="A1723" s="33">
        <v>43638</v>
      </c>
      <c r="B1723" s="29" t="s">
        <v>8502</v>
      </c>
      <c r="C1723" s="29" t="s">
        <v>8503</v>
      </c>
      <c r="D1723" s="29" t="s">
        <v>8504</v>
      </c>
      <c r="E1723" s="92" t="s">
        <v>2937</v>
      </c>
      <c r="F1723" s="89" t="s">
        <v>2929</v>
      </c>
      <c r="G1723" s="35">
        <v>30000000000</v>
      </c>
    </row>
    <row r="1724" spans="1:7">
      <c r="A1724" s="33">
        <v>43639</v>
      </c>
      <c r="B1724" s="29" t="s">
        <v>8505</v>
      </c>
      <c r="C1724" s="29" t="s">
        <v>8506</v>
      </c>
      <c r="D1724" s="29" t="s">
        <v>8507</v>
      </c>
      <c r="E1724" s="92" t="s">
        <v>2933</v>
      </c>
      <c r="F1724" s="89" t="s">
        <v>2862</v>
      </c>
      <c r="G1724" s="29" t="s">
        <v>8508</v>
      </c>
    </row>
    <row r="1725" spans="1:7">
      <c r="A1725" s="33">
        <v>43640</v>
      </c>
      <c r="B1725" s="29" t="s">
        <v>8509</v>
      </c>
      <c r="C1725" s="29" t="s">
        <v>8510</v>
      </c>
      <c r="D1725" s="29" t="s">
        <v>8511</v>
      </c>
      <c r="E1725" s="92" t="s">
        <v>2789</v>
      </c>
      <c r="F1725" s="89" t="s">
        <v>2953</v>
      </c>
      <c r="G1725" s="29" t="s">
        <v>8512</v>
      </c>
    </row>
    <row r="1726" spans="1:7">
      <c r="A1726" s="33">
        <v>43641</v>
      </c>
      <c r="B1726" s="29" t="s">
        <v>8513</v>
      </c>
      <c r="C1726" s="29" t="s">
        <v>8270</v>
      </c>
      <c r="D1726" s="29" t="s">
        <v>8513</v>
      </c>
      <c r="E1726" s="92" t="s">
        <v>2941</v>
      </c>
      <c r="F1726" s="89" t="s">
        <v>8492</v>
      </c>
      <c r="G1726" s="29" t="s">
        <v>8514</v>
      </c>
    </row>
    <row r="1727" spans="1:7">
      <c r="A1727" s="33">
        <v>43642</v>
      </c>
      <c r="B1727" s="29" t="s">
        <v>8515</v>
      </c>
      <c r="C1727" s="29" t="s">
        <v>8516</v>
      </c>
      <c r="D1727" s="29" t="s">
        <v>8517</v>
      </c>
      <c r="E1727" s="92" t="s">
        <v>2917</v>
      </c>
      <c r="F1727" s="89" t="s">
        <v>2997</v>
      </c>
      <c r="G1727" s="29" t="s">
        <v>8518</v>
      </c>
    </row>
    <row r="1728" spans="1:7">
      <c r="A1728" s="33">
        <v>43643</v>
      </c>
      <c r="B1728" s="29" t="s">
        <v>8519</v>
      </c>
      <c r="C1728" s="29" t="s">
        <v>8520</v>
      </c>
      <c r="D1728" s="29" t="s">
        <v>8521</v>
      </c>
      <c r="E1728" s="92" t="s">
        <v>2921</v>
      </c>
      <c r="F1728" s="89" t="s">
        <v>3001</v>
      </c>
      <c r="G1728" s="35">
        <v>40000000000</v>
      </c>
    </row>
    <row r="1729" spans="1:7">
      <c r="A1729" s="33">
        <v>43644</v>
      </c>
      <c r="B1729" s="29" t="s">
        <v>8522</v>
      </c>
      <c r="C1729" s="29" t="s">
        <v>8523</v>
      </c>
      <c r="D1729" s="29" t="s">
        <v>8524</v>
      </c>
      <c r="E1729" s="92" t="s">
        <v>2957</v>
      </c>
      <c r="F1729" s="89" t="s">
        <v>2855</v>
      </c>
      <c r="G1729" s="29" t="s">
        <v>8525</v>
      </c>
    </row>
    <row r="1730" spans="1:7">
      <c r="A1730" s="33">
        <v>43645</v>
      </c>
      <c r="B1730" s="29" t="s">
        <v>8526</v>
      </c>
      <c r="C1730" s="29" t="s">
        <v>8527</v>
      </c>
      <c r="D1730" s="29" t="s">
        <v>8528</v>
      </c>
      <c r="E1730" s="92" t="s">
        <v>179</v>
      </c>
      <c r="F1730" s="89" t="s">
        <v>2870</v>
      </c>
      <c r="G1730" s="29" t="s">
        <v>4778</v>
      </c>
    </row>
    <row r="1731" spans="1:7">
      <c r="A1731" s="33">
        <v>43646</v>
      </c>
      <c r="B1731" s="29" t="s">
        <v>8529</v>
      </c>
      <c r="C1731" s="29" t="s">
        <v>8530</v>
      </c>
      <c r="D1731" s="29" t="s">
        <v>8531</v>
      </c>
      <c r="E1731" s="92" t="s">
        <v>2809</v>
      </c>
      <c r="F1731" s="89" t="s">
        <v>8487</v>
      </c>
      <c r="G1731" s="29" t="s">
        <v>8532</v>
      </c>
    </row>
    <row r="1732" spans="1:7">
      <c r="A1732" s="33">
        <v>43647</v>
      </c>
      <c r="B1732" s="29" t="s">
        <v>8533</v>
      </c>
      <c r="C1732" s="29" t="s">
        <v>8534</v>
      </c>
      <c r="D1732" s="29" t="s">
        <v>8535</v>
      </c>
      <c r="E1732" s="92" t="s">
        <v>2981</v>
      </c>
      <c r="F1732" s="89" t="s">
        <v>2857</v>
      </c>
      <c r="G1732" s="29" t="s">
        <v>8536</v>
      </c>
    </row>
    <row r="1733" spans="1:7">
      <c r="A1733" s="33">
        <v>43648</v>
      </c>
      <c r="B1733" s="29" t="s">
        <v>8537</v>
      </c>
      <c r="C1733" s="29" t="s">
        <v>8538</v>
      </c>
      <c r="D1733" s="34">
        <v>9737885</v>
      </c>
      <c r="E1733" s="92" t="s">
        <v>8484</v>
      </c>
      <c r="F1733" s="89" t="s">
        <v>2874</v>
      </c>
      <c r="G1733" s="29" t="s">
        <v>8539</v>
      </c>
    </row>
    <row r="1734" spans="1:7">
      <c r="A1734" s="33">
        <v>43649</v>
      </c>
      <c r="B1734" s="29" t="s">
        <v>8540</v>
      </c>
      <c r="C1734" s="29" t="s">
        <v>8541</v>
      </c>
      <c r="D1734" s="29" t="s">
        <v>8540</v>
      </c>
      <c r="E1734" s="92" t="s">
        <v>2985</v>
      </c>
      <c r="F1734" s="89" t="s">
        <v>3003</v>
      </c>
      <c r="G1734" s="29" t="s">
        <v>8542</v>
      </c>
    </row>
    <row r="1735" spans="1:7">
      <c r="A1735" s="33">
        <v>43650</v>
      </c>
      <c r="B1735" s="29" t="s">
        <v>8543</v>
      </c>
      <c r="C1735" s="29" t="s">
        <v>8544</v>
      </c>
      <c r="D1735" s="29" t="s">
        <v>8545</v>
      </c>
      <c r="E1735" s="92" t="s">
        <v>2805</v>
      </c>
      <c r="F1735" s="89" t="s">
        <v>2894</v>
      </c>
      <c r="G1735" s="29" t="s">
        <v>4778</v>
      </c>
    </row>
    <row r="1736" spans="1:7">
      <c r="A1736" s="33">
        <v>43651</v>
      </c>
      <c r="B1736" s="29" t="s">
        <v>8546</v>
      </c>
      <c r="C1736" s="29" t="s">
        <v>8547</v>
      </c>
      <c r="D1736" s="29" t="s">
        <v>8548</v>
      </c>
      <c r="E1736" s="92" t="s">
        <v>2913</v>
      </c>
      <c r="F1736" s="89" t="s">
        <v>222</v>
      </c>
      <c r="G1736" s="29" t="s">
        <v>6775</v>
      </c>
    </row>
    <row r="1737" spans="1:7">
      <c r="A1737" s="33">
        <v>43652</v>
      </c>
      <c r="B1737" s="29" t="s">
        <v>8549</v>
      </c>
      <c r="C1737" s="29" t="s">
        <v>8550</v>
      </c>
      <c r="D1737" s="29" t="s">
        <v>8549</v>
      </c>
      <c r="E1737" s="92" t="s">
        <v>2965</v>
      </c>
      <c r="F1737" s="89" t="s">
        <v>2890</v>
      </c>
      <c r="G1737" s="29" t="s">
        <v>6682</v>
      </c>
    </row>
    <row r="1738" spans="1:7">
      <c r="A1738" s="33">
        <v>43653</v>
      </c>
      <c r="B1738" s="29" t="s">
        <v>8551</v>
      </c>
      <c r="C1738" s="29" t="s">
        <v>8552</v>
      </c>
      <c r="D1738" s="29" t="s">
        <v>8553</v>
      </c>
      <c r="E1738" s="92" t="s">
        <v>2977</v>
      </c>
      <c r="F1738" s="89" t="s">
        <v>2866</v>
      </c>
      <c r="G1738" s="29" t="s">
        <v>8447</v>
      </c>
    </row>
    <row r="1739" spans="1:7">
      <c r="A1739" s="33">
        <v>43654</v>
      </c>
      <c r="B1739" s="29" t="s">
        <v>8554</v>
      </c>
      <c r="C1739" s="29" t="s">
        <v>4778</v>
      </c>
      <c r="D1739" s="29" t="s">
        <v>8555</v>
      </c>
      <c r="E1739" s="92" t="s">
        <v>8475</v>
      </c>
      <c r="F1739" s="89" t="s">
        <v>2886</v>
      </c>
      <c r="G1739" s="29" t="s">
        <v>4778</v>
      </c>
    </row>
    <row r="1740" spans="1:7">
      <c r="A1740" s="33">
        <v>43655</v>
      </c>
      <c r="B1740" s="29" t="s">
        <v>8556</v>
      </c>
      <c r="C1740" s="29" t="s">
        <v>8557</v>
      </c>
      <c r="D1740" s="29" t="s">
        <v>8558</v>
      </c>
      <c r="E1740" s="92" t="s">
        <v>2797</v>
      </c>
      <c r="F1740" s="89" t="s">
        <v>218</v>
      </c>
      <c r="G1740" s="29" t="s">
        <v>8559</v>
      </c>
    </row>
    <row r="1741" spans="1:7">
      <c r="A1741" s="33">
        <v>43656</v>
      </c>
      <c r="B1741" s="29" t="s">
        <v>8560</v>
      </c>
      <c r="C1741" s="29" t="s">
        <v>8561</v>
      </c>
      <c r="D1741" s="29" t="s">
        <v>8562</v>
      </c>
      <c r="E1741" s="92" t="s">
        <v>2824</v>
      </c>
      <c r="F1741" s="89" t="s">
        <v>2851</v>
      </c>
      <c r="G1741" s="29" t="s">
        <v>8563</v>
      </c>
    </row>
    <row r="1742" spans="1:7">
      <c r="A1742" s="33">
        <v>43657</v>
      </c>
      <c r="B1742" s="29" t="s">
        <v>8564</v>
      </c>
      <c r="C1742" s="29" t="s">
        <v>8565</v>
      </c>
      <c r="D1742" s="29" t="s">
        <v>8566</v>
      </c>
      <c r="E1742" s="92" t="s">
        <v>2828</v>
      </c>
      <c r="F1742" s="89" t="s">
        <v>3007</v>
      </c>
      <c r="G1742" s="29" t="s">
        <v>8567</v>
      </c>
    </row>
    <row r="1743" spans="1:7">
      <c r="A1743" s="33">
        <v>43658</v>
      </c>
      <c r="B1743" s="29" t="s">
        <v>8568</v>
      </c>
      <c r="C1743" s="29" t="s">
        <v>8569</v>
      </c>
      <c r="D1743" s="29" t="s">
        <v>8570</v>
      </c>
      <c r="E1743" s="92" t="s">
        <v>2969</v>
      </c>
      <c r="F1743" s="89" t="s">
        <v>2898</v>
      </c>
      <c r="G1743" s="29" t="s">
        <v>8476</v>
      </c>
    </row>
    <row r="1744" spans="1:7">
      <c r="A1744" s="33">
        <v>43659</v>
      </c>
      <c r="B1744" s="29" t="s">
        <v>8571</v>
      </c>
      <c r="C1744" s="29" t="s">
        <v>8572</v>
      </c>
      <c r="D1744" s="29" t="s">
        <v>8573</v>
      </c>
      <c r="E1744" s="92" t="s">
        <v>8470</v>
      </c>
      <c r="F1744" s="89" t="s">
        <v>5893</v>
      </c>
      <c r="G1744" s="29" t="s">
        <v>8508</v>
      </c>
    </row>
    <row r="1745" spans="1:7">
      <c r="A1745" s="33">
        <v>43660</v>
      </c>
      <c r="B1745" s="29" t="s">
        <v>8574</v>
      </c>
      <c r="C1745" s="29" t="s">
        <v>8575</v>
      </c>
      <c r="D1745" s="29" t="s">
        <v>8576</v>
      </c>
      <c r="E1745" s="92" t="s">
        <v>2961</v>
      </c>
      <c r="F1745" s="89" t="s">
        <v>2882</v>
      </c>
      <c r="G1745" s="29" t="s">
        <v>8480</v>
      </c>
    </row>
    <row r="1746" spans="1:7">
      <c r="A1746" s="33">
        <v>43661</v>
      </c>
      <c r="B1746" s="29" t="s">
        <v>8577</v>
      </c>
      <c r="C1746" s="29" t="s">
        <v>8578</v>
      </c>
      <c r="D1746" s="34">
        <v>9992007</v>
      </c>
      <c r="E1746" s="92" t="s">
        <v>2973</v>
      </c>
      <c r="F1746" s="89" t="s">
        <v>8467</v>
      </c>
      <c r="G1746" s="29" t="s">
        <v>8478</v>
      </c>
    </row>
    <row r="1747" spans="1:7">
      <c r="A1747" s="33">
        <v>43662</v>
      </c>
      <c r="B1747" s="29" t="s">
        <v>8579</v>
      </c>
      <c r="C1747" s="29" t="s">
        <v>8580</v>
      </c>
      <c r="D1747" s="34">
        <v>9448106</v>
      </c>
      <c r="E1747" s="92" t="s">
        <v>2832</v>
      </c>
      <c r="F1747" s="89" t="s">
        <v>8465</v>
      </c>
      <c r="G1747" s="29" t="s">
        <v>8474</v>
      </c>
    </row>
    <row r="1748" spans="1:7">
      <c r="A1748" s="33">
        <v>43663</v>
      </c>
      <c r="B1748" s="34">
        <v>9471214</v>
      </c>
      <c r="C1748" s="34">
        <v>9963135</v>
      </c>
      <c r="D1748" s="34">
        <v>9163135</v>
      </c>
      <c r="E1748" s="92" t="s">
        <v>8462</v>
      </c>
      <c r="F1748" s="89" t="s">
        <v>2909</v>
      </c>
      <c r="G1748" s="29" t="s">
        <v>8485</v>
      </c>
    </row>
    <row r="1749" spans="1:7">
      <c r="A1749" s="33">
        <v>43664</v>
      </c>
      <c r="B1749" s="34">
        <v>9698503</v>
      </c>
      <c r="C1749" s="29" t="s">
        <v>8581</v>
      </c>
      <c r="D1749" s="34">
        <v>9376799</v>
      </c>
      <c r="E1749" s="92" t="s">
        <v>2836</v>
      </c>
      <c r="F1749" s="89" t="s">
        <v>8461</v>
      </c>
      <c r="G1749" s="29" t="s">
        <v>8582</v>
      </c>
    </row>
    <row r="1750" spans="1:7">
      <c r="A1750" s="33">
        <v>43665</v>
      </c>
      <c r="B1750" s="29" t="s">
        <v>8583</v>
      </c>
      <c r="C1750" s="29" t="s">
        <v>8584</v>
      </c>
      <c r="D1750" s="29" t="s">
        <v>8585</v>
      </c>
      <c r="E1750" s="92" t="s">
        <v>2848</v>
      </c>
      <c r="F1750" s="89" t="s">
        <v>8459</v>
      </c>
      <c r="G1750" s="29" t="s">
        <v>8586</v>
      </c>
    </row>
    <row r="1751" spans="1:7">
      <c r="A1751" s="33">
        <v>43666</v>
      </c>
      <c r="B1751" s="29" t="s">
        <v>8587</v>
      </c>
      <c r="C1751" s="29" t="s">
        <v>8588</v>
      </c>
      <c r="D1751" s="29" t="s">
        <v>8589</v>
      </c>
      <c r="E1751" s="92" t="s">
        <v>2840</v>
      </c>
      <c r="F1751" s="89" t="s">
        <v>8458</v>
      </c>
      <c r="G1751" s="29" t="s">
        <v>8590</v>
      </c>
    </row>
    <row r="1752" spans="1:7">
      <c r="A1752" s="33">
        <v>43667</v>
      </c>
      <c r="B1752" s="29" t="s">
        <v>8591</v>
      </c>
      <c r="C1752" s="29" t="s">
        <v>8592</v>
      </c>
      <c r="D1752" s="29" t="s">
        <v>8593</v>
      </c>
      <c r="E1752" s="92" t="s">
        <v>2925</v>
      </c>
      <c r="F1752" s="89" t="s">
        <v>8455</v>
      </c>
      <c r="G1752" s="29" t="s">
        <v>8490</v>
      </c>
    </row>
    <row r="1753" spans="1:7">
      <c r="A1753" s="33">
        <v>43668</v>
      </c>
      <c r="B1753" s="29" t="s">
        <v>8594</v>
      </c>
      <c r="C1753" s="29" t="s">
        <v>8595</v>
      </c>
      <c r="D1753" s="29" t="s">
        <v>8596</v>
      </c>
      <c r="E1753" s="92" t="s">
        <v>8597</v>
      </c>
      <c r="F1753" s="89" t="s">
        <v>2785</v>
      </c>
      <c r="G1753" s="29" t="s">
        <v>8598</v>
      </c>
    </row>
    <row r="1754" spans="1:7">
      <c r="A1754" s="33">
        <v>43669</v>
      </c>
      <c r="B1754" s="29" t="s">
        <v>8599</v>
      </c>
      <c r="C1754" s="29" t="s">
        <v>4778</v>
      </c>
      <c r="D1754" s="34">
        <v>9883595</v>
      </c>
      <c r="E1754" s="92" t="s">
        <v>2793</v>
      </c>
      <c r="F1754" s="89" t="s">
        <v>183</v>
      </c>
      <c r="G1754" s="29" t="s">
        <v>8600</v>
      </c>
    </row>
    <row r="1755" spans="1:7">
      <c r="A1755" s="33">
        <v>43670</v>
      </c>
      <c r="B1755" s="29" t="s">
        <v>8601</v>
      </c>
      <c r="C1755" s="34">
        <v>9908797</v>
      </c>
      <c r="D1755" s="34">
        <v>9614307</v>
      </c>
      <c r="E1755" s="92" t="s">
        <v>170</v>
      </c>
      <c r="F1755" s="89" t="s">
        <v>8451</v>
      </c>
      <c r="G1755" s="29" t="s">
        <v>8602</v>
      </c>
    </row>
    <row r="1756" spans="1:7">
      <c r="A1756" s="33">
        <v>43671</v>
      </c>
      <c r="B1756" s="34">
        <v>9809097</v>
      </c>
      <c r="C1756" s="29" t="s">
        <v>8603</v>
      </c>
      <c r="D1756" s="34">
        <v>9773957</v>
      </c>
      <c r="E1756" s="92" t="s">
        <v>2813</v>
      </c>
      <c r="F1756" s="89" t="s">
        <v>226</v>
      </c>
      <c r="G1756" s="29" t="s">
        <v>8498</v>
      </c>
    </row>
    <row r="1757" spans="1:7">
      <c r="A1757" s="33">
        <v>43672</v>
      </c>
      <c r="B1757" s="34">
        <v>9913127</v>
      </c>
      <c r="C1757" s="34">
        <v>9916518</v>
      </c>
      <c r="D1757" s="34">
        <v>9717982</v>
      </c>
      <c r="E1757" s="92" t="s">
        <v>166</v>
      </c>
      <c r="F1757" s="89" t="s">
        <v>8448</v>
      </c>
      <c r="G1757" s="29" t="s">
        <v>4947</v>
      </c>
    </row>
    <row r="1758" spans="1:7">
      <c r="A1758" s="33">
        <v>43673</v>
      </c>
      <c r="B1758" s="34">
        <v>9871165</v>
      </c>
      <c r="C1758" s="29" t="s">
        <v>8604</v>
      </c>
      <c r="D1758" s="34">
        <v>9411521</v>
      </c>
      <c r="E1758" s="92" t="s">
        <v>2844</v>
      </c>
      <c r="F1758" s="89" t="s">
        <v>2901</v>
      </c>
      <c r="G1758" s="29" t="s">
        <v>6763</v>
      </c>
    </row>
    <row r="1759" spans="1:7">
      <c r="A1759" s="33">
        <v>43674</v>
      </c>
      <c r="B1759" s="34">
        <v>9491627</v>
      </c>
      <c r="C1759" s="34">
        <v>9575545</v>
      </c>
      <c r="D1759" s="34">
        <v>9252297</v>
      </c>
      <c r="E1759" s="92" t="s">
        <v>2820</v>
      </c>
      <c r="F1759" s="89" t="s">
        <v>187</v>
      </c>
      <c r="G1759" s="29" t="s">
        <v>8415</v>
      </c>
    </row>
    <row r="1760" spans="1:7">
      <c r="A1760" s="33">
        <v>43675</v>
      </c>
      <c r="B1760" s="34">
        <v>9548179</v>
      </c>
      <c r="C1760" s="34">
        <v>9681648</v>
      </c>
      <c r="D1760" s="34">
        <v>9472948</v>
      </c>
      <c r="E1760" s="92" t="s">
        <v>8446</v>
      </c>
      <c r="F1760" s="89" t="s">
        <v>2905</v>
      </c>
      <c r="G1760" s="29" t="s">
        <v>6703</v>
      </c>
    </row>
    <row r="1761" spans="1:7">
      <c r="A1761" s="33">
        <v>43676</v>
      </c>
      <c r="B1761" s="34">
        <v>9522329</v>
      </c>
      <c r="C1761" s="29" t="s">
        <v>8605</v>
      </c>
      <c r="D1761" s="34">
        <v>9437336</v>
      </c>
      <c r="E1761" s="92" t="s">
        <v>172</v>
      </c>
      <c r="F1761" s="89" t="s">
        <v>191</v>
      </c>
      <c r="G1761" s="29" t="s">
        <v>6703</v>
      </c>
    </row>
    <row r="1762" spans="1:7">
      <c r="A1762" s="33">
        <v>43677</v>
      </c>
      <c r="B1762" s="34">
        <v>9604051</v>
      </c>
      <c r="C1762" s="29" t="s">
        <v>7420</v>
      </c>
      <c r="D1762" s="34">
        <v>9598098</v>
      </c>
      <c r="E1762" s="92" t="s">
        <v>8445</v>
      </c>
      <c r="F1762" s="89" t="s">
        <v>8444</v>
      </c>
      <c r="G1762" s="29" t="s">
        <v>8413</v>
      </c>
    </row>
    <row r="1763" spans="1:7">
      <c r="A1763" s="33">
        <v>43678</v>
      </c>
      <c r="B1763" s="29" t="s">
        <v>8606</v>
      </c>
      <c r="C1763" s="29" t="s">
        <v>8607</v>
      </c>
      <c r="D1763" s="29" t="s">
        <v>8608</v>
      </c>
      <c r="E1763" s="92" t="s">
        <v>175</v>
      </c>
      <c r="F1763" s="89" t="s">
        <v>6676</v>
      </c>
      <c r="G1763" s="29" t="s">
        <v>8407</v>
      </c>
    </row>
    <row r="1764" spans="1:7">
      <c r="A1764" s="33">
        <v>43679</v>
      </c>
      <c r="B1764" s="29" t="s">
        <v>8609</v>
      </c>
      <c r="C1764" s="29" t="s">
        <v>8610</v>
      </c>
      <c r="D1764" s="29" t="s">
        <v>8611</v>
      </c>
      <c r="E1764" s="92" t="s">
        <v>2781</v>
      </c>
      <c r="F1764" s="89" t="s">
        <v>3009</v>
      </c>
      <c r="G1764" s="29" t="s">
        <v>8612</v>
      </c>
    </row>
    <row r="1765" spans="1:7">
      <c r="A1765" s="33">
        <v>43680</v>
      </c>
      <c r="B1765" s="29" t="s">
        <v>8613</v>
      </c>
      <c r="C1765" s="29" t="s">
        <v>8614</v>
      </c>
      <c r="D1765" s="29" t="s">
        <v>8615</v>
      </c>
      <c r="E1765" s="92" t="s">
        <v>8442</v>
      </c>
      <c r="F1765" s="89" t="s">
        <v>8439</v>
      </c>
      <c r="G1765" s="29" t="s">
        <v>8616</v>
      </c>
    </row>
    <row r="1766" spans="1:7">
      <c r="A1766" s="33">
        <v>43681</v>
      </c>
      <c r="B1766" s="29" t="s">
        <v>8617</v>
      </c>
      <c r="C1766" s="29" t="s">
        <v>8618</v>
      </c>
      <c r="D1766" s="29" t="s">
        <v>8619</v>
      </c>
      <c r="E1766" s="92" t="s">
        <v>8440</v>
      </c>
      <c r="F1766" s="89" t="s">
        <v>276</v>
      </c>
      <c r="G1766" s="29" t="s">
        <v>6726</v>
      </c>
    </row>
    <row r="1767" spans="1:7">
      <c r="A1767" s="33">
        <v>43682</v>
      </c>
      <c r="B1767" s="29" t="s">
        <v>8620</v>
      </c>
      <c r="C1767" s="29" t="s">
        <v>8621</v>
      </c>
      <c r="D1767" s="29" t="s">
        <v>8620</v>
      </c>
      <c r="E1767" s="92" t="s">
        <v>2816</v>
      </c>
      <c r="F1767" s="89" t="s">
        <v>8438</v>
      </c>
      <c r="G1767" s="29" t="s">
        <v>8622</v>
      </c>
    </row>
    <row r="1768" spans="1:7">
      <c r="A1768" s="33">
        <v>43683</v>
      </c>
      <c r="B1768" s="29" t="s">
        <v>8623</v>
      </c>
      <c r="C1768" s="29" t="s">
        <v>8624</v>
      </c>
      <c r="D1768" s="29" t="s">
        <v>8625</v>
      </c>
      <c r="E1768" s="92" t="s">
        <v>5884</v>
      </c>
      <c r="F1768" s="89" t="s">
        <v>230</v>
      </c>
      <c r="G1768" s="29" t="s">
        <v>8626</v>
      </c>
    </row>
    <row r="1769" spans="1:7">
      <c r="A1769" s="33">
        <v>43684</v>
      </c>
      <c r="B1769" s="29" t="s">
        <v>8627</v>
      </c>
      <c r="C1769" s="29" t="s">
        <v>8628</v>
      </c>
      <c r="D1769" s="29" t="s">
        <v>8629</v>
      </c>
      <c r="E1769" s="92" t="s">
        <v>162</v>
      </c>
      <c r="F1769" s="89" t="s">
        <v>272</v>
      </c>
      <c r="G1769" s="29" t="s">
        <v>6729</v>
      </c>
    </row>
    <row r="1770" spans="1:7">
      <c r="A1770" s="33">
        <v>43685</v>
      </c>
      <c r="B1770" s="29" t="s">
        <v>8630</v>
      </c>
      <c r="C1770" s="29" t="s">
        <v>4778</v>
      </c>
      <c r="D1770" s="29" t="s">
        <v>8631</v>
      </c>
      <c r="E1770" s="92" t="s">
        <v>8436</v>
      </c>
      <c r="F1770" s="89" t="s">
        <v>265</v>
      </c>
      <c r="G1770" s="29" t="s">
        <v>4969</v>
      </c>
    </row>
    <row r="1771" spans="1:7">
      <c r="A1771" s="33">
        <v>43686</v>
      </c>
      <c r="B1771" s="29" t="s">
        <v>8632</v>
      </c>
      <c r="C1771" s="29" t="s">
        <v>8633</v>
      </c>
      <c r="D1771" s="29" t="s">
        <v>8634</v>
      </c>
      <c r="E1771" s="92" t="s">
        <v>140</v>
      </c>
      <c r="F1771" s="89" t="s">
        <v>206</v>
      </c>
      <c r="G1771" s="29" t="s">
        <v>6779</v>
      </c>
    </row>
    <row r="1772" spans="1:7">
      <c r="A1772" s="33">
        <v>43687</v>
      </c>
      <c r="B1772" s="29" t="s">
        <v>8635</v>
      </c>
      <c r="C1772" s="29" t="s">
        <v>8636</v>
      </c>
      <c r="D1772" s="29" t="s">
        <v>8637</v>
      </c>
      <c r="E1772" s="92" t="s">
        <v>144</v>
      </c>
      <c r="F1772" s="89" t="s">
        <v>8433</v>
      </c>
      <c r="G1772" s="29" t="s">
        <v>8638</v>
      </c>
    </row>
    <row r="1773" spans="1:7">
      <c r="A1773" s="33">
        <v>43688</v>
      </c>
      <c r="B1773" s="29" t="s">
        <v>8639</v>
      </c>
      <c r="C1773" s="29" t="s">
        <v>8201</v>
      </c>
      <c r="D1773" s="29" t="s">
        <v>8640</v>
      </c>
      <c r="E1773" s="92" t="s">
        <v>8434</v>
      </c>
      <c r="F1773" s="89" t="s">
        <v>8431</v>
      </c>
      <c r="G1773" s="29" t="s">
        <v>8498</v>
      </c>
    </row>
    <row r="1774" spans="1:7">
      <c r="A1774" s="33">
        <v>43689</v>
      </c>
      <c r="B1774" s="29" t="s">
        <v>8641</v>
      </c>
      <c r="C1774" s="29" t="s">
        <v>8641</v>
      </c>
      <c r="D1774" s="29" t="s">
        <v>8642</v>
      </c>
      <c r="E1774" s="92" t="s">
        <v>150</v>
      </c>
      <c r="F1774" s="89" t="s">
        <v>2777</v>
      </c>
      <c r="G1774" s="29" t="s">
        <v>8643</v>
      </c>
    </row>
    <row r="1775" spans="1:7">
      <c r="A1775" s="33">
        <v>43690</v>
      </c>
      <c r="B1775" s="29" t="s">
        <v>8644</v>
      </c>
      <c r="C1775" s="29" t="s">
        <v>8645</v>
      </c>
      <c r="D1775" s="29" t="s">
        <v>8646</v>
      </c>
      <c r="E1775" s="92" t="s">
        <v>8429</v>
      </c>
      <c r="F1775" s="89" t="s">
        <v>2600</v>
      </c>
      <c r="G1775" s="29" t="s">
        <v>6790</v>
      </c>
    </row>
    <row r="1776" spans="1:7">
      <c r="A1776" s="33">
        <v>43691</v>
      </c>
      <c r="B1776" s="29" t="s">
        <v>8647</v>
      </c>
      <c r="C1776" s="29" t="s">
        <v>8648</v>
      </c>
      <c r="D1776" s="29" t="s">
        <v>8649</v>
      </c>
      <c r="E1776" s="92" t="s">
        <v>8428</v>
      </c>
      <c r="F1776" s="89" t="s">
        <v>269</v>
      </c>
      <c r="G1776" s="35">
        <v>20000000000</v>
      </c>
    </row>
    <row r="1777" spans="1:7">
      <c r="A1777" s="33">
        <v>43692</v>
      </c>
      <c r="B1777" s="29" t="s">
        <v>8650</v>
      </c>
      <c r="C1777" s="29" t="s">
        <v>8651</v>
      </c>
      <c r="D1777" s="34">
        <v>9675316</v>
      </c>
      <c r="E1777" s="92" t="s">
        <v>154</v>
      </c>
      <c r="F1777" s="89" t="s">
        <v>195</v>
      </c>
      <c r="G1777" s="29" t="s">
        <v>8400</v>
      </c>
    </row>
    <row r="1778" spans="1:7">
      <c r="A1778" s="33">
        <v>43693</v>
      </c>
      <c r="B1778" s="29" t="s">
        <v>8652</v>
      </c>
      <c r="C1778" s="29" t="s">
        <v>8653</v>
      </c>
      <c r="D1778" s="34">
        <v>9855479</v>
      </c>
      <c r="E1778" s="92" t="s">
        <v>158</v>
      </c>
      <c r="F1778" s="89" t="s">
        <v>199</v>
      </c>
      <c r="G1778" s="29" t="s">
        <v>8590</v>
      </c>
    </row>
    <row r="1779" spans="1:7">
      <c r="A1779" s="33">
        <v>43694</v>
      </c>
      <c r="B1779" s="29" t="s">
        <v>8654</v>
      </c>
      <c r="C1779" s="29" t="s">
        <v>8655</v>
      </c>
      <c r="D1779" s="29" t="s">
        <v>8656</v>
      </c>
      <c r="E1779" s="92" t="s">
        <v>8426</v>
      </c>
      <c r="F1779" s="89" t="s">
        <v>249</v>
      </c>
      <c r="G1779" s="29" t="s">
        <v>6703</v>
      </c>
    </row>
    <row r="1780" spans="1:7">
      <c r="A1780" s="33">
        <v>43695</v>
      </c>
      <c r="B1780" s="29" t="s">
        <v>8657</v>
      </c>
      <c r="C1780" s="29" t="s">
        <v>8658</v>
      </c>
      <c r="D1780" s="29" t="s">
        <v>8659</v>
      </c>
      <c r="E1780" s="92" t="s">
        <v>8425</v>
      </c>
      <c r="F1780" s="89" t="s">
        <v>214</v>
      </c>
      <c r="G1780" s="29" t="s">
        <v>6699</v>
      </c>
    </row>
    <row r="1781" spans="1:7">
      <c r="A1781" s="33">
        <v>43696</v>
      </c>
      <c r="B1781" s="29" t="s">
        <v>8660</v>
      </c>
      <c r="C1781" s="29" t="s">
        <v>7967</v>
      </c>
      <c r="D1781" s="29" t="s">
        <v>8661</v>
      </c>
      <c r="E1781" s="92" t="s">
        <v>8423</v>
      </c>
      <c r="F1781" s="89" t="s">
        <v>2616</v>
      </c>
      <c r="G1781" s="29" t="s">
        <v>8662</v>
      </c>
    </row>
    <row r="1782" spans="1:7">
      <c r="A1782" s="33">
        <v>43697</v>
      </c>
      <c r="B1782" s="29" t="s">
        <v>8663</v>
      </c>
      <c r="C1782" s="29" t="s">
        <v>8664</v>
      </c>
      <c r="D1782" s="29" t="s">
        <v>8665</v>
      </c>
      <c r="E1782" s="92" t="s">
        <v>6792</v>
      </c>
      <c r="F1782" s="89" t="s">
        <v>280</v>
      </c>
      <c r="G1782" s="29" t="s">
        <v>8666</v>
      </c>
    </row>
    <row r="1783" spans="1:7">
      <c r="A1783" s="33">
        <v>43698</v>
      </c>
      <c r="B1783" s="29" t="s">
        <v>8667</v>
      </c>
      <c r="C1783" s="29" t="s">
        <v>8668</v>
      </c>
      <c r="D1783" s="34">
        <v>9962722</v>
      </c>
      <c r="E1783" s="92" t="s">
        <v>147</v>
      </c>
      <c r="F1783" s="89" t="s">
        <v>2550</v>
      </c>
      <c r="G1783" s="29" t="s">
        <v>4969</v>
      </c>
    </row>
    <row r="1784" spans="1:7">
      <c r="A1784" s="33">
        <v>43699</v>
      </c>
      <c r="B1784" s="29" t="s">
        <v>8669</v>
      </c>
      <c r="C1784" s="29">
        <v>10233</v>
      </c>
      <c r="D1784" s="34">
        <v>9831463</v>
      </c>
      <c r="E1784" s="92" t="s">
        <v>8419</v>
      </c>
      <c r="F1784" s="89" t="s">
        <v>3014</v>
      </c>
      <c r="G1784" s="29" t="s">
        <v>8490</v>
      </c>
    </row>
    <row r="1785" spans="1:7">
      <c r="A1785" s="33">
        <v>43700</v>
      </c>
      <c r="B1785" s="29" t="s">
        <v>8670</v>
      </c>
      <c r="C1785" s="29" t="s">
        <v>8671</v>
      </c>
      <c r="D1785" s="29" t="s">
        <v>8672</v>
      </c>
      <c r="E1785" s="92" t="s">
        <v>8418</v>
      </c>
      <c r="F1785" s="89" t="s">
        <v>8417</v>
      </c>
      <c r="G1785" s="29" t="s">
        <v>8497</v>
      </c>
    </row>
    <row r="1786" spans="1:7">
      <c r="A1786" s="33">
        <v>43701</v>
      </c>
      <c r="B1786" s="29" t="s">
        <v>8673</v>
      </c>
      <c r="C1786" s="29" t="s">
        <v>8674</v>
      </c>
      <c r="D1786" s="34">
        <v>9982297</v>
      </c>
      <c r="E1786" s="92" t="s">
        <v>8414</v>
      </c>
      <c r="F1786" s="89" t="s">
        <v>2596</v>
      </c>
      <c r="G1786" s="29" t="s">
        <v>8411</v>
      </c>
    </row>
    <row r="1787" spans="1:7">
      <c r="A1787" s="33">
        <v>43702</v>
      </c>
      <c r="B1787" s="29" t="s">
        <v>8675</v>
      </c>
      <c r="C1787" s="29" t="s">
        <v>8676</v>
      </c>
      <c r="D1787" s="29" t="s">
        <v>8677</v>
      </c>
      <c r="E1787" s="92" t="s">
        <v>8412</v>
      </c>
      <c r="F1787" s="89" t="s">
        <v>2612</v>
      </c>
      <c r="G1787" s="29" t="s">
        <v>8678</v>
      </c>
    </row>
    <row r="1788" spans="1:7">
      <c r="A1788" s="33">
        <v>43703</v>
      </c>
      <c r="B1788" s="29" t="s">
        <v>8679</v>
      </c>
      <c r="C1788" s="29" t="s">
        <v>8680</v>
      </c>
      <c r="D1788" s="29" t="s">
        <v>8679</v>
      </c>
      <c r="E1788" s="92" t="s">
        <v>8410</v>
      </c>
      <c r="F1788" s="89" t="s">
        <v>8409</v>
      </c>
      <c r="G1788" s="29" t="s">
        <v>6787</v>
      </c>
    </row>
    <row r="1789" spans="1:7">
      <c r="A1789" s="33">
        <v>43704</v>
      </c>
      <c r="B1789" s="29" t="s">
        <v>8681</v>
      </c>
      <c r="C1789" s="29" t="s">
        <v>8682</v>
      </c>
      <c r="D1789" s="29" t="s">
        <v>8683</v>
      </c>
      <c r="E1789" s="92" t="s">
        <v>8408</v>
      </c>
      <c r="F1789" s="89" t="s">
        <v>2643</v>
      </c>
      <c r="G1789" s="29" t="s">
        <v>4957</v>
      </c>
    </row>
    <row r="1790" spans="1:7">
      <c r="A1790" s="33">
        <v>43705</v>
      </c>
      <c r="B1790" s="29" t="s">
        <v>8684</v>
      </c>
      <c r="C1790" s="29" t="s">
        <v>8685</v>
      </c>
      <c r="D1790" s="34">
        <v>9716656</v>
      </c>
      <c r="E1790" s="92" t="s">
        <v>8406</v>
      </c>
      <c r="F1790" s="89" t="s">
        <v>2674</v>
      </c>
      <c r="G1790" s="29" t="s">
        <v>8443</v>
      </c>
    </row>
    <row r="1791" spans="1:7">
      <c r="A1791" s="33">
        <v>43706</v>
      </c>
      <c r="B1791" s="34">
        <v>9756786</v>
      </c>
      <c r="C1791" s="34">
        <v>9756786</v>
      </c>
      <c r="D1791" s="29" t="s">
        <v>8686</v>
      </c>
      <c r="E1791" s="92" t="s">
        <v>8405</v>
      </c>
      <c r="F1791" s="89" t="s">
        <v>2709</v>
      </c>
      <c r="G1791" s="29" t="s">
        <v>8430</v>
      </c>
    </row>
    <row r="1792" spans="1:7">
      <c r="A1792" s="33">
        <v>43707</v>
      </c>
      <c r="B1792" s="34">
        <v>9514845</v>
      </c>
      <c r="C1792" s="34">
        <v>9656124</v>
      </c>
      <c r="D1792" s="34">
        <v>9428303</v>
      </c>
      <c r="E1792" s="92" t="s">
        <v>8404</v>
      </c>
      <c r="F1792" s="89" t="s">
        <v>2690</v>
      </c>
      <c r="G1792" s="29" t="s">
        <v>8643</v>
      </c>
    </row>
    <row r="1793" spans="1:7">
      <c r="A1793" s="33">
        <v>43708</v>
      </c>
      <c r="B1793" s="34">
        <v>9597539</v>
      </c>
      <c r="C1793" s="34">
        <v>9673221</v>
      </c>
      <c r="D1793" s="29" t="s">
        <v>8687</v>
      </c>
      <c r="E1793" s="92" t="s">
        <v>136</v>
      </c>
      <c r="F1793" s="89" t="s">
        <v>210</v>
      </c>
      <c r="G1793" s="29" t="s">
        <v>8688</v>
      </c>
    </row>
    <row r="1794" spans="1:7">
      <c r="A1794" s="33">
        <v>43709</v>
      </c>
      <c r="B1794" s="34">
        <v>9630593</v>
      </c>
      <c r="C1794" s="34">
        <v>9796756</v>
      </c>
      <c r="D1794" s="34">
        <v>9582944</v>
      </c>
      <c r="E1794" s="92" t="s">
        <v>8402</v>
      </c>
      <c r="F1794" s="89" t="s">
        <v>2624</v>
      </c>
      <c r="G1794" s="29" t="s">
        <v>8689</v>
      </c>
    </row>
    <row r="1795" spans="1:7">
      <c r="A1795" s="33">
        <v>43710</v>
      </c>
      <c r="B1795" s="34">
        <v>9757474</v>
      </c>
      <c r="C1795" s="29" t="s">
        <v>8690</v>
      </c>
      <c r="D1795" s="29" t="s">
        <v>8691</v>
      </c>
      <c r="E1795" s="92" t="s">
        <v>8399</v>
      </c>
      <c r="F1795" s="89" t="s">
        <v>8398</v>
      </c>
      <c r="G1795" s="29" t="s">
        <v>8407</v>
      </c>
    </row>
    <row r="1796" spans="1:7">
      <c r="A1796" s="33">
        <v>43711</v>
      </c>
      <c r="B1796" s="29" t="s">
        <v>8692</v>
      </c>
      <c r="C1796" s="29" t="s">
        <v>8693</v>
      </c>
      <c r="D1796" s="29" t="s">
        <v>8694</v>
      </c>
      <c r="E1796" s="92" t="s">
        <v>132</v>
      </c>
      <c r="F1796" s="89" t="s">
        <v>2705</v>
      </c>
      <c r="G1796" s="29" t="s">
        <v>8447</v>
      </c>
    </row>
    <row r="1797" spans="1:7">
      <c r="A1797" s="33">
        <v>43712</v>
      </c>
      <c r="B1797" s="29" t="s">
        <v>8695</v>
      </c>
      <c r="C1797" s="29" t="s">
        <v>8696</v>
      </c>
      <c r="D1797" s="29" t="s">
        <v>8697</v>
      </c>
      <c r="E1797" s="92" t="s">
        <v>8698</v>
      </c>
      <c r="F1797" s="89" t="s">
        <v>8395</v>
      </c>
      <c r="G1797" s="29" t="s">
        <v>6790</v>
      </c>
    </row>
    <row r="1798" spans="1:7">
      <c r="A1798" s="33">
        <v>43713</v>
      </c>
      <c r="B1798" s="29" t="s">
        <v>8699</v>
      </c>
      <c r="C1798" s="29" t="s">
        <v>8700</v>
      </c>
      <c r="D1798" s="29" t="s">
        <v>8701</v>
      </c>
      <c r="E1798" s="92" t="s">
        <v>8396</v>
      </c>
      <c r="F1798" s="89" t="s">
        <v>2670</v>
      </c>
      <c r="G1798" s="29" t="s">
        <v>4778</v>
      </c>
    </row>
    <row r="1799" spans="1:7">
      <c r="A1799" s="33">
        <v>43714</v>
      </c>
      <c r="B1799" s="29" t="s">
        <v>8702</v>
      </c>
      <c r="C1799" s="29" t="s">
        <v>8703</v>
      </c>
      <c r="D1799" s="29" t="s">
        <v>8704</v>
      </c>
      <c r="E1799" s="92" t="s">
        <v>8393</v>
      </c>
      <c r="F1799" s="89" t="s">
        <v>284</v>
      </c>
      <c r="G1799" s="29" t="s">
        <v>4969</v>
      </c>
    </row>
    <row r="1800" spans="1:7">
      <c r="A1800" s="33">
        <v>43715</v>
      </c>
      <c r="B1800" s="29" t="s">
        <v>8705</v>
      </c>
      <c r="C1800" s="29" t="s">
        <v>8706</v>
      </c>
      <c r="D1800" s="29" t="s">
        <v>8707</v>
      </c>
      <c r="E1800" s="92" t="s">
        <v>124</v>
      </c>
      <c r="F1800" s="89" t="s">
        <v>253</v>
      </c>
      <c r="G1800" s="29" t="s">
        <v>8432</v>
      </c>
    </row>
    <row r="1801" spans="1:7">
      <c r="A1801" s="33">
        <v>43716</v>
      </c>
      <c r="B1801" s="29" t="s">
        <v>8708</v>
      </c>
      <c r="C1801" s="29" t="s">
        <v>4778</v>
      </c>
      <c r="D1801" s="29" t="s">
        <v>8709</v>
      </c>
      <c r="E1801" s="92" t="s">
        <v>8390</v>
      </c>
      <c r="F1801" s="89" t="s">
        <v>2678</v>
      </c>
      <c r="G1801" s="29" t="s">
        <v>4778</v>
      </c>
    </row>
    <row r="1802" spans="1:7">
      <c r="A1802" s="33">
        <v>43717</v>
      </c>
      <c r="B1802" s="29" t="s">
        <v>8710</v>
      </c>
      <c r="C1802" s="29" t="s">
        <v>8711</v>
      </c>
      <c r="D1802" s="29" t="s">
        <v>8712</v>
      </c>
      <c r="E1802" s="92" t="s">
        <v>105</v>
      </c>
      <c r="F1802" s="89" t="s">
        <v>2713</v>
      </c>
      <c r="G1802" s="29" t="s">
        <v>8443</v>
      </c>
    </row>
    <row r="1803" spans="1:7">
      <c r="A1803" s="33">
        <v>43718</v>
      </c>
      <c r="B1803" s="29" t="s">
        <v>8713</v>
      </c>
      <c r="C1803" s="29" t="s">
        <v>8714</v>
      </c>
      <c r="D1803" s="29" t="s">
        <v>8715</v>
      </c>
      <c r="E1803" s="92" t="s">
        <v>128</v>
      </c>
      <c r="F1803" s="89" t="s">
        <v>2686</v>
      </c>
      <c r="G1803" s="29" t="s">
        <v>8716</v>
      </c>
    </row>
    <row r="1804" spans="1:7">
      <c r="A1804" s="33">
        <v>43719</v>
      </c>
      <c r="B1804" s="29" t="s">
        <v>8717</v>
      </c>
      <c r="C1804" s="29" t="s">
        <v>8718</v>
      </c>
      <c r="D1804" s="34">
        <v>9980776</v>
      </c>
      <c r="E1804" s="92" t="s">
        <v>117</v>
      </c>
      <c r="F1804" s="89" t="s">
        <v>261</v>
      </c>
      <c r="G1804" s="29" t="s">
        <v>8616</v>
      </c>
    </row>
    <row r="1805" spans="1:7">
      <c r="A1805" s="33">
        <v>43720</v>
      </c>
      <c r="B1805" s="29" t="s">
        <v>8719</v>
      </c>
      <c r="C1805" s="29" t="s">
        <v>8720</v>
      </c>
      <c r="D1805" s="29" t="s">
        <v>8721</v>
      </c>
      <c r="E1805" s="92" t="s">
        <v>8386</v>
      </c>
      <c r="F1805" s="89" t="s">
        <v>241</v>
      </c>
      <c r="G1805" s="29" t="s">
        <v>8432</v>
      </c>
    </row>
    <row r="1806" spans="1:7">
      <c r="A1806" s="33">
        <v>43721</v>
      </c>
      <c r="B1806" s="29" t="s">
        <v>8722</v>
      </c>
      <c r="C1806" s="29" t="s">
        <v>8723</v>
      </c>
      <c r="D1806" s="29" t="s">
        <v>8724</v>
      </c>
      <c r="E1806" s="92" t="s">
        <v>113</v>
      </c>
      <c r="F1806" s="89" t="s">
        <v>2620</v>
      </c>
      <c r="G1806" s="29" t="s">
        <v>8725</v>
      </c>
    </row>
    <row r="1807" spans="1:7">
      <c r="A1807" s="33">
        <v>43722</v>
      </c>
      <c r="B1807" s="29" t="s">
        <v>8726</v>
      </c>
      <c r="C1807" s="29" t="s">
        <v>8727</v>
      </c>
      <c r="D1807" s="29" t="s">
        <v>8728</v>
      </c>
      <c r="E1807" s="92" t="s">
        <v>8729</v>
      </c>
      <c r="F1807" s="89" t="s">
        <v>2317</v>
      </c>
      <c r="G1807" s="29" t="s">
        <v>6741</v>
      </c>
    </row>
    <row r="1808" spans="1:7">
      <c r="A1808" s="33">
        <v>43723</v>
      </c>
      <c r="B1808" s="29" t="s">
        <v>8730</v>
      </c>
      <c r="C1808" s="29" t="s">
        <v>8731</v>
      </c>
      <c r="D1808" s="29" t="s">
        <v>8732</v>
      </c>
      <c r="E1808" s="92" t="s">
        <v>109</v>
      </c>
      <c r="F1808" s="89" t="s">
        <v>288</v>
      </c>
      <c r="G1808" s="29" t="s">
        <v>8733</v>
      </c>
    </row>
    <row r="1809" spans="1:7">
      <c r="A1809" s="33">
        <v>43724</v>
      </c>
      <c r="B1809" s="29" t="s">
        <v>8734</v>
      </c>
      <c r="C1809" s="29" t="s">
        <v>8735</v>
      </c>
      <c r="D1809" s="29" t="s">
        <v>8736</v>
      </c>
      <c r="E1809" s="92" t="s">
        <v>8381</v>
      </c>
      <c r="F1809" s="89" t="s">
        <v>2693</v>
      </c>
      <c r="G1809" s="29" t="s">
        <v>4949</v>
      </c>
    </row>
    <row r="1810" spans="1:7">
      <c r="A1810" s="33">
        <v>43725</v>
      </c>
      <c r="B1810" s="29" t="s">
        <v>8737</v>
      </c>
      <c r="C1810" s="29" t="s">
        <v>8738</v>
      </c>
      <c r="D1810" s="29" t="s">
        <v>8739</v>
      </c>
      <c r="E1810" s="92" t="s">
        <v>8380</v>
      </c>
      <c r="F1810" s="89" t="s">
        <v>2313</v>
      </c>
      <c r="G1810" s="29" t="s">
        <v>8432</v>
      </c>
    </row>
    <row r="1811" spans="1:7">
      <c r="A1811" s="33">
        <v>43726</v>
      </c>
      <c r="B1811" s="29" t="s">
        <v>8740</v>
      </c>
      <c r="C1811" s="29" t="s">
        <v>8741</v>
      </c>
      <c r="D1811" s="29" t="s">
        <v>8742</v>
      </c>
      <c r="E1811" s="92" t="s">
        <v>8378</v>
      </c>
      <c r="F1811" s="89" t="s">
        <v>8374</v>
      </c>
      <c r="G1811" s="29" t="s">
        <v>4778</v>
      </c>
    </row>
    <row r="1812" spans="1:7">
      <c r="A1812" s="33">
        <v>43727</v>
      </c>
      <c r="B1812" s="29" t="s">
        <v>8743</v>
      </c>
      <c r="C1812" s="29" t="s">
        <v>8744</v>
      </c>
      <c r="D1812" s="34">
        <v>9851692</v>
      </c>
      <c r="E1812" s="92" t="s">
        <v>98</v>
      </c>
      <c r="F1812" s="89" t="s">
        <v>2554</v>
      </c>
      <c r="G1812" s="29" t="s">
        <v>4975</v>
      </c>
    </row>
    <row r="1813" spans="1:7">
      <c r="A1813" s="33">
        <v>43728</v>
      </c>
      <c r="B1813" s="29" t="s">
        <v>8745</v>
      </c>
      <c r="C1813" s="29" t="s">
        <v>8746</v>
      </c>
      <c r="D1813" s="29" t="s">
        <v>8747</v>
      </c>
      <c r="E1813" s="92" t="s">
        <v>101</v>
      </c>
      <c r="F1813" s="89" t="s">
        <v>2321</v>
      </c>
      <c r="G1813" s="29" t="s">
        <v>4955</v>
      </c>
    </row>
    <row r="1814" spans="1:7">
      <c r="A1814" s="33">
        <v>43729</v>
      </c>
      <c r="B1814" s="29" t="s">
        <v>8748</v>
      </c>
      <c r="C1814" s="29" t="s">
        <v>8749</v>
      </c>
      <c r="D1814" s="29" t="s">
        <v>8750</v>
      </c>
      <c r="E1814" s="92" t="s">
        <v>8372</v>
      </c>
      <c r="F1814" s="89" t="s">
        <v>2608</v>
      </c>
      <c r="G1814" s="29" t="s">
        <v>6689</v>
      </c>
    </row>
    <row r="1815" spans="1:7">
      <c r="A1815" s="33">
        <v>43730</v>
      </c>
      <c r="B1815" s="29" t="s">
        <v>8751</v>
      </c>
      <c r="C1815" s="29" t="s">
        <v>8752</v>
      </c>
      <c r="D1815" s="34">
        <v>9922533</v>
      </c>
      <c r="E1815" s="92" t="s">
        <v>93</v>
      </c>
      <c r="F1815" s="89" t="s">
        <v>2639</v>
      </c>
      <c r="G1815" s="29" t="s">
        <v>8427</v>
      </c>
    </row>
    <row r="1816" spans="1:7">
      <c r="A1816" s="33">
        <v>43731</v>
      </c>
      <c r="B1816" s="29" t="s">
        <v>8753</v>
      </c>
      <c r="C1816" s="29" t="s">
        <v>4778</v>
      </c>
      <c r="D1816" s="34">
        <v>9727144</v>
      </c>
      <c r="E1816" s="92" t="s">
        <v>8369</v>
      </c>
      <c r="F1816" s="89" t="s">
        <v>2347</v>
      </c>
      <c r="G1816" s="29" t="s">
        <v>8666</v>
      </c>
    </row>
    <row r="1817" spans="1:7">
      <c r="A1817" s="33">
        <v>43732</v>
      </c>
      <c r="B1817" s="34">
        <v>9729321</v>
      </c>
      <c r="C1817" s="34">
        <v>9804317</v>
      </c>
      <c r="D1817" s="34">
        <v>8370802</v>
      </c>
      <c r="E1817" s="92" t="s">
        <v>97</v>
      </c>
      <c r="F1817" s="89" t="s">
        <v>8754</v>
      </c>
      <c r="G1817" s="29" t="s">
        <v>8755</v>
      </c>
    </row>
    <row r="1818" spans="1:7">
      <c r="A1818" s="33">
        <v>43733</v>
      </c>
      <c r="B1818" s="34">
        <v>8603429</v>
      </c>
      <c r="C1818" s="34">
        <v>8744828</v>
      </c>
      <c r="D1818" s="34">
        <v>8325396</v>
      </c>
      <c r="E1818" s="92" t="s">
        <v>8366</v>
      </c>
      <c r="F1818" s="89" t="s">
        <v>2701</v>
      </c>
      <c r="G1818" s="29" t="s">
        <v>8756</v>
      </c>
    </row>
    <row r="1819" spans="1:7">
      <c r="A1819" s="33">
        <v>43734</v>
      </c>
      <c r="B1819" s="29" t="s">
        <v>8757</v>
      </c>
      <c r="C1819" s="34">
        <v>8515686</v>
      </c>
      <c r="D1819" s="34">
        <v>7895629</v>
      </c>
      <c r="E1819" s="92" t="s">
        <v>8360</v>
      </c>
      <c r="F1819" s="89" t="s">
        <v>257</v>
      </c>
      <c r="G1819" s="29" t="s">
        <v>8512</v>
      </c>
    </row>
    <row r="1820" spans="1:7">
      <c r="A1820" s="33">
        <v>43735</v>
      </c>
      <c r="B1820" s="34">
        <v>8113101</v>
      </c>
      <c r="C1820" s="34">
        <v>8271521</v>
      </c>
      <c r="D1820" s="34">
        <v>7965923</v>
      </c>
      <c r="E1820" s="92" t="s">
        <v>8357</v>
      </c>
      <c r="F1820" s="89" t="s">
        <v>2721</v>
      </c>
      <c r="G1820" s="29" t="s">
        <v>8758</v>
      </c>
    </row>
    <row r="1821" spans="1:7">
      <c r="A1821" s="33">
        <v>43736</v>
      </c>
      <c r="B1821" s="34">
        <v>8251273</v>
      </c>
      <c r="C1821" s="34">
        <v>8285617</v>
      </c>
      <c r="D1821" s="34">
        <v>8125432</v>
      </c>
      <c r="E1821" s="92" t="s">
        <v>8355</v>
      </c>
      <c r="F1821" s="89" t="s">
        <v>2682</v>
      </c>
      <c r="G1821" s="29" t="s">
        <v>8725</v>
      </c>
    </row>
    <row r="1822" spans="1:7">
      <c r="A1822" s="33">
        <v>43737</v>
      </c>
      <c r="B1822" s="34">
        <v>8246037</v>
      </c>
      <c r="C1822" s="34">
        <v>8261707</v>
      </c>
      <c r="D1822" s="34">
        <v>7990497</v>
      </c>
      <c r="E1822" s="92" t="s">
        <v>8353</v>
      </c>
      <c r="F1822" s="89" t="s">
        <v>2604</v>
      </c>
      <c r="G1822" s="29" t="s">
        <v>6699</v>
      </c>
    </row>
    <row r="1823" spans="1:7">
      <c r="A1823" s="33">
        <v>43738</v>
      </c>
      <c r="B1823" s="34">
        <v>8104227</v>
      </c>
      <c r="C1823" s="34">
        <v>8314231</v>
      </c>
      <c r="D1823" s="34">
        <v>7830759</v>
      </c>
      <c r="E1823" s="92" t="s">
        <v>8351</v>
      </c>
      <c r="F1823" s="89" t="s">
        <v>2662</v>
      </c>
      <c r="G1823" s="29" t="s">
        <v>8490</v>
      </c>
    </row>
    <row r="1824" spans="1:7">
      <c r="A1824" s="33">
        <v>43739</v>
      </c>
      <c r="B1824" s="34">
        <v>8299721</v>
      </c>
      <c r="C1824" s="34">
        <v>8497692</v>
      </c>
      <c r="D1824" s="29" t="s">
        <v>8759</v>
      </c>
      <c r="E1824" s="92" t="s">
        <v>8349</v>
      </c>
      <c r="F1824" s="89" t="s">
        <v>292</v>
      </c>
      <c r="G1824" s="29" t="s">
        <v>8432</v>
      </c>
    </row>
    <row r="1825" spans="1:7">
      <c r="A1825" s="33">
        <v>43740</v>
      </c>
      <c r="B1825" s="34">
        <v>8344213</v>
      </c>
      <c r="C1825" s="34">
        <v>8393042</v>
      </c>
      <c r="D1825" s="34">
        <v>8227695</v>
      </c>
      <c r="E1825" s="92" t="s">
        <v>8346</v>
      </c>
      <c r="F1825" s="89" t="s">
        <v>2588</v>
      </c>
      <c r="G1825" s="29" t="s">
        <v>6733</v>
      </c>
    </row>
    <row r="1826" spans="1:7">
      <c r="A1826" s="33">
        <v>43741</v>
      </c>
      <c r="B1826" s="34">
        <v>8390774</v>
      </c>
      <c r="C1826" s="34">
        <v>8414228</v>
      </c>
      <c r="D1826" s="34">
        <v>8146437</v>
      </c>
      <c r="E1826" s="92" t="s">
        <v>8345</v>
      </c>
      <c r="F1826" s="89" t="s">
        <v>2627</v>
      </c>
      <c r="G1826" s="29" t="s">
        <v>8415</v>
      </c>
    </row>
    <row r="1827" spans="1:7">
      <c r="A1827" s="33">
        <v>43742</v>
      </c>
      <c r="B1827" s="34">
        <v>8259494</v>
      </c>
      <c r="C1827" s="34">
        <v>8260056</v>
      </c>
      <c r="D1827" s="34">
        <v>8151237</v>
      </c>
      <c r="E1827" s="92" t="s">
        <v>8343</v>
      </c>
      <c r="F1827" s="89" t="s">
        <v>2635</v>
      </c>
      <c r="G1827" s="29" t="s">
        <v>6733</v>
      </c>
    </row>
    <row r="1828" spans="1:7">
      <c r="A1828" s="33">
        <v>43743</v>
      </c>
      <c r="B1828" s="34">
        <v>8210149</v>
      </c>
      <c r="C1828" s="34">
        <v>8215526</v>
      </c>
      <c r="D1828" s="34">
        <v>8071121</v>
      </c>
      <c r="E1828" s="92" t="s">
        <v>8341</v>
      </c>
      <c r="F1828" s="89" t="s">
        <v>245</v>
      </c>
      <c r="G1828" s="29" t="s">
        <v>6693</v>
      </c>
    </row>
    <row r="1829" spans="1:7">
      <c r="A1829" s="33">
        <v>43744</v>
      </c>
      <c r="B1829" s="34">
        <v>8149877</v>
      </c>
      <c r="C1829" s="29" t="s">
        <v>8760</v>
      </c>
      <c r="D1829" s="34">
        <v>7958851</v>
      </c>
      <c r="E1829" s="92" t="s">
        <v>5832</v>
      </c>
      <c r="F1829" s="89" t="s">
        <v>2666</v>
      </c>
      <c r="G1829" s="29" t="s">
        <v>8427</v>
      </c>
    </row>
    <row r="1830" spans="1:7">
      <c r="A1830" s="33">
        <v>43745</v>
      </c>
      <c r="B1830" s="34">
        <v>7989121</v>
      </c>
      <c r="C1830" s="29" t="s">
        <v>8761</v>
      </c>
      <c r="D1830" s="34">
        <v>7905766</v>
      </c>
      <c r="E1830" s="92" t="s">
        <v>8337</v>
      </c>
      <c r="F1830" s="89" t="s">
        <v>8340</v>
      </c>
      <c r="G1830" s="29" t="s">
        <v>6678</v>
      </c>
    </row>
    <row r="1831" spans="1:7">
      <c r="A1831" s="33">
        <v>43746</v>
      </c>
      <c r="B1831" s="29" t="s">
        <v>8762</v>
      </c>
      <c r="C1831" s="34">
        <v>8332715</v>
      </c>
      <c r="D1831" s="34">
        <v>8185763</v>
      </c>
      <c r="E1831" s="92" t="s">
        <v>8335</v>
      </c>
      <c r="F1831" s="89" t="s">
        <v>2592</v>
      </c>
      <c r="G1831" s="29" t="s">
        <v>8497</v>
      </c>
    </row>
    <row r="1832" spans="1:7">
      <c r="A1832" s="33">
        <v>43747</v>
      </c>
      <c r="B1832" s="34">
        <v>8229841</v>
      </c>
      <c r="C1832" s="34">
        <v>8627706</v>
      </c>
      <c r="D1832" s="34">
        <v>8169299</v>
      </c>
      <c r="E1832" s="92" t="s">
        <v>8333</v>
      </c>
      <c r="F1832" s="89" t="s">
        <v>2658</v>
      </c>
      <c r="G1832" s="29" t="s">
        <v>8447</v>
      </c>
    </row>
    <row r="1833" spans="1:7">
      <c r="A1833" s="33">
        <v>43748</v>
      </c>
      <c r="B1833" s="29" t="s">
        <v>8763</v>
      </c>
      <c r="C1833" s="34">
        <v>8625272</v>
      </c>
      <c r="D1833" s="34">
        <v>8471934</v>
      </c>
      <c r="E1833" s="92" t="s">
        <v>8331</v>
      </c>
      <c r="F1833" s="89" t="s">
        <v>2697</v>
      </c>
      <c r="G1833" s="29" t="s">
        <v>8443</v>
      </c>
    </row>
    <row r="1834" spans="1:7">
      <c r="A1834" s="33">
        <v>43749</v>
      </c>
      <c r="B1834" s="34">
        <v>8585263</v>
      </c>
      <c r="C1834" s="29" t="s">
        <v>8764</v>
      </c>
      <c r="D1834" s="34">
        <v>8316182</v>
      </c>
      <c r="E1834" s="92" t="s">
        <v>8329</v>
      </c>
      <c r="F1834" s="89" t="s">
        <v>2717</v>
      </c>
      <c r="G1834" s="29" t="s">
        <v>8765</v>
      </c>
    </row>
    <row r="1835" spans="1:7">
      <c r="A1835" s="33">
        <v>43750</v>
      </c>
      <c r="B1835" s="34">
        <v>8315665</v>
      </c>
      <c r="C1835" s="34">
        <v>8415242</v>
      </c>
      <c r="D1835" s="34">
        <v>8313341</v>
      </c>
      <c r="E1835" s="92" t="s">
        <v>5652</v>
      </c>
      <c r="F1835" s="89" t="s">
        <v>2631</v>
      </c>
      <c r="G1835" s="29" t="s">
        <v>4947</v>
      </c>
    </row>
    <row r="1836" spans="1:7">
      <c r="A1836" s="33">
        <v>43751</v>
      </c>
      <c r="B1836" s="34">
        <v>8336902</v>
      </c>
      <c r="C1836" s="34">
        <v>8470988</v>
      </c>
      <c r="D1836" s="34">
        <v>8276612</v>
      </c>
      <c r="E1836" s="92" t="s">
        <v>8326</v>
      </c>
      <c r="F1836" s="89" t="s">
        <v>8766</v>
      </c>
      <c r="G1836" s="29" t="s">
        <v>6703</v>
      </c>
    </row>
    <row r="1837" spans="1:7">
      <c r="A1837" s="33">
        <v>43752</v>
      </c>
      <c r="B1837" s="34">
        <v>8320832</v>
      </c>
      <c r="C1837" s="34">
        <v>8390209</v>
      </c>
      <c r="D1837" s="34">
        <v>8284131</v>
      </c>
      <c r="E1837" s="92" t="s">
        <v>8325</v>
      </c>
      <c r="F1837" s="89" t="s">
        <v>2647</v>
      </c>
      <c r="G1837" s="29" t="s">
        <v>4949</v>
      </c>
    </row>
    <row r="1838" spans="1:7">
      <c r="A1838" s="33">
        <v>43753</v>
      </c>
      <c r="B1838" s="34">
        <v>8373458</v>
      </c>
      <c r="C1838" s="34">
        <v>8410715</v>
      </c>
      <c r="D1838" s="34">
        <v>8182707</v>
      </c>
      <c r="E1838" s="92" t="s">
        <v>8323</v>
      </c>
      <c r="F1838" s="89" t="s">
        <v>233</v>
      </c>
      <c r="G1838" s="29" t="s">
        <v>4949</v>
      </c>
    </row>
    <row r="1839" spans="1:7">
      <c r="A1839" s="33">
        <v>43754</v>
      </c>
      <c r="B1839" s="34">
        <v>8204675</v>
      </c>
      <c r="C1839" s="34">
        <v>8216813</v>
      </c>
      <c r="D1839" s="29" t="s">
        <v>8767</v>
      </c>
      <c r="E1839" s="92" t="s">
        <v>8321</v>
      </c>
      <c r="F1839" s="89" t="s">
        <v>2578</v>
      </c>
      <c r="G1839" s="29" t="s">
        <v>8768</v>
      </c>
    </row>
    <row r="1840" spans="1:7">
      <c r="A1840" s="33">
        <v>43755</v>
      </c>
      <c r="B1840" s="34">
        <v>8047813</v>
      </c>
      <c r="C1840" s="34">
        <v>8134832</v>
      </c>
      <c r="D1840" s="34">
        <v>8000943</v>
      </c>
      <c r="E1840" s="92" t="s">
        <v>8319</v>
      </c>
      <c r="F1840" s="89" t="s">
        <v>2582</v>
      </c>
      <c r="G1840" s="29" t="s">
        <v>6707</v>
      </c>
    </row>
    <row r="1841" spans="1:7">
      <c r="A1841" s="33">
        <v>43756</v>
      </c>
      <c r="B1841" s="34">
        <v>8100934</v>
      </c>
      <c r="C1841" s="34">
        <v>8138414</v>
      </c>
      <c r="D1841" s="34">
        <v>7902164</v>
      </c>
      <c r="E1841" s="92" t="s">
        <v>8316</v>
      </c>
      <c r="F1841" s="89" t="s">
        <v>2309</v>
      </c>
      <c r="G1841" s="29" t="s">
        <v>4953</v>
      </c>
    </row>
    <row r="1842" spans="1:7">
      <c r="A1842" s="33">
        <v>43757</v>
      </c>
      <c r="B1842" s="34">
        <v>7973804</v>
      </c>
      <c r="C1842" s="34">
        <v>8082629</v>
      </c>
      <c r="D1842" s="34">
        <v>7944777</v>
      </c>
      <c r="E1842" s="92" t="s">
        <v>8314</v>
      </c>
      <c r="F1842" s="89" t="s">
        <v>2523</v>
      </c>
      <c r="G1842" s="29" t="s">
        <v>4778</v>
      </c>
    </row>
    <row r="1843" spans="1:7">
      <c r="A1843" s="33">
        <v>43758</v>
      </c>
      <c r="B1843" s="34">
        <v>7997807</v>
      </c>
      <c r="C1843" s="34">
        <v>8281818</v>
      </c>
      <c r="D1843" s="34">
        <v>7949439</v>
      </c>
      <c r="E1843" s="92" t="s">
        <v>8312</v>
      </c>
      <c r="F1843" s="89" t="s">
        <v>2546</v>
      </c>
      <c r="G1843" s="29" t="s">
        <v>8411</v>
      </c>
    </row>
    <row r="1844" spans="1:7">
      <c r="A1844" s="33">
        <v>43759</v>
      </c>
      <c r="B1844" s="34">
        <v>8225115</v>
      </c>
      <c r="C1844" s="34">
        <v>8296694</v>
      </c>
      <c r="D1844" s="34">
        <v>8196416</v>
      </c>
      <c r="E1844" s="92" t="s">
        <v>8310</v>
      </c>
      <c r="F1844" s="89" t="s">
        <v>2538</v>
      </c>
      <c r="G1844" s="29" t="s">
        <v>6783</v>
      </c>
    </row>
    <row r="1845" spans="1:7">
      <c r="A1845" s="33">
        <v>43760</v>
      </c>
      <c r="B1845" s="34">
        <v>8243402</v>
      </c>
      <c r="C1845" s="34">
        <v>8296651</v>
      </c>
      <c r="D1845" s="34">
        <v>8074463</v>
      </c>
      <c r="E1845" s="92" t="s">
        <v>8308</v>
      </c>
      <c r="F1845" s="89" t="s">
        <v>8311</v>
      </c>
      <c r="G1845" s="29" t="s">
        <v>6763</v>
      </c>
    </row>
    <row r="1846" spans="1:7">
      <c r="A1846" s="33">
        <v>43761</v>
      </c>
      <c r="B1846" s="34">
        <v>8076229</v>
      </c>
      <c r="C1846" s="29">
        <v>8093</v>
      </c>
      <c r="D1846" s="34">
        <v>7469323</v>
      </c>
      <c r="E1846" s="92" t="s">
        <v>8306</v>
      </c>
      <c r="F1846" s="89" t="s">
        <v>8309</v>
      </c>
      <c r="G1846" s="29" t="s">
        <v>4967</v>
      </c>
    </row>
    <row r="1847" spans="1:7">
      <c r="A1847" s="33">
        <v>43762</v>
      </c>
      <c r="B1847" s="34">
        <v>7509728</v>
      </c>
      <c r="C1847" s="34">
        <v>7532868</v>
      </c>
      <c r="D1847" s="34">
        <v>7446989</v>
      </c>
      <c r="E1847" s="92" t="s">
        <v>8303</v>
      </c>
      <c r="F1847" s="89" t="s">
        <v>3018</v>
      </c>
      <c r="G1847" s="29" t="s">
        <v>8598</v>
      </c>
    </row>
    <row r="1848" spans="1:7">
      <c r="A1848" s="33">
        <v>43763</v>
      </c>
      <c r="B1848" s="34">
        <v>7490703</v>
      </c>
      <c r="C1848" s="29" t="s">
        <v>8769</v>
      </c>
      <c r="D1848" s="34">
        <v>7479984</v>
      </c>
      <c r="E1848" s="92" t="s">
        <v>8302</v>
      </c>
      <c r="F1848" s="89" t="s">
        <v>2534</v>
      </c>
      <c r="G1848" s="29" t="s">
        <v>8452</v>
      </c>
    </row>
    <row r="1849" spans="1:7">
      <c r="A1849" s="33">
        <v>43764</v>
      </c>
      <c r="B1849" s="34">
        <v>8667577</v>
      </c>
      <c r="C1849" s="29" t="s">
        <v>8770</v>
      </c>
      <c r="D1849" s="34">
        <v>8662622</v>
      </c>
      <c r="E1849" s="92" t="s">
        <v>8301</v>
      </c>
      <c r="F1849" s="89" t="s">
        <v>2343</v>
      </c>
      <c r="G1849" s="29" t="s">
        <v>8771</v>
      </c>
    </row>
    <row r="1850" spans="1:7">
      <c r="A1850" s="33">
        <v>43765</v>
      </c>
      <c r="B1850" s="34">
        <v>9241707</v>
      </c>
      <c r="C1850" s="34">
        <v>9749529</v>
      </c>
      <c r="D1850" s="34">
        <v>9112542</v>
      </c>
      <c r="E1850" s="92" t="s">
        <v>8299</v>
      </c>
      <c r="F1850" s="89" t="s">
        <v>8300</v>
      </c>
      <c r="G1850" s="29" t="s">
        <v>8772</v>
      </c>
    </row>
    <row r="1851" spans="1:7">
      <c r="A1851" s="33">
        <v>43766</v>
      </c>
      <c r="B1851" s="34">
        <v>9565102</v>
      </c>
      <c r="C1851" s="34">
        <v>9805118</v>
      </c>
      <c r="D1851" s="34">
        <v>9256148</v>
      </c>
      <c r="E1851" s="92" t="s">
        <v>8298</v>
      </c>
      <c r="F1851" s="89" t="s">
        <v>2542</v>
      </c>
      <c r="G1851" s="29" t="s">
        <v>8773</v>
      </c>
    </row>
    <row r="1852" spans="1:7">
      <c r="A1852" s="33">
        <v>43767</v>
      </c>
      <c r="B1852" s="29" t="s">
        <v>8774</v>
      </c>
      <c r="C1852" s="34">
        <v>9516181</v>
      </c>
      <c r="D1852" s="34">
        <v>9232648</v>
      </c>
      <c r="E1852" s="92" t="s">
        <v>89</v>
      </c>
      <c r="F1852" s="89" t="s">
        <v>2277</v>
      </c>
      <c r="G1852" s="29" t="s">
        <v>8775</v>
      </c>
    </row>
    <row r="1853" spans="1:7">
      <c r="A1853" s="33">
        <v>43768</v>
      </c>
      <c r="B1853" s="34">
        <v>9422463</v>
      </c>
      <c r="C1853" s="34">
        <v>9426874</v>
      </c>
      <c r="D1853" s="29" t="s">
        <v>8776</v>
      </c>
      <c r="E1853" s="92" t="s">
        <v>8297</v>
      </c>
      <c r="F1853" s="89" t="s">
        <v>2515</v>
      </c>
      <c r="G1853" s="29" t="s">
        <v>8777</v>
      </c>
    </row>
    <row r="1854" spans="1:7">
      <c r="A1854" s="33">
        <v>43769</v>
      </c>
      <c r="B1854" s="34">
        <v>9202458</v>
      </c>
      <c r="C1854" s="29" t="s">
        <v>4778</v>
      </c>
      <c r="D1854" s="34">
        <v>9028718</v>
      </c>
      <c r="E1854" s="92" t="s">
        <v>8294</v>
      </c>
      <c r="F1854" s="89" t="s">
        <v>2526</v>
      </c>
      <c r="G1854" s="29" t="s">
        <v>8778</v>
      </c>
    </row>
    <row r="1855" spans="1:7">
      <c r="A1855" s="33">
        <v>43770</v>
      </c>
      <c r="B1855" s="34">
        <v>9193992</v>
      </c>
      <c r="C1855" s="34">
        <v>9275657</v>
      </c>
      <c r="D1855" s="34">
        <v>9132048</v>
      </c>
      <c r="E1855" s="92" t="s">
        <v>8291</v>
      </c>
      <c r="F1855" s="89" t="s">
        <v>8293</v>
      </c>
      <c r="G1855" s="29" t="s">
        <v>8779</v>
      </c>
    </row>
    <row r="1856" spans="1:7">
      <c r="A1856" s="33">
        <v>43771</v>
      </c>
      <c r="B1856" s="34">
        <v>9259783</v>
      </c>
      <c r="C1856" s="34">
        <v>9377486</v>
      </c>
      <c r="D1856" s="34">
        <v>9249588</v>
      </c>
      <c r="E1856" s="92" t="s">
        <v>8289</v>
      </c>
      <c r="F1856" s="89" t="s">
        <v>2305</v>
      </c>
      <c r="G1856" s="29" t="s">
        <v>8780</v>
      </c>
    </row>
    <row r="1857" spans="1:7">
      <c r="A1857" s="33">
        <v>43772</v>
      </c>
      <c r="B1857" s="34">
        <v>9324787</v>
      </c>
      <c r="C1857" s="34">
        <v>9379807</v>
      </c>
      <c r="D1857" s="34">
        <v>9141252</v>
      </c>
      <c r="E1857" s="92" t="s">
        <v>8288</v>
      </c>
      <c r="F1857" s="89" t="s">
        <v>2530</v>
      </c>
      <c r="G1857" s="29" t="s">
        <v>6682</v>
      </c>
    </row>
    <row r="1858" spans="1:7">
      <c r="A1858" s="33">
        <v>43773</v>
      </c>
      <c r="B1858" s="34">
        <v>9235607</v>
      </c>
      <c r="C1858" s="34">
        <v>9505052</v>
      </c>
      <c r="D1858" s="34">
        <v>9191485</v>
      </c>
      <c r="E1858" s="92" t="s">
        <v>8286</v>
      </c>
      <c r="F1858" s="89" t="s">
        <v>2585</v>
      </c>
      <c r="G1858" s="29" t="s">
        <v>8781</v>
      </c>
    </row>
    <row r="1859" spans="1:7">
      <c r="A1859" s="33">
        <v>43774</v>
      </c>
      <c r="B1859" s="34">
        <v>9413005</v>
      </c>
      <c r="C1859" s="34">
        <v>9457418</v>
      </c>
      <c r="D1859" s="34">
        <v>9256932</v>
      </c>
      <c r="E1859" s="92" t="s">
        <v>8283</v>
      </c>
      <c r="F1859" s="89" t="s">
        <v>2753</v>
      </c>
      <c r="G1859" s="29" t="s">
        <v>8781</v>
      </c>
    </row>
    <row r="1860" spans="1:7">
      <c r="A1860" s="33">
        <v>43775</v>
      </c>
      <c r="B1860" s="34">
        <v>9340864</v>
      </c>
      <c r="C1860" s="34">
        <v>9423237</v>
      </c>
      <c r="D1860" s="34">
        <v>9305909</v>
      </c>
      <c r="E1860" s="92" t="s">
        <v>8281</v>
      </c>
      <c r="F1860" s="89" t="s">
        <v>2654</v>
      </c>
      <c r="G1860" s="29" t="s">
        <v>8782</v>
      </c>
    </row>
    <row r="1861" spans="1:7">
      <c r="A1861" s="33">
        <v>43776</v>
      </c>
      <c r="B1861" s="34">
        <v>9352394</v>
      </c>
      <c r="C1861" s="34">
        <v>9368477</v>
      </c>
      <c r="D1861" s="34">
        <v>9202354</v>
      </c>
      <c r="E1861" s="92" t="s">
        <v>8279</v>
      </c>
      <c r="F1861" s="89" t="s">
        <v>3224</v>
      </c>
      <c r="G1861" s="29" t="s">
        <v>8783</v>
      </c>
    </row>
    <row r="1862" spans="1:7">
      <c r="A1862" s="33">
        <v>43777</v>
      </c>
      <c r="B1862" s="34">
        <v>9265368</v>
      </c>
      <c r="C1862" s="29" t="s">
        <v>8784</v>
      </c>
      <c r="D1862" s="34">
        <v>8775534</v>
      </c>
      <c r="E1862" s="92" t="s">
        <v>8278</v>
      </c>
      <c r="F1862" s="89" t="s">
        <v>8785</v>
      </c>
      <c r="G1862" s="29" t="s">
        <v>8779</v>
      </c>
    </row>
    <row r="1863" spans="1:7">
      <c r="A1863" s="33">
        <v>43778</v>
      </c>
      <c r="B1863" s="34">
        <v>8809469</v>
      </c>
      <c r="C1863" s="34">
        <v>8891818</v>
      </c>
      <c r="D1863" s="34">
        <v>8793163</v>
      </c>
      <c r="E1863" s="92" t="s">
        <v>8275</v>
      </c>
      <c r="F1863" s="89" t="s">
        <v>2757</v>
      </c>
      <c r="G1863" s="29" t="s">
        <v>8443</v>
      </c>
    </row>
    <row r="1864" spans="1:7">
      <c r="A1864" s="33">
        <v>43779</v>
      </c>
      <c r="B1864" s="34">
        <v>8812489</v>
      </c>
      <c r="C1864" s="34">
        <v>9103826</v>
      </c>
      <c r="D1864" s="34">
        <v>8806162</v>
      </c>
      <c r="E1864" s="92" t="s">
        <v>8272</v>
      </c>
      <c r="F1864" s="89" t="s">
        <v>8786</v>
      </c>
      <c r="G1864" s="29" t="s">
        <v>8501</v>
      </c>
    </row>
    <row r="1865" spans="1:7">
      <c r="A1865" s="33">
        <v>43780</v>
      </c>
      <c r="B1865" s="34">
        <v>9056918</v>
      </c>
      <c r="C1865" s="34">
        <v>9081279</v>
      </c>
      <c r="D1865" s="34">
        <v>8700608</v>
      </c>
      <c r="E1865" s="92" t="s">
        <v>8271</v>
      </c>
      <c r="F1865" s="89" t="s">
        <v>8277</v>
      </c>
      <c r="G1865" s="29" t="s">
        <v>8481</v>
      </c>
    </row>
    <row r="1866" spans="1:7">
      <c r="A1866" s="33">
        <v>43781</v>
      </c>
      <c r="B1866" s="34">
        <v>8759752</v>
      </c>
      <c r="C1866" s="34">
        <v>8853769</v>
      </c>
      <c r="D1866" s="34">
        <v>8685428</v>
      </c>
      <c r="E1866" s="92" t="s">
        <v>8270</v>
      </c>
      <c r="F1866" s="89" t="s">
        <v>2574</v>
      </c>
      <c r="G1866" s="29" t="s">
        <v>8481</v>
      </c>
    </row>
    <row r="1867" spans="1:7">
      <c r="A1867" s="33">
        <v>43782</v>
      </c>
      <c r="B1867" s="34">
        <v>8812033</v>
      </c>
      <c r="C1867" s="34">
        <v>8836842</v>
      </c>
      <c r="D1867" s="34">
        <v>8761651</v>
      </c>
      <c r="E1867" s="92" t="s">
        <v>8266</v>
      </c>
      <c r="F1867" s="89" t="s">
        <v>2511</v>
      </c>
      <c r="G1867" s="29" t="s">
        <v>8612</v>
      </c>
    </row>
    <row r="1868" spans="1:7">
      <c r="A1868" s="33">
        <v>43783</v>
      </c>
      <c r="B1868" s="34">
        <v>8811937</v>
      </c>
      <c r="C1868" s="34">
        <v>8826943</v>
      </c>
      <c r="D1868" s="34">
        <v>8692552</v>
      </c>
      <c r="E1868" s="92" t="s">
        <v>8266</v>
      </c>
      <c r="F1868" s="89" t="s">
        <v>2301</v>
      </c>
      <c r="G1868" s="29" t="s">
        <v>8787</v>
      </c>
    </row>
    <row r="1869" spans="1:7">
      <c r="A1869" s="33">
        <v>43784</v>
      </c>
      <c r="B1869" s="34">
        <v>8705708</v>
      </c>
      <c r="C1869" s="34">
        <v>8730873</v>
      </c>
      <c r="D1869" s="34">
        <v>8484844</v>
      </c>
      <c r="E1869" s="92" t="s">
        <v>8265</v>
      </c>
      <c r="F1869" s="89" t="s">
        <v>2729</v>
      </c>
      <c r="G1869" s="29" t="s">
        <v>6771</v>
      </c>
    </row>
    <row r="1870" spans="1:7">
      <c r="A1870" s="33">
        <v>43785</v>
      </c>
      <c r="B1870" s="34">
        <v>8491166</v>
      </c>
      <c r="C1870" s="29" t="s">
        <v>4778</v>
      </c>
      <c r="D1870" s="34">
        <v>8473974</v>
      </c>
      <c r="E1870" s="92" t="s">
        <v>8261</v>
      </c>
      <c r="F1870" s="89" t="s">
        <v>8268</v>
      </c>
      <c r="G1870" s="29" t="s">
        <v>6726</v>
      </c>
    </row>
    <row r="1871" spans="1:7">
      <c r="A1871" s="33">
        <v>43786</v>
      </c>
      <c r="B1871" s="34">
        <v>8549471</v>
      </c>
      <c r="C1871" s="34">
        <v>8727789</v>
      </c>
      <c r="D1871" s="34">
        <v>8500968</v>
      </c>
      <c r="E1871" s="92" t="s">
        <v>8260</v>
      </c>
      <c r="F1871" s="89" t="s">
        <v>2519</v>
      </c>
      <c r="G1871" s="29" t="s">
        <v>8441</v>
      </c>
    </row>
    <row r="1872" spans="1:7">
      <c r="A1872" s="33">
        <v>43787</v>
      </c>
      <c r="B1872" s="29" t="s">
        <v>8788</v>
      </c>
      <c r="C1872" s="29" t="s">
        <v>4778</v>
      </c>
      <c r="D1872" s="34">
        <v>8273573</v>
      </c>
      <c r="E1872" s="92" t="s">
        <v>8257</v>
      </c>
      <c r="F1872" s="89" t="s">
        <v>2650</v>
      </c>
      <c r="G1872" s="29" t="s">
        <v>8789</v>
      </c>
    </row>
    <row r="1873" spans="1:7">
      <c r="A1873" s="33">
        <v>43788</v>
      </c>
      <c r="B1873" s="34">
        <v>8305135</v>
      </c>
      <c r="C1873" s="34">
        <v>8408517</v>
      </c>
      <c r="D1873" s="34">
        <v>8099963</v>
      </c>
      <c r="E1873" s="92" t="s">
        <v>8256</v>
      </c>
      <c r="F1873" s="89" t="s">
        <v>3220</v>
      </c>
      <c r="G1873" s="29" t="s">
        <v>6682</v>
      </c>
    </row>
    <row r="1874" spans="1:7">
      <c r="A1874" s="33">
        <v>43789</v>
      </c>
      <c r="B1874" s="34">
        <v>8203613</v>
      </c>
      <c r="C1874" s="29" t="s">
        <v>8790</v>
      </c>
      <c r="D1874" s="34">
        <v>8010512</v>
      </c>
      <c r="E1874" s="92" t="s">
        <v>8254</v>
      </c>
      <c r="F1874" s="89" t="s">
        <v>8259</v>
      </c>
      <c r="G1874" s="29" t="s">
        <v>8791</v>
      </c>
    </row>
    <row r="1875" spans="1:7">
      <c r="A1875" s="33">
        <v>43790</v>
      </c>
      <c r="B1875" s="34">
        <v>8023645</v>
      </c>
      <c r="C1875" s="34">
        <v>8110098</v>
      </c>
      <c r="D1875" s="34">
        <v>7597382</v>
      </c>
      <c r="E1875" s="92" t="s">
        <v>8251</v>
      </c>
      <c r="F1875" s="89" t="s">
        <v>2261</v>
      </c>
      <c r="G1875" s="29" t="s">
        <v>8480</v>
      </c>
    </row>
    <row r="1876" spans="1:7">
      <c r="A1876" s="33">
        <v>43791</v>
      </c>
      <c r="B1876" s="34">
        <v>7643569</v>
      </c>
      <c r="C1876" s="34">
        <v>7697383</v>
      </c>
      <c r="D1876" s="34">
        <v>6936707</v>
      </c>
      <c r="E1876" s="92" t="s">
        <v>8249</v>
      </c>
      <c r="F1876" s="89" t="s">
        <v>8255</v>
      </c>
      <c r="G1876" s="29" t="s">
        <v>8792</v>
      </c>
    </row>
    <row r="1877" spans="1:7">
      <c r="A1877" s="33">
        <v>43792</v>
      </c>
      <c r="B1877" s="34">
        <v>7296165</v>
      </c>
      <c r="C1877" s="34">
        <v>7442259</v>
      </c>
      <c r="D1877" s="34">
        <v>7151418</v>
      </c>
      <c r="E1877" s="92" t="s">
        <v>8246</v>
      </c>
      <c r="F1877" s="89" t="s">
        <v>2265</v>
      </c>
      <c r="G1877" s="29" t="s">
        <v>8508</v>
      </c>
    </row>
    <row r="1878" spans="1:7">
      <c r="A1878" s="33">
        <v>43793</v>
      </c>
      <c r="B1878" s="34">
        <v>7398634</v>
      </c>
      <c r="C1878" s="34">
        <v>7408577</v>
      </c>
      <c r="D1878" s="34">
        <v>7029289</v>
      </c>
      <c r="E1878" s="92" t="s">
        <v>8245</v>
      </c>
      <c r="F1878" s="89" t="s">
        <v>2749</v>
      </c>
      <c r="G1878" s="29" t="s">
        <v>8793</v>
      </c>
    </row>
    <row r="1879" spans="1:7">
      <c r="A1879" s="33">
        <v>43794</v>
      </c>
      <c r="B1879" s="34">
        <v>7039977</v>
      </c>
      <c r="C1879" s="34">
        <v>7319857</v>
      </c>
      <c r="D1879" s="34">
        <v>6617167</v>
      </c>
      <c r="E1879" s="92" t="s">
        <v>8244</v>
      </c>
      <c r="F1879" s="89" t="s">
        <v>2745</v>
      </c>
      <c r="G1879" s="29" t="s">
        <v>8794</v>
      </c>
    </row>
    <row r="1880" spans="1:7">
      <c r="A1880" s="33">
        <v>43795</v>
      </c>
      <c r="B1880" s="34">
        <v>7145159</v>
      </c>
      <c r="C1880" s="29" t="s">
        <v>8795</v>
      </c>
      <c r="D1880" s="34">
        <v>7098572</v>
      </c>
      <c r="E1880" s="92" t="s">
        <v>8242</v>
      </c>
      <c r="F1880" s="89" t="s">
        <v>2325</v>
      </c>
      <c r="G1880" s="29" t="s">
        <v>6682</v>
      </c>
    </row>
    <row r="1881" spans="1:7">
      <c r="A1881" s="33">
        <v>43796</v>
      </c>
      <c r="B1881" s="34">
        <v>7220881</v>
      </c>
      <c r="C1881" s="34">
        <v>7619693</v>
      </c>
      <c r="D1881" s="34">
        <v>6974174</v>
      </c>
      <c r="E1881" s="92" t="s">
        <v>85</v>
      </c>
      <c r="F1881" s="89" t="s">
        <v>2269</v>
      </c>
      <c r="G1881" s="29" t="s">
        <v>8796</v>
      </c>
    </row>
    <row r="1882" spans="1:7">
      <c r="A1882" s="33">
        <v>43797</v>
      </c>
      <c r="B1882" s="29" t="s">
        <v>8797</v>
      </c>
      <c r="C1882" s="34">
        <v>7730073</v>
      </c>
      <c r="D1882" s="34">
        <v>7454122</v>
      </c>
      <c r="E1882" s="92" t="s">
        <v>8240</v>
      </c>
      <c r="F1882" s="89" t="s">
        <v>2351</v>
      </c>
      <c r="G1882" s="29" t="s">
        <v>8787</v>
      </c>
    </row>
    <row r="1883" spans="1:7">
      <c r="A1883" s="33">
        <v>43798</v>
      </c>
      <c r="B1883" s="34">
        <v>7466727</v>
      </c>
      <c r="C1883" s="29" t="s">
        <v>8798</v>
      </c>
      <c r="D1883" s="34">
        <v>7460756</v>
      </c>
      <c r="E1883" s="92" t="s">
        <v>8238</v>
      </c>
      <c r="F1883" s="89" t="s">
        <v>2733</v>
      </c>
      <c r="G1883" s="29" t="s">
        <v>8799</v>
      </c>
    </row>
    <row r="1884" spans="1:7">
      <c r="A1884" s="33">
        <v>43799</v>
      </c>
      <c r="B1884" s="34">
        <v>7764057</v>
      </c>
      <c r="C1884" s="34">
        <v>7836102</v>
      </c>
      <c r="D1884" s="29" t="s">
        <v>8800</v>
      </c>
      <c r="E1884" s="92" t="s">
        <v>8236</v>
      </c>
      <c r="F1884" s="89" t="s">
        <v>8801</v>
      </c>
      <c r="G1884" s="29" t="s">
        <v>8407</v>
      </c>
    </row>
    <row r="1885" spans="1:7">
      <c r="A1885" s="33">
        <v>43800</v>
      </c>
      <c r="B1885" s="34">
        <v>7571616</v>
      </c>
      <c r="C1885" s="34">
        <v>7571616</v>
      </c>
      <c r="D1885" s="34">
        <v>7291342</v>
      </c>
      <c r="E1885" s="92" t="s">
        <v>8235</v>
      </c>
      <c r="F1885" s="89" t="s">
        <v>2773</v>
      </c>
      <c r="G1885" s="29" t="s">
        <v>8441</v>
      </c>
    </row>
    <row r="1886" spans="1:7">
      <c r="A1886" s="33">
        <v>43801</v>
      </c>
      <c r="B1886" s="34">
        <v>7424036</v>
      </c>
      <c r="C1886" s="34">
        <v>7474819</v>
      </c>
      <c r="D1886" s="34">
        <v>7233399</v>
      </c>
      <c r="E1886" s="92" t="s">
        <v>8233</v>
      </c>
      <c r="F1886" s="89" t="s">
        <v>3228</v>
      </c>
      <c r="G1886" s="29" t="s">
        <v>8490</v>
      </c>
    </row>
    <row r="1887" spans="1:7">
      <c r="A1887" s="33">
        <v>43802</v>
      </c>
      <c r="B1887" s="34">
        <v>7323976</v>
      </c>
      <c r="C1887" s="34">
        <v>7418859</v>
      </c>
      <c r="D1887" s="34">
        <v>7229357</v>
      </c>
      <c r="E1887" s="92" t="s">
        <v>8232</v>
      </c>
      <c r="F1887" s="89" t="s">
        <v>2741</v>
      </c>
      <c r="G1887" s="29" t="s">
        <v>4957</v>
      </c>
    </row>
    <row r="1888" spans="1:7">
      <c r="A1888" s="33">
        <v>43803</v>
      </c>
      <c r="B1888" s="34">
        <v>7320125</v>
      </c>
      <c r="C1888" s="34">
        <v>7539785</v>
      </c>
      <c r="D1888" s="34">
        <v>7170923</v>
      </c>
      <c r="E1888" s="92" t="s">
        <v>8230</v>
      </c>
      <c r="F1888" s="89" t="s">
        <v>3038</v>
      </c>
      <c r="G1888" s="29" t="s">
        <v>8756</v>
      </c>
    </row>
    <row r="1889" spans="1:7">
      <c r="A1889" s="33">
        <v>43804</v>
      </c>
      <c r="B1889" s="34">
        <v>7253242</v>
      </c>
      <c r="C1889" s="34">
        <v>7743432</v>
      </c>
      <c r="D1889" s="34">
        <v>7232677</v>
      </c>
      <c r="E1889" s="92" t="s">
        <v>8229</v>
      </c>
      <c r="F1889" s="89" t="s">
        <v>2273</v>
      </c>
      <c r="G1889" s="29" t="s">
        <v>6818</v>
      </c>
    </row>
    <row r="1890" spans="1:7">
      <c r="A1890" s="33">
        <v>43805</v>
      </c>
      <c r="B1890" s="34">
        <v>7450562</v>
      </c>
      <c r="C1890" s="29" t="s">
        <v>4778</v>
      </c>
      <c r="D1890" s="34">
        <v>7392175</v>
      </c>
      <c r="E1890" s="92" t="s">
        <v>8228</v>
      </c>
      <c r="F1890" s="89" t="s">
        <v>2297</v>
      </c>
      <c r="G1890" s="29" t="s">
        <v>4778</v>
      </c>
    </row>
    <row r="1891" spans="1:7">
      <c r="A1891" s="33">
        <v>43806</v>
      </c>
      <c r="B1891" s="34">
        <v>7547266</v>
      </c>
      <c r="C1891" s="34">
        <v>7589952</v>
      </c>
      <c r="D1891" s="34">
        <v>7525711</v>
      </c>
      <c r="E1891" s="92" t="s">
        <v>8227</v>
      </c>
      <c r="F1891" s="89" t="s">
        <v>2725</v>
      </c>
      <c r="G1891" s="29" t="s">
        <v>8411</v>
      </c>
    </row>
    <row r="1892" spans="1:7">
      <c r="A1892" s="33">
        <v>43807</v>
      </c>
      <c r="B1892" s="34">
        <v>7551339</v>
      </c>
      <c r="C1892" s="34">
        <v>7634606</v>
      </c>
      <c r="D1892" s="34">
        <v>7476091</v>
      </c>
      <c r="E1892" s="92" t="s">
        <v>6666</v>
      </c>
      <c r="F1892" s="89" t="s">
        <v>2363</v>
      </c>
      <c r="G1892" s="29" t="s">
        <v>8616</v>
      </c>
    </row>
    <row r="1893" spans="1:7">
      <c r="A1893" s="33">
        <v>43808</v>
      </c>
      <c r="B1893" s="34">
        <v>7561795</v>
      </c>
      <c r="C1893" s="34">
        <v>7618092</v>
      </c>
      <c r="D1893" s="34">
        <v>7365985</v>
      </c>
      <c r="E1893" s="92" t="s">
        <v>8223</v>
      </c>
      <c r="F1893" s="89" t="s">
        <v>2737</v>
      </c>
      <c r="G1893" s="29" t="s">
        <v>8600</v>
      </c>
    </row>
    <row r="1894" spans="1:7">
      <c r="A1894" s="33">
        <v>43809</v>
      </c>
      <c r="B1894" s="34">
        <v>7397134</v>
      </c>
      <c r="C1894" s="34">
        <v>7424023</v>
      </c>
      <c r="D1894" s="34">
        <v>7246044</v>
      </c>
      <c r="E1894" s="92" t="s">
        <v>8221</v>
      </c>
      <c r="F1894" s="89" t="s">
        <v>2355</v>
      </c>
      <c r="G1894" s="29" t="s">
        <v>8802</v>
      </c>
    </row>
    <row r="1895" spans="1:7">
      <c r="A1895" s="33">
        <v>43810</v>
      </c>
      <c r="B1895" s="34">
        <v>7277198</v>
      </c>
      <c r="C1895" s="34">
        <v>7324156</v>
      </c>
      <c r="D1895" s="34">
        <v>7195527</v>
      </c>
      <c r="E1895" s="92" t="s">
        <v>8219</v>
      </c>
      <c r="F1895" s="89" t="s">
        <v>5943</v>
      </c>
      <c r="G1895" s="29" t="s">
        <v>8758</v>
      </c>
    </row>
    <row r="1896" spans="1:7">
      <c r="A1896" s="33">
        <v>43811</v>
      </c>
      <c r="B1896" s="34">
        <v>7216739</v>
      </c>
      <c r="C1896" s="29" t="s">
        <v>8803</v>
      </c>
      <c r="D1896" s="34">
        <v>7164741</v>
      </c>
      <c r="E1896" s="92" t="s">
        <v>8217</v>
      </c>
      <c r="F1896" s="89" t="s">
        <v>2340</v>
      </c>
      <c r="G1896" s="29" t="s">
        <v>6815</v>
      </c>
    </row>
    <row r="1897" spans="1:7">
      <c r="A1897" s="33">
        <v>43812</v>
      </c>
      <c r="B1897" s="34">
        <v>7244662</v>
      </c>
      <c r="C1897" s="29" t="s">
        <v>4778</v>
      </c>
      <c r="D1897" s="34">
        <v>7227123</v>
      </c>
      <c r="E1897" s="92" t="s">
        <v>8215</v>
      </c>
      <c r="F1897" s="89" t="s">
        <v>2484</v>
      </c>
      <c r="G1897" s="29" t="s">
        <v>8490</v>
      </c>
    </row>
    <row r="1898" spans="1:7">
      <c r="A1898" s="33">
        <v>43813</v>
      </c>
      <c r="B1898" s="34">
        <v>7268903</v>
      </c>
      <c r="C1898" s="34">
        <v>7308836</v>
      </c>
      <c r="D1898" s="34">
        <v>7097209</v>
      </c>
      <c r="E1898" s="92" t="s">
        <v>8212</v>
      </c>
      <c r="F1898" s="89" t="s">
        <v>3026</v>
      </c>
      <c r="G1898" s="29" t="s">
        <v>8490</v>
      </c>
    </row>
    <row r="1899" spans="1:7">
      <c r="A1899" s="33">
        <v>43814</v>
      </c>
      <c r="B1899" s="29" t="s">
        <v>8804</v>
      </c>
      <c r="C1899" s="34">
        <v>7181076</v>
      </c>
      <c r="D1899" s="34">
        <v>6924376</v>
      </c>
      <c r="E1899" s="92" t="s">
        <v>8210</v>
      </c>
      <c r="F1899" s="89" t="s">
        <v>2769</v>
      </c>
      <c r="G1899" s="29" t="s">
        <v>6719</v>
      </c>
    </row>
    <row r="1900" spans="1:7">
      <c r="A1900" s="33">
        <v>43815</v>
      </c>
      <c r="B1900" s="34">
        <v>7153663</v>
      </c>
      <c r="C1900" s="34">
        <v>7171169</v>
      </c>
      <c r="D1900" s="34">
        <v>6903683</v>
      </c>
      <c r="E1900" s="92" t="s">
        <v>59</v>
      </c>
      <c r="F1900" s="89" t="s">
        <v>3022</v>
      </c>
      <c r="G1900" s="29" t="s">
        <v>8590</v>
      </c>
    </row>
    <row r="1901" spans="1:7">
      <c r="A1901" s="33">
        <v>43816</v>
      </c>
      <c r="B1901" s="34">
        <v>6931315</v>
      </c>
      <c r="C1901" s="34">
        <v>6964075</v>
      </c>
      <c r="D1901" s="34">
        <v>6587974</v>
      </c>
      <c r="E1901" s="92" t="s">
        <v>8206</v>
      </c>
      <c r="F1901" s="89" t="s">
        <v>2293</v>
      </c>
      <c r="G1901" s="29" t="s">
        <v>8805</v>
      </c>
    </row>
    <row r="1902" spans="1:7">
      <c r="A1902" s="33">
        <v>43817</v>
      </c>
      <c r="B1902" s="34">
        <v>6647698</v>
      </c>
      <c r="C1902" s="34">
        <v>7324985</v>
      </c>
      <c r="D1902" s="34">
        <v>6540049</v>
      </c>
      <c r="E1902" s="92" t="s">
        <v>8204</v>
      </c>
      <c r="F1902" s="89" t="s">
        <v>2281</v>
      </c>
      <c r="G1902" s="29" t="s">
        <v>8806</v>
      </c>
    </row>
    <row r="1903" spans="1:7">
      <c r="A1903" s="33">
        <v>43818</v>
      </c>
      <c r="B1903" s="34">
        <v>7277591</v>
      </c>
      <c r="C1903" s="34">
        <v>7346603</v>
      </c>
      <c r="D1903" s="34">
        <v>7041382</v>
      </c>
      <c r="E1903" s="92" t="s">
        <v>8201</v>
      </c>
      <c r="F1903" s="89" t="s">
        <v>3042</v>
      </c>
      <c r="G1903" s="29" t="s">
        <v>8460</v>
      </c>
    </row>
    <row r="1904" spans="1:7">
      <c r="A1904" s="33">
        <v>43819</v>
      </c>
      <c r="B1904" s="34">
        <v>7208637</v>
      </c>
      <c r="C1904" s="34">
        <v>7257922</v>
      </c>
      <c r="D1904" s="34">
        <v>7086124</v>
      </c>
      <c r="E1904" s="92" t="s">
        <v>6987</v>
      </c>
      <c r="F1904" s="89" t="s">
        <v>2761</v>
      </c>
      <c r="G1904" s="29" t="s">
        <v>8807</v>
      </c>
    </row>
    <row r="1905" spans="1:7">
      <c r="A1905" s="33">
        <v>43820</v>
      </c>
      <c r="B1905" s="34">
        <v>7220594</v>
      </c>
      <c r="C1905" s="34">
        <v>7223226</v>
      </c>
      <c r="D1905" s="34">
        <v>7112736</v>
      </c>
      <c r="E1905" s="92" t="s">
        <v>8199</v>
      </c>
      <c r="F1905" s="89" t="s">
        <v>3034</v>
      </c>
      <c r="G1905" s="29" t="s">
        <v>8512</v>
      </c>
    </row>
    <row r="1906" spans="1:7">
      <c r="A1906" s="33">
        <v>43821</v>
      </c>
      <c r="B1906" s="34">
        <v>7191188</v>
      </c>
      <c r="C1906" s="34">
        <v>7518033</v>
      </c>
      <c r="D1906" s="34">
        <v>7167179</v>
      </c>
      <c r="E1906" s="92" t="s">
        <v>71</v>
      </c>
      <c r="F1906" s="89" t="s">
        <v>2488</v>
      </c>
      <c r="G1906" s="29" t="s">
        <v>8782</v>
      </c>
    </row>
    <row r="1907" spans="1:7">
      <c r="A1907" s="33">
        <v>43822</v>
      </c>
      <c r="B1907" s="34">
        <v>7508902</v>
      </c>
      <c r="C1907" s="34">
        <v>7656176</v>
      </c>
      <c r="D1907" s="34">
        <v>7326192</v>
      </c>
      <c r="E1907" s="92" t="s">
        <v>8196</v>
      </c>
      <c r="F1907" s="89" t="s">
        <v>3030</v>
      </c>
      <c r="G1907" s="29" t="s">
        <v>8450</v>
      </c>
    </row>
    <row r="1908" spans="1:7">
      <c r="A1908" s="33">
        <v>43823</v>
      </c>
      <c r="B1908" s="34">
        <v>7354393</v>
      </c>
      <c r="C1908" s="34">
        <v>7535717</v>
      </c>
      <c r="D1908" s="34">
        <v>7269529</v>
      </c>
      <c r="E1908" s="92" t="s">
        <v>8193</v>
      </c>
      <c r="F1908" s="89" t="s">
        <v>2359</v>
      </c>
      <c r="G1908" s="29" t="s">
        <v>8808</v>
      </c>
    </row>
    <row r="1909" spans="1:7">
      <c r="A1909" s="33">
        <v>43824</v>
      </c>
      <c r="B1909" s="34">
        <v>7325756</v>
      </c>
      <c r="C1909" s="29" t="s">
        <v>8809</v>
      </c>
      <c r="D1909" s="34">
        <v>7220991</v>
      </c>
      <c r="E1909" s="92" t="s">
        <v>8191</v>
      </c>
      <c r="F1909" s="89" t="s">
        <v>2285</v>
      </c>
      <c r="G1909" s="29" t="s">
        <v>8789</v>
      </c>
    </row>
    <row r="1910" spans="1:7">
      <c r="A1910" s="33">
        <v>43825</v>
      </c>
      <c r="B1910" s="34">
        <v>7274799</v>
      </c>
      <c r="C1910" s="34">
        <v>7388303</v>
      </c>
      <c r="D1910" s="34">
        <v>7200387</v>
      </c>
      <c r="E1910" s="92" t="s">
        <v>80</v>
      </c>
      <c r="F1910" s="89" t="s">
        <v>8810</v>
      </c>
      <c r="G1910" s="29" t="s">
        <v>8811</v>
      </c>
    </row>
    <row r="1911" spans="1:7">
      <c r="A1911" s="33">
        <v>43826</v>
      </c>
      <c r="B1911" s="34">
        <v>7238141</v>
      </c>
      <c r="C1911" s="34">
        <v>7363529</v>
      </c>
      <c r="D1911" s="34">
        <v>7189934</v>
      </c>
      <c r="E1911" s="92" t="s">
        <v>8187</v>
      </c>
      <c r="F1911" s="89" t="s">
        <v>2765</v>
      </c>
      <c r="G1911" s="29" t="s">
        <v>8811</v>
      </c>
    </row>
    <row r="1912" spans="1:7">
      <c r="A1912" s="33">
        <v>43827</v>
      </c>
      <c r="B1912" s="34">
        <v>7289031</v>
      </c>
      <c r="C1912" s="34">
        <v>7399041</v>
      </c>
      <c r="D1912" s="34">
        <v>7286905</v>
      </c>
      <c r="E1912" s="92" t="s">
        <v>8184</v>
      </c>
      <c r="F1912" s="89" t="s">
        <v>296</v>
      </c>
      <c r="G1912" s="29" t="s">
        <v>8812</v>
      </c>
    </row>
    <row r="1913" spans="1:7">
      <c r="A1913" s="33">
        <v>43828</v>
      </c>
      <c r="B1913" s="34">
        <v>7317647</v>
      </c>
      <c r="C1913" s="34">
        <v>7513948</v>
      </c>
      <c r="D1913" s="34">
        <v>7279865</v>
      </c>
      <c r="E1913" s="92" t="s">
        <v>8183</v>
      </c>
      <c r="F1913" s="89" t="s">
        <v>2394</v>
      </c>
      <c r="G1913" s="29" t="s">
        <v>8805</v>
      </c>
    </row>
    <row r="1914" spans="1:7">
      <c r="A1914" s="33">
        <v>43829</v>
      </c>
      <c r="B1914" s="34">
        <v>7420273</v>
      </c>
      <c r="C1914" s="34">
        <v>7454824</v>
      </c>
      <c r="D1914" s="34">
        <v>7276308</v>
      </c>
      <c r="E1914" s="92" t="s">
        <v>8182</v>
      </c>
      <c r="F1914" s="89" t="s">
        <v>2558</v>
      </c>
      <c r="G1914" s="29" t="s">
        <v>8400</v>
      </c>
    </row>
    <row r="1915" spans="1:7">
      <c r="A1915" s="33">
        <v>43830</v>
      </c>
      <c r="B1915" s="34">
        <v>7294439</v>
      </c>
      <c r="C1915" s="29" t="s">
        <v>8813</v>
      </c>
      <c r="D1915" s="34">
        <v>7169778</v>
      </c>
      <c r="E1915" s="92" t="s">
        <v>8179</v>
      </c>
      <c r="F1915" s="89" t="s">
        <v>2503</v>
      </c>
      <c r="G1915" s="29" t="s">
        <v>8780</v>
      </c>
    </row>
    <row r="1916" spans="1:7">
      <c r="A1916" s="33">
        <v>43831</v>
      </c>
      <c r="B1916" s="34">
        <v>7194892</v>
      </c>
      <c r="C1916" s="34">
        <v>7254331</v>
      </c>
      <c r="D1916" s="34">
        <v>7174944</v>
      </c>
      <c r="E1916" s="92" t="s">
        <v>8176</v>
      </c>
      <c r="F1916" s="89" t="s">
        <v>2495</v>
      </c>
      <c r="G1916" s="29" t="s">
        <v>8814</v>
      </c>
    </row>
    <row r="1917" spans="1:7">
      <c r="A1917" s="33">
        <v>43832</v>
      </c>
      <c r="B1917" s="34">
        <v>7202551</v>
      </c>
      <c r="C1917" s="34">
        <v>7212155</v>
      </c>
      <c r="D1917" s="29" t="s">
        <v>8815</v>
      </c>
      <c r="E1917" s="92" t="s">
        <v>67</v>
      </c>
      <c r="F1917" s="89" t="s">
        <v>2289</v>
      </c>
      <c r="G1917" s="29" t="s">
        <v>8791</v>
      </c>
    </row>
    <row r="1918" spans="1:7">
      <c r="A1918" s="33">
        <v>43833</v>
      </c>
      <c r="B1918" s="34">
        <v>6984429</v>
      </c>
      <c r="C1918" s="34">
        <v>7413715</v>
      </c>
      <c r="D1918" s="34">
        <v>6914996</v>
      </c>
      <c r="E1918" s="92" t="s">
        <v>63</v>
      </c>
      <c r="F1918" s="89" t="s">
        <v>2499</v>
      </c>
      <c r="G1918" s="29" t="s">
        <v>8816</v>
      </c>
    </row>
    <row r="1919" spans="1:7">
      <c r="A1919" s="33">
        <v>43834</v>
      </c>
      <c r="B1919" s="34">
        <v>7345375</v>
      </c>
      <c r="C1919" s="34">
        <v>7427386</v>
      </c>
      <c r="D1919" s="34">
        <v>7309514</v>
      </c>
      <c r="E1919" s="92" t="s">
        <v>8817</v>
      </c>
      <c r="F1919" s="89" t="s">
        <v>2492</v>
      </c>
      <c r="G1919" s="29" t="s">
        <v>6787</v>
      </c>
    </row>
    <row r="1920" spans="1:7">
      <c r="A1920" s="33">
        <v>43835</v>
      </c>
      <c r="B1920" s="34">
        <v>7410452</v>
      </c>
      <c r="C1920" s="34">
        <v>7544497</v>
      </c>
      <c r="D1920" s="34">
        <v>7400536</v>
      </c>
      <c r="E1920" s="92" t="s">
        <v>8173</v>
      </c>
      <c r="F1920" s="89" t="s">
        <v>8178</v>
      </c>
      <c r="G1920" s="29" t="s">
        <v>8799</v>
      </c>
    </row>
    <row r="1921" spans="1:7">
      <c r="A1921" s="33">
        <v>43836</v>
      </c>
      <c r="B1921" s="34">
        <v>7410452</v>
      </c>
      <c r="C1921" s="34">
        <v>7781867</v>
      </c>
      <c r="D1921" s="34">
        <v>7409293</v>
      </c>
      <c r="E1921" s="92" t="s">
        <v>8172</v>
      </c>
      <c r="F1921" s="89" t="s">
        <v>2337</v>
      </c>
      <c r="G1921" s="29" t="s">
        <v>8496</v>
      </c>
    </row>
    <row r="1922" spans="1:7">
      <c r="A1922" s="33">
        <v>43837</v>
      </c>
      <c r="B1922" s="34">
        <v>7768682</v>
      </c>
      <c r="C1922" s="34">
        <v>8178216</v>
      </c>
      <c r="D1922" s="34">
        <v>7768228</v>
      </c>
      <c r="E1922" s="92" t="s">
        <v>8169</v>
      </c>
      <c r="F1922" s="89" t="s">
        <v>2507</v>
      </c>
      <c r="G1922" s="29" t="s">
        <v>8818</v>
      </c>
    </row>
    <row r="1923" spans="1:7">
      <c r="A1923" s="33">
        <v>43838</v>
      </c>
      <c r="B1923" s="34">
        <v>8161936</v>
      </c>
      <c r="C1923" s="34">
        <v>8396738</v>
      </c>
      <c r="D1923" s="34">
        <v>7956774</v>
      </c>
      <c r="E1923" s="92" t="s">
        <v>55</v>
      </c>
      <c r="F1923" s="89" t="s">
        <v>2329</v>
      </c>
      <c r="G1923" s="29" t="s">
        <v>8819</v>
      </c>
    </row>
    <row r="1924" spans="1:7">
      <c r="A1924" s="33">
        <v>43839</v>
      </c>
      <c r="B1924" s="34">
        <v>8082296</v>
      </c>
      <c r="C1924" s="34">
        <v>8082296</v>
      </c>
      <c r="D1924" s="34">
        <v>7842404</v>
      </c>
      <c r="E1924" s="92" t="s">
        <v>8160</v>
      </c>
      <c r="F1924" s="89" t="s">
        <v>3122</v>
      </c>
      <c r="G1924" s="29" t="s">
        <v>8796</v>
      </c>
    </row>
    <row r="1925" spans="1:7">
      <c r="A1925" s="33">
        <v>43840</v>
      </c>
      <c r="B1925" s="34">
        <v>7878308</v>
      </c>
      <c r="C1925" s="34">
        <v>8166554</v>
      </c>
      <c r="D1925" s="34">
        <v>7726775</v>
      </c>
      <c r="E1925" s="92" t="s">
        <v>8155</v>
      </c>
      <c r="F1925" s="89" t="s">
        <v>2562</v>
      </c>
      <c r="G1925" s="29" t="s">
        <v>8452</v>
      </c>
    </row>
    <row r="1926" spans="1:7">
      <c r="A1926" s="33">
        <v>43841</v>
      </c>
      <c r="B1926" s="34">
        <v>8162191</v>
      </c>
      <c r="C1926" s="34">
        <v>8218359</v>
      </c>
      <c r="D1926" s="34">
        <v>8029642</v>
      </c>
      <c r="E1926" s="92" t="s">
        <v>8150</v>
      </c>
      <c r="F1926" s="89" t="s">
        <v>3216</v>
      </c>
      <c r="G1926" s="29" t="s">
        <v>8820</v>
      </c>
    </row>
    <row r="1927" spans="1:7">
      <c r="A1927" s="33">
        <v>43842</v>
      </c>
      <c r="B1927" s="34">
        <v>8033262</v>
      </c>
      <c r="C1927" s="34">
        <v>8200063</v>
      </c>
      <c r="D1927" s="34">
        <v>8009059</v>
      </c>
      <c r="E1927" s="92" t="s">
        <v>8146</v>
      </c>
      <c r="F1927" s="89" t="s">
        <v>8164</v>
      </c>
      <c r="G1927" s="29" t="s">
        <v>8400</v>
      </c>
    </row>
    <row r="1928" spans="1:7">
      <c r="A1928" s="33">
        <v>43843</v>
      </c>
      <c r="B1928" s="34">
        <v>8189772</v>
      </c>
      <c r="C1928" s="34">
        <v>8197788</v>
      </c>
      <c r="D1928" s="34">
        <v>8079701</v>
      </c>
      <c r="E1928" s="92" t="s">
        <v>78</v>
      </c>
      <c r="F1928" s="89" t="s">
        <v>2333</v>
      </c>
      <c r="G1928" s="29" t="s">
        <v>8480</v>
      </c>
    </row>
    <row r="1929" spans="1:7">
      <c r="A1929" s="33">
        <v>43844</v>
      </c>
      <c r="B1929" s="34">
        <v>8140933</v>
      </c>
      <c r="C1929" s="34">
        <v>8879512</v>
      </c>
      <c r="D1929" s="34">
        <v>8140933</v>
      </c>
      <c r="E1929" s="92" t="s">
        <v>8138</v>
      </c>
      <c r="F1929" s="89" t="s">
        <v>8154</v>
      </c>
      <c r="G1929" s="29" t="s">
        <v>8821</v>
      </c>
    </row>
    <row r="1930" spans="1:7">
      <c r="A1930" s="33">
        <v>43845</v>
      </c>
      <c r="B1930" s="34">
        <v>8825344</v>
      </c>
      <c r="C1930" s="34">
        <v>8890117</v>
      </c>
      <c r="D1930" s="34">
        <v>8657188</v>
      </c>
      <c r="E1930" s="92" t="s">
        <v>8133</v>
      </c>
      <c r="F1930" s="89" t="s">
        <v>2566</v>
      </c>
      <c r="G1930" s="29" t="s">
        <v>8822</v>
      </c>
    </row>
    <row r="1931" spans="1:7">
      <c r="A1931" s="33">
        <v>43846</v>
      </c>
      <c r="B1931" s="34">
        <v>8812481</v>
      </c>
      <c r="C1931" s="34">
        <v>8846461</v>
      </c>
      <c r="D1931" s="34">
        <v>8612096</v>
      </c>
      <c r="E1931" s="92" t="s">
        <v>8129</v>
      </c>
      <c r="F1931" s="89" t="s">
        <v>3130</v>
      </c>
      <c r="G1931" s="29" t="s">
        <v>8823</v>
      </c>
    </row>
    <row r="1932" spans="1:7">
      <c r="A1932" s="33">
        <v>43847</v>
      </c>
      <c r="B1932" s="29" t="s">
        <v>8824</v>
      </c>
      <c r="C1932" s="34">
        <v>8958122</v>
      </c>
      <c r="D1932" s="34">
        <v>8677316</v>
      </c>
      <c r="E1932" s="92" t="s">
        <v>8125</v>
      </c>
      <c r="F1932" s="89" t="s">
        <v>3134</v>
      </c>
      <c r="G1932" s="29" t="s">
        <v>8825</v>
      </c>
    </row>
    <row r="1933" spans="1:7">
      <c r="A1933" s="33">
        <v>43848</v>
      </c>
      <c r="B1933" s="34">
        <v>8927212</v>
      </c>
      <c r="C1933" s="34">
        <v>9012198</v>
      </c>
      <c r="D1933" s="34">
        <v>8827332</v>
      </c>
      <c r="E1933" s="92" t="s">
        <v>8120</v>
      </c>
      <c r="F1933" s="89" t="s">
        <v>3118</v>
      </c>
      <c r="G1933" s="29" t="s">
        <v>8826</v>
      </c>
    </row>
    <row r="1934" spans="1:7">
      <c r="A1934" s="33">
        <v>43849</v>
      </c>
      <c r="B1934" s="34">
        <v>8941445</v>
      </c>
      <c r="C1934" s="34">
        <v>9164362</v>
      </c>
      <c r="D1934" s="29" t="s">
        <v>8827</v>
      </c>
      <c r="E1934" s="92" t="s">
        <v>75</v>
      </c>
      <c r="F1934" s="89" t="s">
        <v>3126</v>
      </c>
      <c r="G1934" s="29" t="s">
        <v>8792</v>
      </c>
    </row>
    <row r="1935" spans="1:7">
      <c r="A1935" s="33">
        <v>43850</v>
      </c>
      <c r="B1935" s="34">
        <v>8704632</v>
      </c>
      <c r="C1935" s="34">
        <v>8745591</v>
      </c>
      <c r="D1935" s="34">
        <v>8560474</v>
      </c>
      <c r="E1935" s="92" t="s">
        <v>8110</v>
      </c>
      <c r="F1935" s="89" t="s">
        <v>8128</v>
      </c>
      <c r="G1935" s="29" t="s">
        <v>8828</v>
      </c>
    </row>
    <row r="1936" spans="1:7">
      <c r="A1936" s="33">
        <v>43851</v>
      </c>
      <c r="B1936" s="34">
        <v>8658991</v>
      </c>
      <c r="C1936" s="34">
        <v>8755706</v>
      </c>
      <c r="D1936" s="34">
        <v>8544521</v>
      </c>
      <c r="E1936" s="92" t="s">
        <v>51</v>
      </c>
      <c r="F1936" s="89" t="s">
        <v>8124</v>
      </c>
      <c r="G1936" s="29" t="s">
        <v>8829</v>
      </c>
    </row>
    <row r="1937" spans="1:7">
      <c r="A1937" s="33">
        <v>43852</v>
      </c>
      <c r="B1937" s="34">
        <v>8744211</v>
      </c>
      <c r="C1937" s="34">
        <v>8792994</v>
      </c>
      <c r="D1937" s="34">
        <v>8636747</v>
      </c>
      <c r="E1937" s="92" t="s">
        <v>8100</v>
      </c>
      <c r="F1937" s="89" t="s">
        <v>8119</v>
      </c>
      <c r="G1937" s="29" t="s">
        <v>8807</v>
      </c>
    </row>
    <row r="1938" spans="1:7">
      <c r="A1938" s="33">
        <v>43853</v>
      </c>
      <c r="B1938" s="29" t="s">
        <v>8830</v>
      </c>
      <c r="C1938" s="34">
        <v>8687747</v>
      </c>
      <c r="D1938" s="34">
        <v>8333638</v>
      </c>
      <c r="E1938" s="92" t="s">
        <v>8095</v>
      </c>
      <c r="F1938" s="89" t="s">
        <v>3232</v>
      </c>
      <c r="G1938" s="29" t="s">
        <v>8831</v>
      </c>
    </row>
    <row r="1939" spans="1:7">
      <c r="A1939" s="33">
        <v>43854</v>
      </c>
      <c r="B1939" s="34">
        <v>8405567</v>
      </c>
      <c r="C1939" s="34">
        <v>8514667</v>
      </c>
      <c r="D1939" s="34">
        <v>8266841</v>
      </c>
      <c r="E1939" s="92" t="s">
        <v>8092</v>
      </c>
      <c r="F1939" s="89" t="s">
        <v>8109</v>
      </c>
      <c r="G1939" s="29" t="s">
        <v>8832</v>
      </c>
    </row>
    <row r="1940" spans="1:7">
      <c r="A1940" s="33">
        <v>43855</v>
      </c>
      <c r="B1940" s="34">
        <v>8440119</v>
      </c>
      <c r="C1940" s="34">
        <v>8458453</v>
      </c>
      <c r="D1940" s="34">
        <v>8296219</v>
      </c>
      <c r="E1940" s="92" t="s">
        <v>8087</v>
      </c>
      <c r="F1940" s="89" t="s">
        <v>8105</v>
      </c>
      <c r="G1940" s="29" t="s">
        <v>8765</v>
      </c>
    </row>
    <row r="1941" spans="1:7">
      <c r="A1941" s="33">
        <v>43856</v>
      </c>
      <c r="B1941" s="29" t="s">
        <v>8833</v>
      </c>
      <c r="C1941" s="34">
        <v>8602401</v>
      </c>
      <c r="D1941" s="34">
        <v>8325498</v>
      </c>
      <c r="E1941" s="92" t="s">
        <v>8083</v>
      </c>
      <c r="F1941" s="89" t="s">
        <v>3212</v>
      </c>
      <c r="G1941" s="29" t="s">
        <v>6729</v>
      </c>
    </row>
    <row r="1942" spans="1:7">
      <c r="A1942" s="33">
        <v>43857</v>
      </c>
      <c r="B1942" s="34">
        <v>8597309</v>
      </c>
      <c r="C1942" s="34">
        <v>8977727</v>
      </c>
      <c r="D1942" s="34">
        <v>8597309</v>
      </c>
      <c r="E1942" s="92" t="s">
        <v>8080</v>
      </c>
      <c r="F1942" s="89" t="s">
        <v>3138</v>
      </c>
      <c r="G1942" s="29" t="s">
        <v>8567</v>
      </c>
    </row>
    <row r="1943" spans="1:7">
      <c r="A1943" s="33">
        <v>43858</v>
      </c>
      <c r="B1943" s="34">
        <v>8912524</v>
      </c>
      <c r="C1943" s="29" t="s">
        <v>4797</v>
      </c>
      <c r="D1943" s="34">
        <v>8908447</v>
      </c>
      <c r="E1943" s="92" t="s">
        <v>8075</v>
      </c>
      <c r="F1943" s="89" t="s">
        <v>8091</v>
      </c>
      <c r="G1943" s="29" t="s">
        <v>8834</v>
      </c>
    </row>
    <row r="1944" spans="1:7">
      <c r="A1944" s="33">
        <v>43859</v>
      </c>
      <c r="B1944" s="34">
        <v>9357471</v>
      </c>
      <c r="C1944" s="34">
        <v>9406432</v>
      </c>
      <c r="D1944" s="34">
        <v>9269468</v>
      </c>
      <c r="E1944" s="92" t="s">
        <v>8071</v>
      </c>
      <c r="F1944" s="89" t="s">
        <v>8086</v>
      </c>
      <c r="G1944" s="29" t="s">
        <v>8835</v>
      </c>
    </row>
    <row r="1945" spans="1:7">
      <c r="A1945" s="33">
        <v>43860</v>
      </c>
      <c r="B1945" s="34">
        <v>9316017</v>
      </c>
      <c r="C1945" s="34">
        <v>9553126</v>
      </c>
      <c r="D1945" s="34">
        <v>9230897</v>
      </c>
      <c r="E1945" s="92" t="s">
        <v>8836</v>
      </c>
      <c r="F1945" s="89" t="s">
        <v>3200</v>
      </c>
      <c r="G1945" s="29" t="s">
        <v>8837</v>
      </c>
    </row>
    <row r="1946" spans="1:7">
      <c r="A1946" s="33">
        <v>43861</v>
      </c>
      <c r="B1946" s="34">
        <v>9508313</v>
      </c>
      <c r="C1946" s="34">
        <v>9521706</v>
      </c>
      <c r="D1946" s="34">
        <v>9230776</v>
      </c>
      <c r="E1946" s="92" t="s">
        <v>8067</v>
      </c>
      <c r="F1946" s="89" t="s">
        <v>3196</v>
      </c>
      <c r="G1946" s="29" t="s">
        <v>8536</v>
      </c>
    </row>
    <row r="1947" spans="1:7">
      <c r="A1947" s="33">
        <v>43862</v>
      </c>
      <c r="B1947" s="34">
        <v>9346357</v>
      </c>
      <c r="C1947" s="34">
        <v>9439323</v>
      </c>
      <c r="D1947" s="34">
        <v>9313239</v>
      </c>
      <c r="E1947" s="92" t="s">
        <v>8062</v>
      </c>
      <c r="F1947" s="89" t="s">
        <v>2570</v>
      </c>
      <c r="G1947" s="29" t="s">
        <v>8460</v>
      </c>
    </row>
    <row r="1948" spans="1:7">
      <c r="A1948" s="33">
        <v>43863</v>
      </c>
      <c r="B1948" s="29" t="s">
        <v>8838</v>
      </c>
      <c r="C1948" s="34">
        <v>9468798</v>
      </c>
      <c r="D1948" s="34">
        <v>9217824</v>
      </c>
      <c r="E1948" s="92" t="s">
        <v>8058</v>
      </c>
      <c r="F1948" s="89" t="s">
        <v>3208</v>
      </c>
      <c r="G1948" s="29" t="s">
        <v>8542</v>
      </c>
    </row>
    <row r="1949" spans="1:7">
      <c r="A1949" s="33">
        <v>43864</v>
      </c>
      <c r="B1949" s="34">
        <v>9344684</v>
      </c>
      <c r="C1949" s="34">
        <v>9540372</v>
      </c>
      <c r="D1949" s="34">
        <v>9248634</v>
      </c>
      <c r="E1949" s="92" t="s">
        <v>8054</v>
      </c>
      <c r="F1949" s="89" t="s">
        <v>3204</v>
      </c>
      <c r="G1949" s="29" t="s">
        <v>8773</v>
      </c>
    </row>
    <row r="1950" spans="1:7">
      <c r="A1950" s="33">
        <v>43865</v>
      </c>
      <c r="B1950" s="34">
        <v>9292842</v>
      </c>
      <c r="C1950" s="34">
        <v>9331266</v>
      </c>
      <c r="D1950" s="34">
        <v>9112812</v>
      </c>
      <c r="E1950" s="92" t="s">
        <v>8049</v>
      </c>
      <c r="F1950" s="89" t="s">
        <v>2386</v>
      </c>
      <c r="G1950" s="29" t="s">
        <v>8839</v>
      </c>
    </row>
    <row r="1951" spans="1:7">
      <c r="A1951" s="33">
        <v>43866</v>
      </c>
      <c r="B1951" s="34">
        <v>9183416</v>
      </c>
      <c r="C1951" s="29" t="s">
        <v>8840</v>
      </c>
      <c r="D1951" s="34">
        <v>9163704</v>
      </c>
      <c r="E1951" s="92" t="s">
        <v>8044</v>
      </c>
      <c r="F1951" s="89" t="s">
        <v>2366</v>
      </c>
      <c r="G1951" s="29" t="s">
        <v>8841</v>
      </c>
    </row>
    <row r="1952" spans="1:7">
      <c r="A1952" s="33">
        <v>43867</v>
      </c>
      <c r="B1952" s="34">
        <v>9617821</v>
      </c>
      <c r="C1952" s="34">
        <v>9824619</v>
      </c>
      <c r="D1952" s="34">
        <v>9539818</v>
      </c>
      <c r="E1952" s="92" t="s">
        <v>8842</v>
      </c>
      <c r="F1952" s="89" t="s">
        <v>2253</v>
      </c>
      <c r="G1952" s="29" t="s">
        <v>8843</v>
      </c>
    </row>
    <row r="1953" spans="1:7">
      <c r="A1953" s="33">
        <v>43868</v>
      </c>
      <c r="B1953" s="34">
        <v>9726003</v>
      </c>
      <c r="C1953" s="34">
        <v>9834717</v>
      </c>
      <c r="D1953" s="34">
        <v>9726003</v>
      </c>
      <c r="E1953" s="92" t="s">
        <v>8040</v>
      </c>
      <c r="F1953" s="89" t="s">
        <v>8048</v>
      </c>
      <c r="G1953" s="29" t="s">
        <v>8844</v>
      </c>
    </row>
    <row r="1954" spans="1:7">
      <c r="A1954" s="33">
        <v>43869</v>
      </c>
      <c r="B1954" s="29" t="s">
        <v>8845</v>
      </c>
      <c r="C1954" s="34">
        <v>9876749</v>
      </c>
      <c r="D1954" s="29" t="s">
        <v>8846</v>
      </c>
      <c r="E1954" s="92" t="s">
        <v>8034</v>
      </c>
      <c r="F1954" s="89" t="s">
        <v>2257</v>
      </c>
      <c r="G1954" s="29" t="s">
        <v>8841</v>
      </c>
    </row>
    <row r="1955" spans="1:7">
      <c r="A1955" s="33">
        <v>43870</v>
      </c>
      <c r="B1955" s="34">
        <v>9863895</v>
      </c>
      <c r="C1955" s="29" t="s">
        <v>8847</v>
      </c>
      <c r="D1955" s="34">
        <v>9850393</v>
      </c>
      <c r="E1955" s="92" t="s">
        <v>8030</v>
      </c>
      <c r="F1955" s="89" t="s">
        <v>8039</v>
      </c>
      <c r="G1955" s="29" t="s">
        <v>8848</v>
      </c>
    </row>
    <row r="1956" spans="1:7">
      <c r="A1956" s="33">
        <v>43871</v>
      </c>
      <c r="B1956" s="29" t="s">
        <v>8849</v>
      </c>
      <c r="C1956" s="29" t="s">
        <v>8850</v>
      </c>
      <c r="D1956" s="34">
        <v>9784563</v>
      </c>
      <c r="E1956" s="92" t="s">
        <v>8026</v>
      </c>
      <c r="F1956" s="89" t="s">
        <v>2390</v>
      </c>
      <c r="G1956" s="29" t="s">
        <v>8851</v>
      </c>
    </row>
    <row r="1957" spans="1:7">
      <c r="A1957" s="33">
        <v>43872</v>
      </c>
      <c r="B1957" s="34">
        <v>9855892</v>
      </c>
      <c r="C1957" s="29" t="s">
        <v>8852</v>
      </c>
      <c r="D1957" s="34">
        <v>9729335</v>
      </c>
      <c r="E1957" s="92" t="s">
        <v>47</v>
      </c>
      <c r="F1957" s="89" t="s">
        <v>2430</v>
      </c>
      <c r="G1957" s="29" t="s">
        <v>8843</v>
      </c>
    </row>
    <row r="1958" spans="1:7">
      <c r="A1958" s="33">
        <v>43873</v>
      </c>
      <c r="B1958" s="29" t="s">
        <v>8853</v>
      </c>
      <c r="C1958" s="29" t="s">
        <v>8854</v>
      </c>
      <c r="D1958" s="29" t="s">
        <v>8853</v>
      </c>
      <c r="E1958" s="92" t="s">
        <v>8014</v>
      </c>
      <c r="F1958" s="89" t="s">
        <v>3062</v>
      </c>
      <c r="G1958" s="29" t="s">
        <v>8855</v>
      </c>
    </row>
    <row r="1959" spans="1:7">
      <c r="A1959" s="33">
        <v>43874</v>
      </c>
      <c r="B1959" s="29" t="s">
        <v>8856</v>
      </c>
      <c r="C1959" s="29" t="s">
        <v>8857</v>
      </c>
      <c r="D1959" s="29" t="s">
        <v>8858</v>
      </c>
      <c r="E1959" s="92" t="s">
        <v>8010</v>
      </c>
      <c r="F1959" s="89" t="s">
        <v>3046</v>
      </c>
      <c r="G1959" s="29" t="s">
        <v>8859</v>
      </c>
    </row>
    <row r="1960" spans="1:7">
      <c r="A1960" s="33">
        <v>43875</v>
      </c>
      <c r="B1960" s="29" t="s">
        <v>8860</v>
      </c>
      <c r="C1960" s="29">
        <v>10322</v>
      </c>
      <c r="D1960" s="29" t="s">
        <v>8861</v>
      </c>
      <c r="E1960" s="92" t="s">
        <v>8004</v>
      </c>
      <c r="F1960" s="89" t="s">
        <v>2382</v>
      </c>
      <c r="G1960" s="29" t="s">
        <v>8862</v>
      </c>
    </row>
    <row r="1961" spans="1:7">
      <c r="A1961" s="33">
        <v>43876</v>
      </c>
      <c r="B1961" s="29" t="s">
        <v>8863</v>
      </c>
      <c r="C1961" s="29" t="s">
        <v>8864</v>
      </c>
      <c r="D1961" s="34">
        <v>9874428</v>
      </c>
      <c r="E1961" s="92" t="s">
        <v>7998</v>
      </c>
      <c r="F1961" s="89" t="s">
        <v>3054</v>
      </c>
      <c r="G1961" s="29" t="s">
        <v>8865</v>
      </c>
    </row>
    <row r="1962" spans="1:7">
      <c r="A1962" s="33">
        <v>43877</v>
      </c>
      <c r="B1962" s="29" t="s">
        <v>8866</v>
      </c>
      <c r="C1962" s="29" t="s">
        <v>8867</v>
      </c>
      <c r="D1962" s="34">
        <v>9722387</v>
      </c>
      <c r="E1962" s="92" t="s">
        <v>7993</v>
      </c>
      <c r="F1962" s="89" t="s">
        <v>8009</v>
      </c>
      <c r="G1962" s="29" t="s">
        <v>8855</v>
      </c>
    </row>
    <row r="1963" spans="1:7">
      <c r="A1963" s="33">
        <v>43878</v>
      </c>
      <c r="B1963" s="34">
        <v>9936561</v>
      </c>
      <c r="C1963" s="34">
        <v>9938815</v>
      </c>
      <c r="D1963" s="34">
        <v>9507638</v>
      </c>
      <c r="E1963" s="92" t="s">
        <v>7989</v>
      </c>
      <c r="F1963" s="89" t="s">
        <v>3106</v>
      </c>
      <c r="G1963" s="29" t="s">
        <v>8868</v>
      </c>
    </row>
    <row r="1964" spans="1:7">
      <c r="A1964" s="33">
        <v>43879</v>
      </c>
      <c r="B1964" s="29" t="s">
        <v>8869</v>
      </c>
      <c r="C1964" s="29" t="s">
        <v>8870</v>
      </c>
      <c r="D1964" s="34">
        <v>9632383</v>
      </c>
      <c r="E1964" s="92" t="s">
        <v>8871</v>
      </c>
      <c r="F1964" s="89" t="s">
        <v>3050</v>
      </c>
      <c r="G1964" s="29" t="s">
        <v>8872</v>
      </c>
    </row>
    <row r="1965" spans="1:7">
      <c r="A1965" s="33">
        <v>43880</v>
      </c>
      <c r="B1965" s="29" t="s">
        <v>8873</v>
      </c>
      <c r="C1965" s="29" t="s">
        <v>8874</v>
      </c>
      <c r="D1965" s="34">
        <v>9611224</v>
      </c>
      <c r="E1965" s="92" t="s">
        <v>7984</v>
      </c>
      <c r="F1965" s="89" t="s">
        <v>316</v>
      </c>
      <c r="G1965" s="29" t="s">
        <v>4778</v>
      </c>
    </row>
    <row r="1966" spans="1:7">
      <c r="A1966" s="33">
        <v>43881</v>
      </c>
      <c r="B1966" s="34">
        <v>9629325</v>
      </c>
      <c r="C1966" s="34">
        <v>9643217</v>
      </c>
      <c r="D1966" s="29" t="s">
        <v>8875</v>
      </c>
      <c r="E1966" s="92" t="s">
        <v>7979</v>
      </c>
      <c r="F1966" s="89" t="s">
        <v>300</v>
      </c>
      <c r="G1966" s="29" t="s">
        <v>8876</v>
      </c>
    </row>
    <row r="1967" spans="1:7">
      <c r="A1967" s="33">
        <v>43882</v>
      </c>
      <c r="B1967" s="34">
        <v>9611782</v>
      </c>
      <c r="C1967" s="34">
        <v>9723015</v>
      </c>
      <c r="D1967" s="34">
        <v>9589743</v>
      </c>
      <c r="E1967" s="92" t="s">
        <v>8877</v>
      </c>
      <c r="F1967" s="89" t="s">
        <v>3086</v>
      </c>
      <c r="G1967" s="29" t="s">
        <v>8878</v>
      </c>
    </row>
    <row r="1968" spans="1:7">
      <c r="A1968" s="33">
        <v>43883</v>
      </c>
      <c r="B1968" s="34">
        <v>9687707</v>
      </c>
      <c r="C1968" s="34">
        <v>9698231</v>
      </c>
      <c r="D1968" s="34">
        <v>9600729</v>
      </c>
      <c r="E1968" s="92" t="s">
        <v>7973</v>
      </c>
      <c r="F1968" s="89" t="s">
        <v>2426</v>
      </c>
      <c r="G1968" s="29" t="s">
        <v>8848</v>
      </c>
    </row>
    <row r="1969" spans="1:7">
      <c r="A1969" s="33">
        <v>43884</v>
      </c>
      <c r="B1969" s="34">
        <v>9663318</v>
      </c>
      <c r="C1969" s="34">
        <v>9937404</v>
      </c>
      <c r="D1969" s="34">
        <v>9657791</v>
      </c>
      <c r="E1969" s="92" t="s">
        <v>7967</v>
      </c>
      <c r="F1969" s="89" t="s">
        <v>7978</v>
      </c>
      <c r="G1969" s="29" t="s">
        <v>8879</v>
      </c>
    </row>
    <row r="1970" spans="1:7">
      <c r="A1970" s="33">
        <v>43885</v>
      </c>
      <c r="B1970" s="34">
        <v>9921583</v>
      </c>
      <c r="C1970" s="34">
        <v>9951746</v>
      </c>
      <c r="D1970" s="34">
        <v>9537043</v>
      </c>
      <c r="E1970" s="92" t="s">
        <v>7956</v>
      </c>
      <c r="F1970" s="89" t="s">
        <v>7972</v>
      </c>
      <c r="G1970" s="29" t="s">
        <v>8518</v>
      </c>
    </row>
    <row r="1971" spans="1:7">
      <c r="A1971" s="33">
        <v>43886</v>
      </c>
      <c r="B1971" s="34">
        <v>9651313</v>
      </c>
      <c r="C1971" s="34">
        <v>9652737</v>
      </c>
      <c r="D1971" s="34">
        <v>9305021</v>
      </c>
      <c r="E1971" s="92" t="s">
        <v>7952</v>
      </c>
      <c r="F1971" s="89" t="s">
        <v>7966</v>
      </c>
      <c r="G1971" s="29" t="s">
        <v>8880</v>
      </c>
    </row>
    <row r="1972" spans="1:7">
      <c r="A1972" s="33">
        <v>43887</v>
      </c>
      <c r="B1972" s="29" t="s">
        <v>8881</v>
      </c>
      <c r="C1972" s="34">
        <v>9354778</v>
      </c>
      <c r="D1972" s="34">
        <v>8704427</v>
      </c>
      <c r="E1972" s="92" t="s">
        <v>7948</v>
      </c>
      <c r="F1972" s="89" t="s">
        <v>2398</v>
      </c>
      <c r="G1972" s="29" t="s">
        <v>8882</v>
      </c>
    </row>
    <row r="1973" spans="1:7">
      <c r="A1973" s="33">
        <v>43888</v>
      </c>
      <c r="B1973" s="34">
        <v>8825094</v>
      </c>
      <c r="C1973" s="34">
        <v>8932893</v>
      </c>
      <c r="D1973" s="34">
        <v>8577199</v>
      </c>
      <c r="E1973" s="92" t="s">
        <v>7944</v>
      </c>
      <c r="F1973" s="89" t="s">
        <v>3058</v>
      </c>
      <c r="G1973" s="29" t="s">
        <v>8883</v>
      </c>
    </row>
    <row r="1974" spans="1:7">
      <c r="A1974" s="33">
        <v>43889</v>
      </c>
      <c r="B1974" s="34">
        <v>8788729</v>
      </c>
      <c r="C1974" s="34">
        <v>8890456</v>
      </c>
      <c r="D1974" s="34">
        <v>8492933</v>
      </c>
      <c r="E1974" s="92" t="s">
        <v>7940</v>
      </c>
      <c r="F1974" s="89" t="s">
        <v>3114</v>
      </c>
      <c r="G1974" s="29" t="s">
        <v>8884</v>
      </c>
    </row>
    <row r="1975" spans="1:7">
      <c r="A1975" s="33">
        <v>43890</v>
      </c>
      <c r="B1975" s="34">
        <v>8671213</v>
      </c>
      <c r="C1975" s="34">
        <v>8775632</v>
      </c>
      <c r="D1975" s="34">
        <v>8599509</v>
      </c>
      <c r="E1975" s="92" t="s">
        <v>7936</v>
      </c>
      <c r="F1975" s="89" t="s">
        <v>3102</v>
      </c>
      <c r="G1975" s="29" t="s">
        <v>8848</v>
      </c>
    </row>
    <row r="1976" spans="1:7">
      <c r="A1976" s="33">
        <v>43891</v>
      </c>
      <c r="B1976" s="34">
        <v>8599759</v>
      </c>
      <c r="C1976" s="34">
        <v>8726797</v>
      </c>
      <c r="D1976" s="34">
        <v>8471213</v>
      </c>
      <c r="E1976" s="92" t="s">
        <v>7931</v>
      </c>
      <c r="F1976" s="89" t="s">
        <v>2433</v>
      </c>
      <c r="G1976" s="29" t="s">
        <v>8885</v>
      </c>
    </row>
    <row r="1977" spans="1:7">
      <c r="A1977" s="33">
        <v>43892</v>
      </c>
      <c r="B1977" s="34">
        <v>8563265</v>
      </c>
      <c r="C1977" s="34">
        <v>8921309</v>
      </c>
      <c r="D1977" s="34">
        <v>8532631</v>
      </c>
      <c r="E1977" s="92" t="s">
        <v>8886</v>
      </c>
      <c r="F1977" s="89" t="s">
        <v>2422</v>
      </c>
      <c r="G1977" s="29" t="s">
        <v>8887</v>
      </c>
    </row>
    <row r="1978" spans="1:7">
      <c r="A1978" s="33">
        <v>43893</v>
      </c>
      <c r="B1978" s="34">
        <v>8865388</v>
      </c>
      <c r="C1978" s="34">
        <v>8901599</v>
      </c>
      <c r="D1978" s="29" t="s">
        <v>8888</v>
      </c>
      <c r="E1978" s="92" t="s">
        <v>7927</v>
      </c>
      <c r="F1978" s="89" t="s">
        <v>8889</v>
      </c>
      <c r="G1978" s="29" t="s">
        <v>8890</v>
      </c>
    </row>
    <row r="1979" spans="1:7">
      <c r="A1979" s="33">
        <v>43894</v>
      </c>
      <c r="B1979" s="34">
        <v>8788542</v>
      </c>
      <c r="C1979" s="34">
        <v>8843366</v>
      </c>
      <c r="D1979" s="34">
        <v>8712432</v>
      </c>
      <c r="E1979" s="92" t="s">
        <v>7924</v>
      </c>
      <c r="F1979" s="89" t="s">
        <v>7935</v>
      </c>
      <c r="G1979" s="29" t="s">
        <v>8891</v>
      </c>
    </row>
    <row r="1980" spans="1:7">
      <c r="A1980" s="33">
        <v>43895</v>
      </c>
      <c r="B1980" s="34">
        <v>8760285</v>
      </c>
      <c r="C1980" s="34">
        <v>9142055</v>
      </c>
      <c r="D1980" s="34">
        <v>8757254</v>
      </c>
      <c r="E1980" s="92" t="s">
        <v>7919</v>
      </c>
      <c r="F1980" s="89" t="s">
        <v>3078</v>
      </c>
      <c r="G1980" s="29" t="s">
        <v>8892</v>
      </c>
    </row>
    <row r="1981" spans="1:7">
      <c r="A1981" s="33">
        <v>43896</v>
      </c>
      <c r="B1981" s="34">
        <v>9078309</v>
      </c>
      <c r="C1981" s="34">
        <v>9167695</v>
      </c>
      <c r="D1981" s="34">
        <v>9032079</v>
      </c>
      <c r="E1981" s="92" t="s">
        <v>35</v>
      </c>
      <c r="F1981" s="89" t="s">
        <v>3070</v>
      </c>
      <c r="G1981" s="29" t="s">
        <v>8893</v>
      </c>
    </row>
    <row r="1982" spans="1:7">
      <c r="A1982" s="33">
        <v>43897</v>
      </c>
      <c r="B1982" s="34">
        <v>9121601</v>
      </c>
      <c r="C1982" s="34">
        <v>9163221</v>
      </c>
      <c r="D1982" s="34">
        <v>8890744</v>
      </c>
      <c r="E1982" s="92" t="s">
        <v>7912</v>
      </c>
      <c r="F1982" s="89" t="s">
        <v>7923</v>
      </c>
      <c r="G1982" s="29" t="s">
        <v>8894</v>
      </c>
    </row>
    <row r="1983" spans="1:7">
      <c r="A1983" s="33">
        <v>43898</v>
      </c>
      <c r="B1983" s="34">
        <v>8908206</v>
      </c>
      <c r="C1983" s="34">
        <v>8914344</v>
      </c>
      <c r="D1983" s="34">
        <v>8105253</v>
      </c>
      <c r="E1983" s="92" t="s">
        <v>7907</v>
      </c>
      <c r="F1983" s="89" t="s">
        <v>3074</v>
      </c>
      <c r="G1983" s="35">
        <v>40000000000</v>
      </c>
    </row>
    <row r="1984" spans="1:7">
      <c r="A1984" s="33">
        <v>43899</v>
      </c>
      <c r="B1984" s="34">
        <v>8111146</v>
      </c>
      <c r="C1984" s="34">
        <v>8177793</v>
      </c>
      <c r="D1984" s="34">
        <v>7690098</v>
      </c>
      <c r="E1984" s="92" t="s">
        <v>7902</v>
      </c>
      <c r="F1984" s="89" t="s">
        <v>3066</v>
      </c>
      <c r="G1984" s="29" t="s">
        <v>8895</v>
      </c>
    </row>
    <row r="1985" spans="1:7">
      <c r="A1985" s="33">
        <v>43900</v>
      </c>
      <c r="B1985" s="34">
        <v>7922147</v>
      </c>
      <c r="C1985" s="34">
        <v>8136945</v>
      </c>
      <c r="D1985" s="34">
        <v>7814763</v>
      </c>
      <c r="E1985" s="92" t="s">
        <v>7898</v>
      </c>
      <c r="F1985" s="89" t="s">
        <v>304</v>
      </c>
      <c r="G1985" s="29" t="s">
        <v>8896</v>
      </c>
    </row>
    <row r="1986" spans="1:7">
      <c r="A1986" s="33">
        <v>43901</v>
      </c>
      <c r="B1986" s="29" t="s">
        <v>8897</v>
      </c>
      <c r="C1986" s="34">
        <v>7950814</v>
      </c>
      <c r="D1986" s="34">
        <v>7642813</v>
      </c>
      <c r="E1986" s="92" t="s">
        <v>7893</v>
      </c>
      <c r="F1986" s="89" t="s">
        <v>3184</v>
      </c>
      <c r="G1986" s="29" t="s">
        <v>8898</v>
      </c>
    </row>
    <row r="1987" spans="1:7">
      <c r="A1987" s="33">
        <v>43902</v>
      </c>
      <c r="B1987" s="34">
        <v>7913616</v>
      </c>
      <c r="C1987" s="34">
        <v>7929116</v>
      </c>
      <c r="D1987" s="34">
        <v>4860354</v>
      </c>
      <c r="E1987" s="92" t="s">
        <v>7889</v>
      </c>
      <c r="F1987" s="89" t="s">
        <v>2445</v>
      </c>
      <c r="G1987" s="29" t="s">
        <v>4778</v>
      </c>
    </row>
    <row r="1988" spans="1:7">
      <c r="A1988" s="33">
        <v>43903</v>
      </c>
      <c r="B1988" s="34">
        <v>5017831</v>
      </c>
      <c r="C1988" s="34">
        <v>5838115</v>
      </c>
      <c r="D1988" s="34">
        <v>4106981</v>
      </c>
      <c r="E1988" s="92" t="s">
        <v>7886</v>
      </c>
      <c r="F1988" s="89" t="s">
        <v>2378</v>
      </c>
      <c r="G1988" s="29" t="s">
        <v>8899</v>
      </c>
    </row>
    <row r="1989" spans="1:7">
      <c r="A1989" s="33">
        <v>43904</v>
      </c>
      <c r="B1989" s="34">
        <v>5573078</v>
      </c>
      <c r="C1989" s="34">
        <v>5625227</v>
      </c>
      <c r="D1989" s="34">
        <v>5125069</v>
      </c>
      <c r="E1989" s="92" t="s">
        <v>7882</v>
      </c>
      <c r="F1989" s="89" t="s">
        <v>3176</v>
      </c>
      <c r="G1989" s="29" t="s">
        <v>8894</v>
      </c>
    </row>
    <row r="1990" spans="1:7">
      <c r="A1990" s="33">
        <v>43905</v>
      </c>
      <c r="B1990" s="34">
        <v>5201067</v>
      </c>
      <c r="C1990" s="34">
        <v>5836645</v>
      </c>
      <c r="D1990" s="34">
        <v>5169283</v>
      </c>
      <c r="E1990" s="92" t="s">
        <v>7876</v>
      </c>
      <c r="F1990" s="89" t="s">
        <v>2437</v>
      </c>
      <c r="G1990" s="29" t="s">
        <v>8900</v>
      </c>
    </row>
    <row r="1991" spans="1:7">
      <c r="A1991" s="33">
        <v>43906</v>
      </c>
      <c r="B1991" s="34">
        <v>5385229</v>
      </c>
      <c r="C1991" s="34">
        <v>5385229</v>
      </c>
      <c r="D1991" s="34">
        <v>4575358</v>
      </c>
      <c r="E1991" s="92" t="s">
        <v>7872</v>
      </c>
      <c r="F1991" s="89" t="s">
        <v>7881</v>
      </c>
      <c r="G1991" s="29" t="s">
        <v>8901</v>
      </c>
    </row>
    <row r="1992" spans="1:7">
      <c r="A1992" s="33">
        <v>43907</v>
      </c>
      <c r="B1992" s="34">
        <v>5002578</v>
      </c>
      <c r="C1992" s="34">
        <v>5371349</v>
      </c>
      <c r="D1992" s="34">
        <v>4981909</v>
      </c>
      <c r="E1992" s="92" t="s">
        <v>7866</v>
      </c>
      <c r="F1992" s="89" t="s">
        <v>3172</v>
      </c>
      <c r="G1992" s="29" t="s">
        <v>8902</v>
      </c>
    </row>
    <row r="1993" spans="1:7">
      <c r="A1993" s="33">
        <v>43908</v>
      </c>
      <c r="B1993" s="34">
        <v>5227114</v>
      </c>
      <c r="C1993" s="34">
        <v>5331834</v>
      </c>
      <c r="D1993" s="34">
        <v>5069336</v>
      </c>
      <c r="E1993" s="92" t="s">
        <v>7862</v>
      </c>
      <c r="F1993" s="89" t="s">
        <v>7871</v>
      </c>
      <c r="G1993" s="29" t="s">
        <v>8903</v>
      </c>
    </row>
    <row r="1994" spans="1:7">
      <c r="A1994" s="33">
        <v>43909</v>
      </c>
      <c r="B1994" s="34">
        <v>5245417</v>
      </c>
      <c r="C1994" s="34">
        <v>6329736</v>
      </c>
      <c r="D1994" s="34">
        <v>5236969</v>
      </c>
      <c r="E1994" s="92" t="s">
        <v>7858</v>
      </c>
      <c r="F1994" s="89" t="s">
        <v>2481</v>
      </c>
      <c r="G1994" s="29" t="s">
        <v>8904</v>
      </c>
    </row>
    <row r="1995" spans="1:7">
      <c r="A1995" s="33">
        <v>43910</v>
      </c>
      <c r="B1995" s="34">
        <v>6191654</v>
      </c>
      <c r="C1995" s="34">
        <v>6844262</v>
      </c>
      <c r="D1995" s="34">
        <v>5865782</v>
      </c>
      <c r="E1995" s="92" t="s">
        <v>7853</v>
      </c>
      <c r="F1995" s="89" t="s">
        <v>2374</v>
      </c>
      <c r="G1995" s="29" t="s">
        <v>8905</v>
      </c>
    </row>
    <row r="1996" spans="1:7">
      <c r="A1996" s="33">
        <v>43911</v>
      </c>
      <c r="B1996" s="34">
        <v>6206521</v>
      </c>
      <c r="C1996" s="34">
        <v>6378135</v>
      </c>
      <c r="D1996" s="34">
        <v>5932823</v>
      </c>
      <c r="E1996" s="92" t="s">
        <v>7848</v>
      </c>
      <c r="F1996" s="89" t="s">
        <v>324</v>
      </c>
      <c r="G1996" s="29" t="s">
        <v>8880</v>
      </c>
    </row>
    <row r="1997" spans="1:7">
      <c r="A1997" s="33">
        <v>43912</v>
      </c>
      <c r="B1997" s="34">
        <v>6185558</v>
      </c>
      <c r="C1997" s="34">
        <v>6359697</v>
      </c>
      <c r="D1997" s="34">
        <v>5823714</v>
      </c>
      <c r="E1997" s="92" t="s">
        <v>31</v>
      </c>
      <c r="F1997" s="89" t="s">
        <v>3110</v>
      </c>
      <c r="G1997" s="29" t="s">
        <v>8822</v>
      </c>
    </row>
    <row r="1998" spans="1:7">
      <c r="A1998" s="33">
        <v>43913</v>
      </c>
      <c r="B1998" s="34">
        <v>5831375</v>
      </c>
      <c r="C1998" s="34">
        <v>6443935</v>
      </c>
      <c r="D1998" s="34">
        <v>5785004</v>
      </c>
      <c r="E1998" s="92" t="s">
        <v>43</v>
      </c>
      <c r="F1998" s="89" t="s">
        <v>7847</v>
      </c>
      <c r="G1998" s="29" t="s">
        <v>8906</v>
      </c>
    </row>
    <row r="1999" spans="1:7">
      <c r="A1999" s="33">
        <v>43914</v>
      </c>
      <c r="B1999" s="34">
        <v>6436643</v>
      </c>
      <c r="C1999" s="34">
        <v>6789023</v>
      </c>
      <c r="D1999" s="34">
        <v>6411066</v>
      </c>
      <c r="E1999" s="92" t="s">
        <v>7836</v>
      </c>
      <c r="F1999" s="89" t="s">
        <v>2418</v>
      </c>
      <c r="G1999" s="29" t="s">
        <v>8907</v>
      </c>
    </row>
    <row r="2000" spans="1:7">
      <c r="A2000" s="33">
        <v>43915</v>
      </c>
      <c r="B2000" s="34">
        <v>6738717</v>
      </c>
      <c r="C2000" s="34">
        <v>6892511</v>
      </c>
      <c r="D2000" s="34">
        <v>6536926</v>
      </c>
      <c r="E2000" s="92" t="s">
        <v>7833</v>
      </c>
      <c r="F2000" s="89" t="s">
        <v>3098</v>
      </c>
      <c r="G2000" s="29" t="s">
        <v>8884</v>
      </c>
    </row>
    <row r="2001" spans="1:7">
      <c r="A2001" s="33">
        <v>43916</v>
      </c>
      <c r="B2001" s="34">
        <v>6675171</v>
      </c>
      <c r="C2001" s="29" t="s">
        <v>4778</v>
      </c>
      <c r="D2001" s="34">
        <v>6590963</v>
      </c>
      <c r="E2001" s="92" t="s">
        <v>7828</v>
      </c>
      <c r="F2001" s="89" t="s">
        <v>2414</v>
      </c>
      <c r="G2001" s="29" t="s">
        <v>8885</v>
      </c>
    </row>
    <row r="2002" spans="1:7">
      <c r="A2002" s="33">
        <v>43917</v>
      </c>
      <c r="B2002" s="34">
        <v>6719389</v>
      </c>
      <c r="C2002" s="34">
        <v>6793836</v>
      </c>
      <c r="D2002" s="34">
        <v>6466702</v>
      </c>
      <c r="E2002" s="92" t="s">
        <v>8908</v>
      </c>
      <c r="F2002" s="89" t="s">
        <v>7832</v>
      </c>
      <c r="G2002" s="29" t="s">
        <v>8909</v>
      </c>
    </row>
    <row r="2003" spans="1:7">
      <c r="A2003" s="33">
        <v>43918</v>
      </c>
      <c r="B2003" s="34">
        <v>6467254</v>
      </c>
      <c r="C2003" s="34">
        <v>6467501</v>
      </c>
      <c r="D2003" s="34">
        <v>6117838</v>
      </c>
      <c r="E2003" s="92" t="s">
        <v>7823</v>
      </c>
      <c r="F2003" s="89" t="s">
        <v>2370</v>
      </c>
      <c r="G2003" s="29" t="s">
        <v>8910</v>
      </c>
    </row>
    <row r="2004" spans="1:7">
      <c r="A2004" s="33">
        <v>43919</v>
      </c>
      <c r="B2004" s="34">
        <v>6245625</v>
      </c>
      <c r="C2004" s="34">
        <v>6250467</v>
      </c>
      <c r="D2004" s="34">
        <v>5920086</v>
      </c>
      <c r="E2004" s="92" t="s">
        <v>39</v>
      </c>
      <c r="F2004" s="89" t="s">
        <v>7822</v>
      </c>
      <c r="G2004" s="29" t="s">
        <v>8775</v>
      </c>
    </row>
    <row r="2005" spans="1:7">
      <c r="A2005" s="33">
        <v>43920</v>
      </c>
      <c r="B2005" s="34">
        <v>5925539</v>
      </c>
      <c r="C2005" s="34">
        <v>6517196</v>
      </c>
      <c r="D2005" s="34">
        <v>5903234</v>
      </c>
      <c r="E2005" s="92" t="s">
        <v>7813</v>
      </c>
      <c r="F2005" s="89" t="s">
        <v>7818</v>
      </c>
      <c r="G2005" s="29" t="s">
        <v>8911</v>
      </c>
    </row>
    <row r="2006" spans="1:7">
      <c r="A2006" s="33">
        <v>43921</v>
      </c>
      <c r="B2006" s="34">
        <v>6430606</v>
      </c>
      <c r="C2006" s="34">
        <v>6504515</v>
      </c>
      <c r="D2006" s="34">
        <v>6374162</v>
      </c>
      <c r="E2006" s="92" t="s">
        <v>7808</v>
      </c>
      <c r="F2006" s="89" t="s">
        <v>3094</v>
      </c>
      <c r="G2006" s="29" t="s">
        <v>8912</v>
      </c>
    </row>
    <row r="2007" spans="1:7">
      <c r="A2007" s="33">
        <v>43922</v>
      </c>
      <c r="B2007" s="34">
        <v>6437319</v>
      </c>
      <c r="C2007" s="34">
        <v>6612574</v>
      </c>
      <c r="D2007" s="34">
        <v>6202374</v>
      </c>
      <c r="E2007" s="92" t="s">
        <v>7802</v>
      </c>
      <c r="F2007" s="89" t="s">
        <v>7807</v>
      </c>
      <c r="G2007" s="29" t="s">
        <v>8913</v>
      </c>
    </row>
    <row r="2008" spans="1:7">
      <c r="A2008" s="33">
        <v>43923</v>
      </c>
      <c r="B2008" s="34">
        <v>6606776</v>
      </c>
      <c r="C2008" s="34">
        <v>7088248</v>
      </c>
      <c r="D2008" s="34">
        <v>6595918</v>
      </c>
      <c r="E2008" s="92" t="s">
        <v>23</v>
      </c>
      <c r="F2008" s="89" t="s">
        <v>3192</v>
      </c>
      <c r="G2008" s="29" t="s">
        <v>8914</v>
      </c>
    </row>
    <row r="2009" spans="1:7">
      <c r="A2009" s="33">
        <v>43924</v>
      </c>
      <c r="B2009" s="34">
        <v>6797396</v>
      </c>
      <c r="C2009" s="34">
        <v>7003221</v>
      </c>
      <c r="D2009" s="34">
        <v>6673336</v>
      </c>
      <c r="E2009" s="92" t="s">
        <v>7797</v>
      </c>
      <c r="F2009" s="89" t="s">
        <v>312</v>
      </c>
      <c r="G2009" s="29" t="s">
        <v>8915</v>
      </c>
    </row>
    <row r="2010" spans="1:7">
      <c r="A2010" s="33">
        <v>43925</v>
      </c>
      <c r="B2010" s="34">
        <v>6738383</v>
      </c>
      <c r="C2010" s="34">
        <v>6878954</v>
      </c>
      <c r="D2010" s="34">
        <v>6696485</v>
      </c>
      <c r="E2010" s="92" t="s">
        <v>7792</v>
      </c>
      <c r="F2010" s="89" t="s">
        <v>7796</v>
      </c>
      <c r="G2010" s="29" t="s">
        <v>8916</v>
      </c>
    </row>
    <row r="2011" spans="1:7">
      <c r="A2011" s="33">
        <v>43926</v>
      </c>
      <c r="B2011" s="34">
        <v>6862538</v>
      </c>
      <c r="C2011" s="34">
        <v>6883414</v>
      </c>
      <c r="D2011" s="34">
        <v>6715929</v>
      </c>
      <c r="E2011" s="92" t="s">
        <v>27</v>
      </c>
      <c r="F2011" s="89" t="s">
        <v>3180</v>
      </c>
      <c r="G2011" s="29" t="s">
        <v>8917</v>
      </c>
    </row>
    <row r="2012" spans="1:7">
      <c r="A2012" s="33">
        <v>43927</v>
      </c>
      <c r="B2012" s="29" t="s">
        <v>8918</v>
      </c>
      <c r="C2012" s="34">
        <v>7271781</v>
      </c>
      <c r="D2012" s="29" t="s">
        <v>8919</v>
      </c>
      <c r="E2012" s="92" t="s">
        <v>7784</v>
      </c>
      <c r="F2012" s="89" t="s">
        <v>8920</v>
      </c>
      <c r="G2012" s="29" t="s">
        <v>8895</v>
      </c>
    </row>
    <row r="2013" spans="1:7">
      <c r="A2013" s="33">
        <v>43928</v>
      </c>
      <c r="B2013" s="34">
        <v>7273644</v>
      </c>
      <c r="C2013" s="34">
        <v>7427939</v>
      </c>
      <c r="D2013" s="34">
        <v>7136714</v>
      </c>
      <c r="E2013" s="92" t="s">
        <v>7778</v>
      </c>
      <c r="F2013" s="89" t="s">
        <v>7789</v>
      </c>
      <c r="G2013" s="29" t="s">
        <v>8921</v>
      </c>
    </row>
    <row r="2014" spans="1:7">
      <c r="A2014" s="33">
        <v>43929</v>
      </c>
      <c r="B2014" s="34">
        <v>7179283</v>
      </c>
      <c r="C2014" s="34">
        <v>7356224</v>
      </c>
      <c r="D2014" s="34">
        <v>7153306</v>
      </c>
      <c r="E2014" s="92" t="s">
        <v>7769</v>
      </c>
      <c r="F2014" s="89" t="s">
        <v>7783</v>
      </c>
      <c r="G2014" s="29" t="s">
        <v>8843</v>
      </c>
    </row>
    <row r="2015" spans="1:7">
      <c r="A2015" s="33">
        <v>43930</v>
      </c>
      <c r="B2015" s="34">
        <v>7337966</v>
      </c>
      <c r="C2015" s="34">
        <v>7341448</v>
      </c>
      <c r="D2015" s="34">
        <v>7179094</v>
      </c>
      <c r="E2015" s="92" t="s">
        <v>7764</v>
      </c>
      <c r="F2015" s="89" t="s">
        <v>3145</v>
      </c>
      <c r="G2015" s="29" t="s">
        <v>8922</v>
      </c>
    </row>
    <row r="2016" spans="1:7">
      <c r="A2016" s="33">
        <v>43931</v>
      </c>
      <c r="B2016" s="34">
        <v>7303815</v>
      </c>
      <c r="C2016" s="34">
        <v>7303815</v>
      </c>
      <c r="D2016" s="34">
        <v>6802475</v>
      </c>
      <c r="E2016" s="92" t="s">
        <v>7758</v>
      </c>
      <c r="F2016" s="89" t="s">
        <v>3188</v>
      </c>
      <c r="G2016" s="29" t="s">
        <v>8923</v>
      </c>
    </row>
    <row r="2017" spans="1:7">
      <c r="A2017" s="33">
        <v>43932</v>
      </c>
      <c r="B2017" s="29" t="s">
        <v>8924</v>
      </c>
      <c r="C2017" s="29" t="s">
        <v>8925</v>
      </c>
      <c r="D2017" s="34">
        <v>6789921</v>
      </c>
      <c r="E2017" s="92" t="s">
        <v>8926</v>
      </c>
      <c r="F2017" s="89" t="s">
        <v>2410</v>
      </c>
      <c r="G2017" s="29" t="s">
        <v>8927</v>
      </c>
    </row>
    <row r="2018" spans="1:7">
      <c r="A2018" s="33">
        <v>43933</v>
      </c>
      <c r="B2018" s="34">
        <v>6858068</v>
      </c>
      <c r="C2018" s="34">
        <v>7119947</v>
      </c>
      <c r="D2018" s="34">
        <v>6811078</v>
      </c>
      <c r="E2018" s="92" t="s">
        <v>7754</v>
      </c>
      <c r="F2018" s="89" t="s">
        <v>7763</v>
      </c>
      <c r="G2018" s="29" t="s">
        <v>8848</v>
      </c>
    </row>
    <row r="2019" spans="1:7">
      <c r="A2019" s="33">
        <v>43934</v>
      </c>
      <c r="B2019" s="34">
        <v>6965617</v>
      </c>
      <c r="C2019" s="34">
        <v>6965617</v>
      </c>
      <c r="D2019" s="29" t="s">
        <v>8928</v>
      </c>
      <c r="E2019" s="92" t="s">
        <v>8929</v>
      </c>
      <c r="F2019" s="89" t="s">
        <v>7757</v>
      </c>
      <c r="G2019" s="29" t="s">
        <v>4778</v>
      </c>
    </row>
    <row r="2020" spans="1:7">
      <c r="A2020" s="33">
        <v>43935</v>
      </c>
      <c r="B2020" s="34">
        <v>6843282</v>
      </c>
      <c r="C2020" s="34">
        <v>6958557</v>
      </c>
      <c r="D2020" s="34">
        <v>6793821</v>
      </c>
      <c r="E2020" s="92" t="s">
        <v>7750</v>
      </c>
      <c r="F2020" s="89" t="s">
        <v>7753</v>
      </c>
      <c r="G2020" s="29" t="s">
        <v>8930</v>
      </c>
    </row>
    <row r="2021" spans="1:7">
      <c r="A2021" s="33">
        <v>43936</v>
      </c>
      <c r="B2021" s="34">
        <v>6845562</v>
      </c>
      <c r="C2021" s="34">
        <v>6928665</v>
      </c>
      <c r="D2021" s="34">
        <v>6633403</v>
      </c>
      <c r="E2021" s="92" t="s">
        <v>7745</v>
      </c>
      <c r="F2021" s="89" t="s">
        <v>3090</v>
      </c>
      <c r="G2021" s="29" t="s">
        <v>8826</v>
      </c>
    </row>
    <row r="2022" spans="1:7">
      <c r="A2022" s="33">
        <v>43937</v>
      </c>
      <c r="B2022" s="34">
        <v>6640454</v>
      </c>
      <c r="C2022" s="34">
        <v>7134451</v>
      </c>
      <c r="D2022" s="34">
        <v>6555504</v>
      </c>
      <c r="E2022" s="92" t="s">
        <v>7742</v>
      </c>
      <c r="F2022" s="89" t="s">
        <v>328</v>
      </c>
      <c r="G2022" s="29" t="s">
        <v>8931</v>
      </c>
    </row>
    <row r="2023" spans="1:7">
      <c r="A2023" s="33">
        <v>43938</v>
      </c>
      <c r="B2023" s="34">
        <v>7116553</v>
      </c>
      <c r="C2023" s="34">
        <v>7167183</v>
      </c>
      <c r="D2023" s="34">
        <v>7050332</v>
      </c>
      <c r="E2023" s="92" t="s">
        <v>7739</v>
      </c>
      <c r="F2023" s="89" t="s">
        <v>3082</v>
      </c>
      <c r="G2023" s="29" t="s">
        <v>8932</v>
      </c>
    </row>
    <row r="2024" spans="1:7">
      <c r="A2024" s="33">
        <v>43939</v>
      </c>
      <c r="B2024" s="34">
        <v>7092292</v>
      </c>
      <c r="C2024" s="34">
        <v>7269957</v>
      </c>
      <c r="D2024" s="34">
        <v>7089247</v>
      </c>
      <c r="E2024" s="92" t="s">
        <v>7734</v>
      </c>
      <c r="F2024" s="89" t="s">
        <v>320</v>
      </c>
      <c r="G2024" s="29" t="s">
        <v>8837</v>
      </c>
    </row>
    <row r="2025" spans="1:7">
      <c r="A2025" s="33">
        <v>43940</v>
      </c>
      <c r="B2025" s="34">
        <v>7260922</v>
      </c>
      <c r="C2025" s="34">
        <v>7280522</v>
      </c>
      <c r="D2025" s="34">
        <v>7167055</v>
      </c>
      <c r="E2025" s="92" t="s">
        <v>7729</v>
      </c>
      <c r="F2025" s="89" t="s">
        <v>7733</v>
      </c>
      <c r="G2025" s="29" t="s">
        <v>8823</v>
      </c>
    </row>
    <row r="2026" spans="1:7">
      <c r="A2026" s="33">
        <v>43941</v>
      </c>
      <c r="B2026" s="34">
        <v>7186874</v>
      </c>
      <c r="C2026" s="34">
        <v>7240291</v>
      </c>
      <c r="D2026" s="34">
        <v>6835503</v>
      </c>
      <c r="E2026" s="92" t="s">
        <v>7724</v>
      </c>
      <c r="F2026" s="89" t="s">
        <v>2406</v>
      </c>
      <c r="G2026" s="29" t="s">
        <v>8933</v>
      </c>
    </row>
    <row r="2027" spans="1:7">
      <c r="A2027" s="33">
        <v>43942</v>
      </c>
      <c r="B2027" s="34">
        <v>6879784</v>
      </c>
      <c r="C2027" s="34">
        <v>6934552</v>
      </c>
      <c r="D2027" s="34">
        <v>6834442</v>
      </c>
      <c r="E2027" s="92" t="s">
        <v>7720</v>
      </c>
      <c r="F2027" s="89" t="s">
        <v>2441</v>
      </c>
      <c r="G2027" s="29" t="s">
        <v>8772</v>
      </c>
    </row>
    <row r="2028" spans="1:7">
      <c r="A2028" s="33">
        <v>43943</v>
      </c>
      <c r="B2028" s="29" t="s">
        <v>8934</v>
      </c>
      <c r="C2028" s="34">
        <v>7145866</v>
      </c>
      <c r="D2028" s="34">
        <v>6867782</v>
      </c>
      <c r="E2028" s="92" t="s">
        <v>7716</v>
      </c>
      <c r="F2028" s="89" t="s">
        <v>2402</v>
      </c>
      <c r="G2028" s="29" t="s">
        <v>8916</v>
      </c>
    </row>
    <row r="2029" spans="1:7">
      <c r="A2029" s="33">
        <v>43944</v>
      </c>
      <c r="B2029" s="34">
        <v>7121306</v>
      </c>
      <c r="C2029" s="34">
        <v>7491785</v>
      </c>
      <c r="D2029" s="34">
        <v>7081595</v>
      </c>
      <c r="E2029" s="92" t="s">
        <v>7712</v>
      </c>
      <c r="F2029" s="89" t="s">
        <v>308</v>
      </c>
      <c r="G2029" s="29" t="s">
        <v>8935</v>
      </c>
    </row>
    <row r="2030" spans="1:7">
      <c r="A2030" s="33">
        <v>43945</v>
      </c>
      <c r="B2030" s="34">
        <v>7434182</v>
      </c>
      <c r="C2030" s="34">
        <v>7574196</v>
      </c>
      <c r="D2030" s="34">
        <v>7434182</v>
      </c>
      <c r="E2030" s="92" t="s">
        <v>7708</v>
      </c>
      <c r="F2030" s="89" t="s">
        <v>2473</v>
      </c>
      <c r="G2030" s="29" t="s">
        <v>8909</v>
      </c>
    </row>
    <row r="2031" spans="1:7">
      <c r="A2031" s="33">
        <v>43946</v>
      </c>
      <c r="B2031" s="34">
        <v>7550483</v>
      </c>
      <c r="C2031" s="34">
        <v>7641364</v>
      </c>
      <c r="D2031" s="34">
        <v>7521672</v>
      </c>
      <c r="E2031" s="92" t="s">
        <v>7703</v>
      </c>
      <c r="F2031" s="89" t="s">
        <v>7707</v>
      </c>
      <c r="G2031" s="29" t="s">
        <v>8936</v>
      </c>
    </row>
    <row r="2032" spans="1:7">
      <c r="A2032" s="33">
        <v>43947</v>
      </c>
      <c r="B2032" s="34">
        <v>7570139</v>
      </c>
      <c r="C2032" s="29" t="s">
        <v>4778</v>
      </c>
      <c r="D2032" s="34">
        <v>7561408</v>
      </c>
      <c r="E2032" s="92" t="s">
        <v>7698</v>
      </c>
      <c r="F2032" s="89" t="s">
        <v>3168</v>
      </c>
      <c r="G2032" s="29" t="s">
        <v>4778</v>
      </c>
    </row>
    <row r="2033" spans="1:7">
      <c r="A2033" s="33">
        <v>43948</v>
      </c>
      <c r="B2033" s="34">
        <v>7679419</v>
      </c>
      <c r="C2033" s="34">
        <v>7795601</v>
      </c>
      <c r="D2033" s="34">
        <v>7679419</v>
      </c>
      <c r="E2033" s="92" t="s">
        <v>7694</v>
      </c>
      <c r="F2033" s="89" t="s">
        <v>2449</v>
      </c>
      <c r="G2033" s="29" t="s">
        <v>8894</v>
      </c>
    </row>
    <row r="2034" spans="1:7">
      <c r="A2034" s="33">
        <v>43949</v>
      </c>
      <c r="B2034" s="29" t="s">
        <v>8937</v>
      </c>
      <c r="C2034" s="34">
        <v>7814527</v>
      </c>
      <c r="D2034" s="34">
        <v>7730807</v>
      </c>
      <c r="E2034" s="92" t="s">
        <v>7690</v>
      </c>
      <c r="F2034" s="89" t="s">
        <v>2453</v>
      </c>
      <c r="G2034" s="29" t="s">
        <v>8916</v>
      </c>
    </row>
    <row r="2035" spans="1:7">
      <c r="A2035" s="33">
        <v>43950</v>
      </c>
      <c r="B2035" s="34">
        <v>7806712</v>
      </c>
      <c r="C2035" s="34">
        <v>8871754</v>
      </c>
      <c r="D2035" s="34">
        <v>7786049</v>
      </c>
      <c r="E2035" s="92" t="s">
        <v>7685</v>
      </c>
      <c r="F2035" s="89" t="s">
        <v>7689</v>
      </c>
      <c r="G2035" s="29" t="s">
        <v>8938</v>
      </c>
    </row>
    <row r="2036" spans="1:7">
      <c r="A2036" s="33">
        <v>43951</v>
      </c>
      <c r="B2036" s="29" t="s">
        <v>8939</v>
      </c>
      <c r="C2036" s="29" t="s">
        <v>8940</v>
      </c>
      <c r="D2036" s="34">
        <v>8533256</v>
      </c>
      <c r="E2036" s="92" t="s">
        <v>8941</v>
      </c>
      <c r="F2036" s="89" t="s">
        <v>7684</v>
      </c>
      <c r="G2036" s="29" t="s">
        <v>8942</v>
      </c>
    </row>
    <row r="2037" spans="1:7">
      <c r="A2037" s="33">
        <v>43952</v>
      </c>
      <c r="B2037" s="34">
        <v>8672782</v>
      </c>
      <c r="C2037" s="34">
        <v>9048023</v>
      </c>
      <c r="D2037" s="34">
        <v>8667764</v>
      </c>
      <c r="E2037" s="92" t="s">
        <v>7680</v>
      </c>
      <c r="F2037" s="89" t="s">
        <v>2469</v>
      </c>
      <c r="G2037" s="29" t="s">
        <v>8943</v>
      </c>
    </row>
    <row r="2038" spans="1:7">
      <c r="A2038" s="33">
        <v>43953</v>
      </c>
      <c r="B2038" s="34">
        <v>8869058</v>
      </c>
      <c r="C2038" s="34">
        <v>9007188</v>
      </c>
      <c r="D2038" s="34">
        <v>8811366</v>
      </c>
      <c r="E2038" s="92" t="s">
        <v>7676</v>
      </c>
      <c r="F2038" s="89" t="s">
        <v>3164</v>
      </c>
      <c r="G2038" s="29" t="s">
        <v>8822</v>
      </c>
    </row>
    <row r="2039" spans="1:7">
      <c r="A2039" s="33">
        <v>43954</v>
      </c>
      <c r="B2039" s="34">
        <v>8983614</v>
      </c>
      <c r="C2039" s="34">
        <v>9167781</v>
      </c>
      <c r="D2039" s="34">
        <v>8830972</v>
      </c>
      <c r="E2039" s="92" t="s">
        <v>7673</v>
      </c>
      <c r="F2039" s="89" t="s">
        <v>3236</v>
      </c>
      <c r="G2039" s="29" t="s">
        <v>8944</v>
      </c>
    </row>
    <row r="2040" spans="1:7">
      <c r="A2040" s="33">
        <v>43955</v>
      </c>
      <c r="B2040" s="34">
        <v>8895745</v>
      </c>
      <c r="C2040" s="34">
        <v>8956906</v>
      </c>
      <c r="D2040" s="34">
        <v>8645024</v>
      </c>
      <c r="E2040" s="92" t="s">
        <v>7668</v>
      </c>
      <c r="F2040" s="89" t="s">
        <v>7667</v>
      </c>
      <c r="G2040" s="29" t="s">
        <v>4778</v>
      </c>
    </row>
    <row r="2041" spans="1:7">
      <c r="A2041" s="33">
        <v>43956</v>
      </c>
      <c r="B2041" s="34">
        <v>8912832</v>
      </c>
      <c r="C2041" s="34">
        <v>9062415</v>
      </c>
      <c r="D2041" s="34">
        <v>8856827</v>
      </c>
      <c r="E2041" s="92" t="s">
        <v>7662</v>
      </c>
      <c r="F2041" s="89" t="s">
        <v>3140</v>
      </c>
      <c r="G2041" s="29" t="s">
        <v>8945</v>
      </c>
    </row>
    <row r="2042" spans="1:7">
      <c r="A2042" s="33">
        <v>43957</v>
      </c>
      <c r="B2042" s="34">
        <v>9007441</v>
      </c>
      <c r="C2042" s="34">
        <v>9411468</v>
      </c>
      <c r="D2042" s="34">
        <v>8966706</v>
      </c>
      <c r="E2042" s="92" t="s">
        <v>7658</v>
      </c>
      <c r="F2042" s="89" t="s">
        <v>2465</v>
      </c>
      <c r="G2042" s="29" t="s">
        <v>8859</v>
      </c>
    </row>
    <row r="2043" spans="1:7">
      <c r="A2043" s="33">
        <v>43958</v>
      </c>
      <c r="B2043" s="34">
        <v>9261896</v>
      </c>
      <c r="C2043" s="34">
        <v>9992664</v>
      </c>
      <c r="D2043" s="34">
        <v>9138322</v>
      </c>
      <c r="E2043" s="92" t="s">
        <v>7653</v>
      </c>
      <c r="F2043" s="89" t="s">
        <v>3156</v>
      </c>
      <c r="G2043" s="29" t="s">
        <v>8946</v>
      </c>
    </row>
    <row r="2044" spans="1:7">
      <c r="A2044" s="33">
        <v>43959</v>
      </c>
      <c r="B2044" s="34">
        <v>9936162</v>
      </c>
      <c r="C2044" s="34">
        <v>9996743</v>
      </c>
      <c r="D2044" s="34">
        <v>9767173</v>
      </c>
      <c r="E2044" s="92" t="s">
        <v>7649</v>
      </c>
      <c r="F2044" s="89" t="s">
        <v>7648</v>
      </c>
      <c r="G2044" s="29" t="s">
        <v>8947</v>
      </c>
    </row>
    <row r="2045" spans="1:7">
      <c r="A2045" s="33">
        <v>43960</v>
      </c>
      <c r="B2045" s="34">
        <v>9840906</v>
      </c>
      <c r="C2045" s="34">
        <v>9913863</v>
      </c>
      <c r="D2045" s="34">
        <v>9580645</v>
      </c>
      <c r="E2045" s="92" t="s">
        <v>7643</v>
      </c>
      <c r="F2045" s="89" t="s">
        <v>3244</v>
      </c>
      <c r="G2045" s="29" t="s">
        <v>8948</v>
      </c>
    </row>
    <row r="2046" spans="1:7">
      <c r="A2046" s="33">
        <v>43961</v>
      </c>
      <c r="B2046" s="34">
        <v>9591169</v>
      </c>
      <c r="C2046" s="34">
        <v>9595581</v>
      </c>
      <c r="D2046" s="34">
        <v>8395107</v>
      </c>
      <c r="E2046" s="92" t="s">
        <v>8949</v>
      </c>
      <c r="F2046" s="89" t="s">
        <v>2457</v>
      </c>
      <c r="G2046" s="29" t="s">
        <v>8950</v>
      </c>
    </row>
    <row r="2047" spans="1:7">
      <c r="A2047" s="33">
        <v>43962</v>
      </c>
      <c r="B2047" s="34">
        <v>8755535</v>
      </c>
      <c r="C2047" s="34">
        <v>9033471</v>
      </c>
      <c r="D2047" s="34">
        <v>8374323</v>
      </c>
      <c r="E2047" s="92" t="s">
        <v>7640</v>
      </c>
      <c r="F2047" s="89" t="s">
        <v>2461</v>
      </c>
      <c r="G2047" s="29" t="s">
        <v>8951</v>
      </c>
    </row>
    <row r="2048" spans="1:7">
      <c r="A2048" s="33">
        <v>43963</v>
      </c>
      <c r="B2048" s="34">
        <v>8610386</v>
      </c>
      <c r="C2048" s="34">
        <v>8949898</v>
      </c>
      <c r="D2048" s="34">
        <v>8569644</v>
      </c>
      <c r="E2048" s="92" t="s">
        <v>7635</v>
      </c>
      <c r="F2048" s="89" t="s">
        <v>7629</v>
      </c>
      <c r="G2048" s="29" t="s">
        <v>8952</v>
      </c>
    </row>
    <row r="2049" spans="1:7">
      <c r="A2049" s="33">
        <v>43964</v>
      </c>
      <c r="B2049" s="34">
        <v>8805388</v>
      </c>
      <c r="C2049" s="34">
        <v>9317879</v>
      </c>
      <c r="D2049" s="34">
        <v>8805388</v>
      </c>
      <c r="E2049" s="92" t="s">
        <v>7630</v>
      </c>
      <c r="F2049" s="89" t="s">
        <v>7623</v>
      </c>
      <c r="G2049" s="29" t="s">
        <v>8953</v>
      </c>
    </row>
    <row r="2050" spans="1:7">
      <c r="A2050" s="33">
        <v>43965</v>
      </c>
      <c r="B2050" s="34">
        <v>9271329</v>
      </c>
      <c r="C2050" s="34">
        <v>9793269</v>
      </c>
      <c r="D2050" s="34">
        <v>9255035</v>
      </c>
      <c r="E2050" s="92" t="s">
        <v>7624</v>
      </c>
      <c r="F2050" s="89" t="s">
        <v>3149</v>
      </c>
      <c r="G2050" s="29" t="s">
        <v>8954</v>
      </c>
    </row>
    <row r="2051" spans="1:7">
      <c r="A2051" s="33">
        <v>43966</v>
      </c>
      <c r="B2051" s="34">
        <v>9734291</v>
      </c>
      <c r="C2051" s="34">
        <v>9755828</v>
      </c>
      <c r="D2051" s="34">
        <v>9261398</v>
      </c>
      <c r="E2051" s="92" t="s">
        <v>8955</v>
      </c>
      <c r="F2051" s="89" t="s">
        <v>7612</v>
      </c>
      <c r="G2051" s="29" t="s">
        <v>8907</v>
      </c>
    </row>
    <row r="2052" spans="1:7">
      <c r="A2052" s="33">
        <v>43967</v>
      </c>
      <c r="B2052" s="29" t="s">
        <v>8956</v>
      </c>
      <c r="C2052" s="34">
        <v>9564205</v>
      </c>
      <c r="D2052" s="34">
        <v>9260694</v>
      </c>
      <c r="E2052" s="92" t="s">
        <v>7618</v>
      </c>
      <c r="F2052" s="89" t="s">
        <v>8957</v>
      </c>
      <c r="G2052" s="29" t="s">
        <v>8894</v>
      </c>
    </row>
    <row r="2053" spans="1:7">
      <c r="A2053" s="33">
        <v>43968</v>
      </c>
      <c r="B2053" s="29" t="s">
        <v>8958</v>
      </c>
      <c r="C2053" s="34">
        <v>9823002</v>
      </c>
      <c r="D2053" s="34">
        <v>9349546</v>
      </c>
      <c r="E2053" s="92" t="s">
        <v>7613</v>
      </c>
      <c r="F2053" s="89" t="s">
        <v>3153</v>
      </c>
      <c r="G2053" s="29" t="s">
        <v>8822</v>
      </c>
    </row>
    <row r="2054" spans="1:7">
      <c r="A2054" s="33">
        <v>43969</v>
      </c>
      <c r="B2054" s="34">
        <v>9675695</v>
      </c>
      <c r="C2054" s="29" t="s">
        <v>8959</v>
      </c>
      <c r="D2054" s="34">
        <v>9570359</v>
      </c>
      <c r="E2054" s="92" t="s">
        <v>7607</v>
      </c>
      <c r="F2054" s="89" t="s">
        <v>332</v>
      </c>
      <c r="G2054" s="29" t="s">
        <v>8960</v>
      </c>
    </row>
    <row r="2055" spans="1:7">
      <c r="A2055" s="33">
        <v>43970</v>
      </c>
      <c r="B2055" s="34">
        <v>9727063</v>
      </c>
      <c r="C2055" s="34">
        <v>9836048</v>
      </c>
      <c r="D2055" s="34">
        <v>9539624</v>
      </c>
      <c r="E2055" s="92" t="s">
        <v>7602</v>
      </c>
      <c r="F2055" s="89" t="s">
        <v>7598</v>
      </c>
      <c r="G2055" s="29" t="s">
        <v>8961</v>
      </c>
    </row>
    <row r="2056" spans="1:7">
      <c r="A2056" s="33">
        <v>43971</v>
      </c>
      <c r="B2056" s="34">
        <v>9725329</v>
      </c>
      <c r="C2056" s="34">
        <v>9804794</v>
      </c>
      <c r="D2056" s="34">
        <v>9447201</v>
      </c>
      <c r="E2056" s="92" t="s">
        <v>8962</v>
      </c>
      <c r="F2056" s="89" t="s">
        <v>3240</v>
      </c>
      <c r="G2056" s="29" t="s">
        <v>8963</v>
      </c>
    </row>
    <row r="2057" spans="1:7">
      <c r="A2057" s="33">
        <v>43972</v>
      </c>
      <c r="B2057" s="29" t="s">
        <v>8964</v>
      </c>
      <c r="C2057" s="34">
        <v>9555242</v>
      </c>
      <c r="D2057" s="34">
        <v>8869931</v>
      </c>
      <c r="E2057" s="92" t="s">
        <v>7599</v>
      </c>
      <c r="F2057" s="89" t="s">
        <v>6090</v>
      </c>
      <c r="G2057" s="29" t="s">
        <v>8961</v>
      </c>
    </row>
    <row r="2058" spans="1:7">
      <c r="A2058" s="33">
        <v>43973</v>
      </c>
      <c r="B2058" s="34">
        <v>9080335</v>
      </c>
      <c r="C2058" s="34">
        <v>9232937</v>
      </c>
      <c r="D2058" s="34">
        <v>9008639</v>
      </c>
      <c r="E2058" s="92" t="s">
        <v>7588</v>
      </c>
      <c r="F2058" s="89" t="s">
        <v>7583</v>
      </c>
      <c r="G2058" s="29" t="s">
        <v>8965</v>
      </c>
    </row>
    <row r="2059" spans="1:7">
      <c r="A2059" s="33">
        <v>43974</v>
      </c>
      <c r="B2059" s="34">
        <v>9185063</v>
      </c>
      <c r="C2059" s="29" t="s">
        <v>4778</v>
      </c>
      <c r="D2059" s="34">
        <v>9118108</v>
      </c>
      <c r="E2059" s="92" t="s">
        <v>7584</v>
      </c>
      <c r="F2059" s="89" t="s">
        <v>3160</v>
      </c>
      <c r="G2059" s="29" t="s">
        <v>8777</v>
      </c>
    </row>
    <row r="2060" spans="1:7">
      <c r="A2060" s="33">
        <v>43975</v>
      </c>
      <c r="B2060" s="34">
        <v>9212283</v>
      </c>
      <c r="C2060" s="34">
        <v>9288404</v>
      </c>
      <c r="D2060" s="34">
        <v>8787251</v>
      </c>
      <c r="E2060" s="92" t="s">
        <v>7578</v>
      </c>
      <c r="F2060" s="89" t="s">
        <v>5994</v>
      </c>
      <c r="G2060" s="29" t="s">
        <v>8932</v>
      </c>
    </row>
    <row r="2061" spans="1:7">
      <c r="A2061" s="33">
        <v>43976</v>
      </c>
      <c r="B2061" s="34">
        <v>8786107</v>
      </c>
      <c r="C2061" s="34">
        <v>8951006</v>
      </c>
      <c r="D2061" s="34">
        <v>8719668</v>
      </c>
      <c r="E2061" s="92" t="s">
        <v>7573</v>
      </c>
      <c r="F2061" s="89" t="s">
        <v>7567</v>
      </c>
      <c r="G2061" s="29" t="s">
        <v>8823</v>
      </c>
    </row>
    <row r="2062" spans="1:7">
      <c r="A2062" s="33">
        <v>43977</v>
      </c>
      <c r="B2062" s="34">
        <v>8909586</v>
      </c>
      <c r="C2062" s="34">
        <v>8991968</v>
      </c>
      <c r="D2062" s="34">
        <v>8757294</v>
      </c>
      <c r="E2062" s="92" t="s">
        <v>7562</v>
      </c>
      <c r="F2062" s="89" t="s">
        <v>3248</v>
      </c>
      <c r="G2062" s="29" t="s">
        <v>8966</v>
      </c>
    </row>
    <row r="2063" spans="1:7">
      <c r="A2063" s="33">
        <v>43978</v>
      </c>
      <c r="B2063" s="34">
        <v>8837381</v>
      </c>
      <c r="C2063" s="29" t="s">
        <v>8967</v>
      </c>
      <c r="D2063" s="34">
        <v>8834157</v>
      </c>
      <c r="E2063" s="92" t="s">
        <v>7559</v>
      </c>
      <c r="F2063" s="89" t="s">
        <v>7558</v>
      </c>
      <c r="G2063" s="29" t="s">
        <v>8968</v>
      </c>
    </row>
    <row r="2064" spans="1:7">
      <c r="A2064" s="33">
        <v>43979</v>
      </c>
      <c r="B2064" s="34">
        <v>9184945</v>
      </c>
      <c r="C2064" s="34">
        <v>9546319</v>
      </c>
      <c r="D2064" s="34">
        <v>9148457</v>
      </c>
      <c r="E2064" s="92" t="s">
        <v>7553</v>
      </c>
      <c r="F2064" s="89" t="s">
        <v>7552</v>
      </c>
      <c r="G2064" s="29" t="s">
        <v>8834</v>
      </c>
    </row>
    <row r="2065" spans="1:7">
      <c r="A2065" s="33">
        <v>43980</v>
      </c>
      <c r="B2065" s="34">
        <v>9528355</v>
      </c>
      <c r="C2065" s="34">
        <v>9573667</v>
      </c>
      <c r="D2065" s="34">
        <v>9379339</v>
      </c>
      <c r="E2065" s="92" t="s">
        <v>7547</v>
      </c>
      <c r="F2065" s="89" t="s">
        <v>7546</v>
      </c>
      <c r="G2065" s="29" t="s">
        <v>8936</v>
      </c>
    </row>
    <row r="2066" spans="1:7">
      <c r="A2066" s="33">
        <v>43981</v>
      </c>
      <c r="B2066" s="34">
        <v>9438914</v>
      </c>
      <c r="C2066" s="29" t="s">
        <v>8969</v>
      </c>
      <c r="D2066" s="34">
        <v>9366729</v>
      </c>
      <c r="E2066" s="92" t="s">
        <v>7542</v>
      </c>
      <c r="F2066" s="89" t="s">
        <v>3583</v>
      </c>
      <c r="G2066" s="29" t="s">
        <v>8968</v>
      </c>
    </row>
    <row r="2067" spans="1:7">
      <c r="A2067" s="33">
        <v>43982</v>
      </c>
      <c r="B2067" s="34">
        <v>9700105</v>
      </c>
      <c r="C2067" s="34">
        <v>9700344</v>
      </c>
      <c r="D2067" s="34">
        <v>9432297</v>
      </c>
      <c r="E2067" s="92" t="s">
        <v>7537</v>
      </c>
      <c r="F2067" s="89" t="s">
        <v>7536</v>
      </c>
      <c r="G2067" s="29" t="s">
        <v>8450</v>
      </c>
    </row>
    <row r="2068" spans="1:7">
      <c r="A2068" s="33">
        <v>43983</v>
      </c>
      <c r="B2068" s="34">
        <v>9463605</v>
      </c>
      <c r="C2068" s="29" t="s">
        <v>8970</v>
      </c>
      <c r="D2068" s="34">
        <v>9450899</v>
      </c>
      <c r="E2068" s="92" t="s">
        <v>7532</v>
      </c>
      <c r="F2068" s="89" t="s">
        <v>3905</v>
      </c>
      <c r="G2068" s="29" t="s">
        <v>8841</v>
      </c>
    </row>
    <row r="2069" spans="1:7">
      <c r="A2069" s="33">
        <v>43984</v>
      </c>
      <c r="B2069" s="29" t="s">
        <v>8971</v>
      </c>
      <c r="C2069" s="29" t="s">
        <v>8972</v>
      </c>
      <c r="D2069" s="34">
        <v>9460571</v>
      </c>
      <c r="E2069" s="92" t="s">
        <v>7527</v>
      </c>
      <c r="F2069" s="89" t="s">
        <v>7526</v>
      </c>
      <c r="G2069" s="29" t="s">
        <v>8973</v>
      </c>
    </row>
    <row r="2070" spans="1:7">
      <c r="A2070" s="33">
        <v>43985</v>
      </c>
      <c r="B2070" s="34">
        <v>9533761</v>
      </c>
      <c r="C2070" s="34">
        <v>9682859</v>
      </c>
      <c r="D2070" s="34">
        <v>9471847</v>
      </c>
      <c r="E2070" s="92" t="s">
        <v>7521</v>
      </c>
      <c r="F2070" s="89" t="s">
        <v>6032</v>
      </c>
      <c r="G2070" s="29" t="s">
        <v>8755</v>
      </c>
    </row>
    <row r="2071" spans="1:7">
      <c r="A2071" s="33">
        <v>43986</v>
      </c>
      <c r="B2071" s="34">
        <v>9655854</v>
      </c>
      <c r="C2071" s="29" t="s">
        <v>4778</v>
      </c>
      <c r="D2071" s="34">
        <v>9525247</v>
      </c>
      <c r="E2071" s="92" t="s">
        <v>7517</v>
      </c>
      <c r="F2071" s="89" t="s">
        <v>7516</v>
      </c>
      <c r="G2071" s="29" t="s">
        <v>8460</v>
      </c>
    </row>
    <row r="2072" spans="1:7">
      <c r="A2072" s="33">
        <v>43987</v>
      </c>
      <c r="B2072" s="34">
        <v>9800216</v>
      </c>
      <c r="C2072" s="34">
        <v>9869237</v>
      </c>
      <c r="D2072" s="34">
        <v>9663217</v>
      </c>
      <c r="E2072" s="92" t="s">
        <v>7511</v>
      </c>
      <c r="F2072" s="89" t="s">
        <v>7510</v>
      </c>
      <c r="G2072" s="29" t="s">
        <v>8476</v>
      </c>
    </row>
    <row r="2073" spans="1:7">
      <c r="A2073" s="33">
        <v>43988</v>
      </c>
      <c r="B2073" s="34">
        <v>9664904</v>
      </c>
      <c r="C2073" s="34">
        <v>9773432</v>
      </c>
      <c r="D2073" s="34">
        <v>9591024</v>
      </c>
      <c r="E2073" s="92" t="s">
        <v>7506</v>
      </c>
      <c r="F2073" s="89" t="s">
        <v>7505</v>
      </c>
      <c r="G2073" s="29" t="s">
        <v>8974</v>
      </c>
    </row>
    <row r="2074" spans="1:7">
      <c r="A2074" s="33">
        <v>43989</v>
      </c>
      <c r="B2074" s="34">
        <v>9653003</v>
      </c>
      <c r="C2074" s="34">
        <v>9768498</v>
      </c>
      <c r="D2074" s="29" t="s">
        <v>8975</v>
      </c>
      <c r="E2074" s="92" t="s">
        <v>7500</v>
      </c>
      <c r="F2074" s="89" t="s">
        <v>7499</v>
      </c>
      <c r="G2074" s="29" t="s">
        <v>8755</v>
      </c>
    </row>
    <row r="2075" spans="1:7">
      <c r="A2075" s="33">
        <v>43990</v>
      </c>
      <c r="B2075" s="34">
        <v>9760063</v>
      </c>
      <c r="C2075" s="34">
        <v>9782307</v>
      </c>
      <c r="D2075" s="34">
        <v>9675886</v>
      </c>
      <c r="E2075" s="92" t="s">
        <v>7494</v>
      </c>
      <c r="F2075" s="89" t="s">
        <v>7493</v>
      </c>
      <c r="G2075" s="29" t="s">
        <v>4965</v>
      </c>
    </row>
    <row r="2076" spans="1:7">
      <c r="A2076" s="33">
        <v>43991</v>
      </c>
      <c r="B2076" s="29" t="s">
        <v>8976</v>
      </c>
      <c r="C2076" s="34">
        <v>9836369</v>
      </c>
      <c r="D2076" s="29" t="s">
        <v>8977</v>
      </c>
      <c r="E2076" s="92" t="s">
        <v>7488</v>
      </c>
      <c r="F2076" s="89" t="s">
        <v>7487</v>
      </c>
      <c r="G2076" s="29" t="s">
        <v>8978</v>
      </c>
    </row>
    <row r="2077" spans="1:7">
      <c r="A2077" s="33">
        <v>43992</v>
      </c>
      <c r="B2077" s="34">
        <v>9794119</v>
      </c>
      <c r="C2077" s="34">
        <v>9908896</v>
      </c>
      <c r="D2077" s="34">
        <v>9728291</v>
      </c>
      <c r="E2077" s="92" t="s">
        <v>7482</v>
      </c>
      <c r="F2077" s="89" t="s">
        <v>6091</v>
      </c>
      <c r="G2077" s="29" t="s">
        <v>8979</v>
      </c>
    </row>
    <row r="2078" spans="1:7">
      <c r="A2078" s="33">
        <v>43993</v>
      </c>
      <c r="B2078" s="34">
        <v>9870078</v>
      </c>
      <c r="C2078" s="34">
        <v>9938298</v>
      </c>
      <c r="D2078" s="34">
        <v>9263069</v>
      </c>
      <c r="E2078" s="92" t="s">
        <v>7477</v>
      </c>
      <c r="F2078" s="89" t="s">
        <v>3587</v>
      </c>
      <c r="G2078" s="29" t="s">
        <v>8980</v>
      </c>
    </row>
    <row r="2079" spans="1:7">
      <c r="A2079" s="33">
        <v>43994</v>
      </c>
      <c r="B2079" s="29" t="s">
        <v>8981</v>
      </c>
      <c r="C2079" s="34">
        <v>9540466</v>
      </c>
      <c r="D2079" s="34">
        <v>9285852</v>
      </c>
      <c r="E2079" s="92" t="s">
        <v>7473</v>
      </c>
      <c r="F2079" s="89" t="s">
        <v>7472</v>
      </c>
      <c r="G2079" s="29" t="s">
        <v>8807</v>
      </c>
    </row>
    <row r="2080" spans="1:7">
      <c r="A2080" s="33">
        <v>43995</v>
      </c>
      <c r="B2080" s="34">
        <v>9480735</v>
      </c>
      <c r="C2080" s="34">
        <v>9493212</v>
      </c>
      <c r="D2080" s="29" t="s">
        <v>8982</v>
      </c>
      <c r="E2080" s="92" t="s">
        <v>7467</v>
      </c>
      <c r="F2080" s="89" t="s">
        <v>6133</v>
      </c>
      <c r="G2080" s="29" t="s">
        <v>8443</v>
      </c>
    </row>
    <row r="2081" spans="1:7">
      <c r="A2081" s="33">
        <v>43996</v>
      </c>
      <c r="B2081" s="34">
        <v>9477554</v>
      </c>
      <c r="C2081" s="34">
        <v>9482271</v>
      </c>
      <c r="D2081" s="34">
        <v>9347594</v>
      </c>
      <c r="E2081" s="92" t="s">
        <v>7462</v>
      </c>
      <c r="F2081" s="89" t="s">
        <v>7461</v>
      </c>
      <c r="G2081" s="29" t="s">
        <v>8493</v>
      </c>
    </row>
    <row r="2082" spans="1:7">
      <c r="A2082" s="33">
        <v>43997</v>
      </c>
      <c r="B2082" s="34">
        <v>9386035</v>
      </c>
      <c r="C2082" s="29" t="s">
        <v>8983</v>
      </c>
      <c r="D2082" s="34">
        <v>8990176</v>
      </c>
      <c r="E2082" s="92" t="s">
        <v>7457</v>
      </c>
      <c r="F2082" s="89" t="s">
        <v>8984</v>
      </c>
      <c r="G2082" s="29" t="s">
        <v>8473</v>
      </c>
    </row>
    <row r="2083" spans="1:7">
      <c r="A2083" s="33">
        <v>43998</v>
      </c>
      <c r="B2083" s="34">
        <v>9454267</v>
      </c>
      <c r="C2083" s="34">
        <v>9579431</v>
      </c>
      <c r="D2083" s="34">
        <v>9400445</v>
      </c>
      <c r="E2083" s="92" t="s">
        <v>7453</v>
      </c>
      <c r="F2083" s="89" t="s">
        <v>7456</v>
      </c>
      <c r="G2083" s="29" t="s">
        <v>8789</v>
      </c>
    </row>
    <row r="2084" spans="1:7">
      <c r="A2084" s="33">
        <v>43999</v>
      </c>
      <c r="B2084" s="34">
        <v>9533784</v>
      </c>
      <c r="C2084" s="34">
        <v>9540423</v>
      </c>
      <c r="D2084" s="29" t="s">
        <v>8985</v>
      </c>
      <c r="E2084" s="92" t="s">
        <v>7449</v>
      </c>
      <c r="F2084" s="89" t="s">
        <v>3551</v>
      </c>
      <c r="G2084" s="29" t="s">
        <v>8590</v>
      </c>
    </row>
    <row r="2085" spans="1:7">
      <c r="A2085" s="33">
        <v>44000</v>
      </c>
      <c r="B2085" s="34">
        <v>9481567</v>
      </c>
      <c r="C2085" s="34">
        <v>9482782</v>
      </c>
      <c r="D2085" s="34">
        <v>9328396</v>
      </c>
      <c r="E2085" s="92" t="s">
        <v>7444</v>
      </c>
      <c r="F2085" s="89" t="s">
        <v>3885</v>
      </c>
      <c r="G2085" s="29" t="s">
        <v>8500</v>
      </c>
    </row>
    <row r="2086" spans="1:7">
      <c r="A2086" s="33">
        <v>44001</v>
      </c>
      <c r="B2086" s="34">
        <v>9410294</v>
      </c>
      <c r="C2086" s="34">
        <v>9440876</v>
      </c>
      <c r="D2086" s="34">
        <v>9274296</v>
      </c>
      <c r="E2086" s="92" t="s">
        <v>7439</v>
      </c>
      <c r="F2086" s="89" t="s">
        <v>3869</v>
      </c>
      <c r="G2086" s="29" t="s">
        <v>8765</v>
      </c>
    </row>
    <row r="2087" spans="1:7">
      <c r="A2087" s="33">
        <v>44002</v>
      </c>
      <c r="B2087" s="29" t="s">
        <v>8986</v>
      </c>
      <c r="C2087" s="34">
        <v>9394972</v>
      </c>
      <c r="D2087" s="29" t="s">
        <v>8987</v>
      </c>
      <c r="E2087" s="92" t="s">
        <v>7434</v>
      </c>
      <c r="F2087" s="89" t="s">
        <v>3881</v>
      </c>
      <c r="G2087" s="29" t="s">
        <v>8490</v>
      </c>
    </row>
    <row r="2088" spans="1:7">
      <c r="A2088" s="33">
        <v>44003</v>
      </c>
      <c r="B2088" s="34">
        <v>9330927</v>
      </c>
      <c r="C2088" s="34">
        <v>9401107</v>
      </c>
      <c r="D2088" s="34">
        <v>9300431</v>
      </c>
      <c r="E2088" s="92" t="s">
        <v>7429</v>
      </c>
      <c r="F2088" s="89" t="s">
        <v>3901</v>
      </c>
      <c r="G2088" s="29" t="s">
        <v>8432</v>
      </c>
    </row>
    <row r="2089" spans="1:7">
      <c r="A2089" s="33">
        <v>44004</v>
      </c>
      <c r="B2089" s="34">
        <v>9300915</v>
      </c>
      <c r="C2089" s="34">
        <v>9655073</v>
      </c>
      <c r="D2089" s="34">
        <v>9296872</v>
      </c>
      <c r="E2089" s="92" t="s">
        <v>7425</v>
      </c>
      <c r="F2089" s="89" t="s">
        <v>3909</v>
      </c>
      <c r="G2089" s="29" t="s">
        <v>6682</v>
      </c>
    </row>
    <row r="2090" spans="1:7">
      <c r="A2090" s="33">
        <v>44005</v>
      </c>
      <c r="B2090" s="34">
        <v>9644076</v>
      </c>
      <c r="C2090" s="34">
        <v>9670541</v>
      </c>
      <c r="D2090" s="34">
        <v>9547247</v>
      </c>
      <c r="E2090" s="92" t="s">
        <v>7420</v>
      </c>
      <c r="F2090" s="89" t="s">
        <v>3571</v>
      </c>
      <c r="G2090" s="29" t="s">
        <v>8430</v>
      </c>
    </row>
    <row r="2091" spans="1:7">
      <c r="A2091" s="33">
        <v>44006</v>
      </c>
      <c r="B2091" s="34">
        <v>9632149</v>
      </c>
      <c r="C2091" s="34">
        <v>9680367</v>
      </c>
      <c r="D2091" s="34">
        <v>9278233</v>
      </c>
      <c r="E2091" s="92" t="s">
        <v>7416</v>
      </c>
      <c r="F2091" s="89" t="s">
        <v>3873</v>
      </c>
      <c r="G2091" s="29" t="s">
        <v>8493</v>
      </c>
    </row>
    <row r="2092" spans="1:7">
      <c r="A2092" s="33">
        <v>44007</v>
      </c>
      <c r="B2092" s="34">
        <v>9314127</v>
      </c>
      <c r="C2092" s="34">
        <v>9340161</v>
      </c>
      <c r="D2092" s="34">
        <v>9095324</v>
      </c>
      <c r="E2092" s="92" t="s">
        <v>7411</v>
      </c>
      <c r="F2092" s="89" t="s">
        <v>7415</v>
      </c>
      <c r="G2092" s="29" t="s">
        <v>8814</v>
      </c>
    </row>
    <row r="2093" spans="1:7">
      <c r="A2093" s="33">
        <v>44008</v>
      </c>
      <c r="B2093" s="34">
        <v>9260995</v>
      </c>
      <c r="C2093" s="34">
        <v>9310517</v>
      </c>
      <c r="D2093" s="34">
        <v>9101738</v>
      </c>
      <c r="E2093" s="92" t="s">
        <v>7405</v>
      </c>
      <c r="F2093" s="89" t="s">
        <v>7410</v>
      </c>
      <c r="G2093" s="29" t="s">
        <v>6779</v>
      </c>
    </row>
    <row r="2094" spans="1:7">
      <c r="A2094" s="33">
        <v>44009</v>
      </c>
      <c r="B2094" s="34">
        <v>9167824</v>
      </c>
      <c r="C2094" s="34">
        <v>9207811</v>
      </c>
      <c r="D2094" s="34">
        <v>8998217</v>
      </c>
      <c r="E2094" s="92" t="s">
        <v>7401</v>
      </c>
      <c r="F2094" s="89" t="s">
        <v>3897</v>
      </c>
      <c r="G2094" s="29" t="s">
        <v>8988</v>
      </c>
    </row>
    <row r="2095" spans="1:7">
      <c r="A2095" s="33">
        <v>44010</v>
      </c>
      <c r="B2095" s="34">
        <v>9048461</v>
      </c>
      <c r="C2095" s="34">
        <v>9197547</v>
      </c>
      <c r="D2095" s="34">
        <v>8975525</v>
      </c>
      <c r="E2095" s="92" t="s">
        <v>7396</v>
      </c>
      <c r="F2095" s="89" t="s">
        <v>3575</v>
      </c>
      <c r="G2095" s="29" t="s">
        <v>6696</v>
      </c>
    </row>
    <row r="2096" spans="1:7">
      <c r="A2096" s="33">
        <v>44011</v>
      </c>
      <c r="B2096" s="34">
        <v>9140029</v>
      </c>
      <c r="C2096" s="34">
        <v>9237573</v>
      </c>
      <c r="D2096" s="34">
        <v>9041876</v>
      </c>
      <c r="E2096" s="92" t="s">
        <v>7392</v>
      </c>
      <c r="F2096" s="89" t="s">
        <v>3893</v>
      </c>
      <c r="G2096" s="29" t="s">
        <v>6726</v>
      </c>
    </row>
    <row r="2097" spans="1:7">
      <c r="A2097" s="33">
        <v>44012</v>
      </c>
      <c r="B2097" s="34">
        <v>9185581</v>
      </c>
      <c r="C2097" s="34">
        <v>9217836</v>
      </c>
      <c r="D2097" s="34">
        <v>9084838</v>
      </c>
      <c r="E2097" s="92" t="s">
        <v>7387</v>
      </c>
      <c r="F2097" s="89" t="s">
        <v>3579</v>
      </c>
      <c r="G2097" s="29" t="s">
        <v>4953</v>
      </c>
    </row>
    <row r="2098" spans="1:7">
      <c r="A2098" s="33">
        <v>44013</v>
      </c>
      <c r="B2098" s="34">
        <v>9145985</v>
      </c>
      <c r="C2098" s="34">
        <v>9309755</v>
      </c>
      <c r="D2098" s="34">
        <v>9104735</v>
      </c>
      <c r="E2098" s="92" t="s">
        <v>4778</v>
      </c>
      <c r="F2098" s="89" t="s">
        <v>3865</v>
      </c>
      <c r="G2098" s="29" t="s">
        <v>8662</v>
      </c>
    </row>
    <row r="2099" spans="1:7">
      <c r="A2099" s="33">
        <v>44014</v>
      </c>
      <c r="B2099" s="29" t="s">
        <v>8989</v>
      </c>
      <c r="C2099" s="34">
        <v>9274963</v>
      </c>
      <c r="D2099" s="34">
        <v>9036623</v>
      </c>
      <c r="E2099" s="92" t="s">
        <v>4778</v>
      </c>
      <c r="F2099" s="89" t="s">
        <v>3877</v>
      </c>
      <c r="G2099" s="29" t="s">
        <v>8598</v>
      </c>
    </row>
    <row r="2100" spans="1:7">
      <c r="A2100" s="33">
        <v>44015</v>
      </c>
      <c r="B2100" s="34">
        <v>9124843</v>
      </c>
      <c r="C2100" s="34">
        <v>9202345</v>
      </c>
      <c r="D2100" s="34">
        <v>9058795</v>
      </c>
      <c r="E2100" s="92" t="s">
        <v>4778</v>
      </c>
      <c r="F2100" s="89" t="s">
        <v>3853</v>
      </c>
      <c r="G2100" s="29" t="s">
        <v>6733</v>
      </c>
    </row>
    <row r="2101" spans="1:7">
      <c r="A2101" s="33">
        <v>44016</v>
      </c>
      <c r="B2101" s="34">
        <v>9084233</v>
      </c>
      <c r="C2101" s="34">
        <v>9183296</v>
      </c>
      <c r="D2101" s="29" t="s">
        <v>8990</v>
      </c>
      <c r="E2101" s="92" t="s">
        <v>4778</v>
      </c>
      <c r="F2101" s="89" t="s">
        <v>7372</v>
      </c>
      <c r="G2101" s="29" t="s">
        <v>4778</v>
      </c>
    </row>
    <row r="2102" spans="1:7">
      <c r="A2102" s="33">
        <v>44017</v>
      </c>
      <c r="B2102" s="34">
        <v>9126091</v>
      </c>
      <c r="C2102" s="34">
        <v>9162184</v>
      </c>
      <c r="D2102" s="34">
        <v>8977016</v>
      </c>
      <c r="E2102" s="92" t="s">
        <v>4778</v>
      </c>
      <c r="F2102" s="89" t="s">
        <v>7368</v>
      </c>
      <c r="G2102" s="29" t="s">
        <v>8991</v>
      </c>
    </row>
    <row r="2103" spans="1:7">
      <c r="A2103" s="33">
        <v>44018</v>
      </c>
      <c r="B2103" s="29" t="s">
        <v>8992</v>
      </c>
      <c r="C2103" s="34">
        <v>9375475</v>
      </c>
      <c r="D2103" s="34">
        <v>9058664</v>
      </c>
      <c r="E2103" s="92" t="s">
        <v>4778</v>
      </c>
      <c r="F2103" s="89" t="s">
        <v>3837</v>
      </c>
      <c r="G2103" s="29" t="s">
        <v>8600</v>
      </c>
    </row>
    <row r="2104" spans="1:7">
      <c r="A2104" s="33">
        <v>44019</v>
      </c>
      <c r="B2104" s="34">
        <v>9349161</v>
      </c>
      <c r="C2104" s="34">
        <v>9360617</v>
      </c>
      <c r="D2104" s="34">
        <v>9201815</v>
      </c>
      <c r="E2104" s="92" t="s">
        <v>4778</v>
      </c>
      <c r="F2104" s="89" t="s">
        <v>3849</v>
      </c>
      <c r="G2104" s="29" t="s">
        <v>6703</v>
      </c>
    </row>
    <row r="2105" spans="1:7">
      <c r="A2105" s="33">
        <v>44020</v>
      </c>
      <c r="B2105" s="34">
        <v>9253021</v>
      </c>
      <c r="C2105" s="34">
        <v>9450336</v>
      </c>
      <c r="D2105" s="29" t="s">
        <v>8993</v>
      </c>
      <c r="E2105" s="92" t="s">
        <v>4778</v>
      </c>
      <c r="F2105" s="89" t="s">
        <v>3825</v>
      </c>
      <c r="G2105" s="29" t="s">
        <v>8799</v>
      </c>
    </row>
    <row r="2106" spans="1:7">
      <c r="A2106" s="33">
        <v>44021</v>
      </c>
      <c r="B2106" s="34">
        <v>9427994</v>
      </c>
      <c r="C2106" s="34">
        <v>9431379</v>
      </c>
      <c r="D2106" s="34">
        <v>9234999</v>
      </c>
      <c r="E2106" s="92" t="s">
        <v>4778</v>
      </c>
      <c r="F2106" s="89" t="s">
        <v>7353</v>
      </c>
      <c r="G2106" s="29" t="s">
        <v>6678</v>
      </c>
    </row>
    <row r="2107" spans="1:7">
      <c r="A2107" s="33">
        <v>44022</v>
      </c>
      <c r="B2107" s="34">
        <v>9273357</v>
      </c>
      <c r="C2107" s="34">
        <v>9287472</v>
      </c>
      <c r="D2107" s="34">
        <v>9118002</v>
      </c>
      <c r="E2107" s="92" t="s">
        <v>4778</v>
      </c>
      <c r="F2107" s="89" t="s">
        <v>7349</v>
      </c>
      <c r="G2107" s="29" t="s">
        <v>6719</v>
      </c>
    </row>
    <row r="2108" spans="1:7">
      <c r="A2108" s="33">
        <v>44023</v>
      </c>
      <c r="B2108" s="34">
        <v>9277512</v>
      </c>
      <c r="C2108" s="34">
        <v>9293532</v>
      </c>
      <c r="D2108" s="34">
        <v>9199485</v>
      </c>
      <c r="E2108" s="92" t="s">
        <v>4778</v>
      </c>
      <c r="F2108" s="89" t="s">
        <v>3829</v>
      </c>
      <c r="G2108" s="29" t="s">
        <v>8427</v>
      </c>
    </row>
    <row r="2109" spans="1:7">
      <c r="A2109" s="33">
        <v>44024</v>
      </c>
      <c r="B2109" s="34">
        <v>9241055</v>
      </c>
      <c r="C2109" s="34">
        <v>9319419</v>
      </c>
      <c r="D2109" s="29" t="s">
        <v>8994</v>
      </c>
      <c r="E2109" s="92" t="s">
        <v>4778</v>
      </c>
      <c r="F2109" s="89" t="s">
        <v>7336</v>
      </c>
      <c r="G2109" s="29" t="s">
        <v>4947</v>
      </c>
    </row>
    <row r="2110" spans="1:7">
      <c r="A2110" s="33">
        <v>44025</v>
      </c>
      <c r="B2110" s="34">
        <v>9277205</v>
      </c>
      <c r="C2110" s="34">
        <v>9306405</v>
      </c>
      <c r="D2110" s="34">
        <v>9224293</v>
      </c>
      <c r="E2110" s="92" t="s">
        <v>4778</v>
      </c>
      <c r="F2110" s="89" t="s">
        <v>7331</v>
      </c>
      <c r="G2110" s="29" t="s">
        <v>8612</v>
      </c>
    </row>
    <row r="2111" spans="1:7">
      <c r="A2111" s="33">
        <v>44026</v>
      </c>
      <c r="B2111" s="34">
        <v>9238703</v>
      </c>
      <c r="C2111" s="34">
        <v>9283842</v>
      </c>
      <c r="D2111" s="34">
        <v>9171661</v>
      </c>
      <c r="E2111" s="92" t="s">
        <v>4778</v>
      </c>
      <c r="F2111" s="89" t="s">
        <v>3845</v>
      </c>
      <c r="G2111" s="29" t="s">
        <v>8638</v>
      </c>
    </row>
    <row r="2112" spans="1:7">
      <c r="A2112" s="33">
        <v>44027</v>
      </c>
      <c r="B2112" s="34">
        <v>9241897</v>
      </c>
      <c r="C2112" s="34">
        <v>9275325</v>
      </c>
      <c r="D2112" s="34">
        <v>9171934</v>
      </c>
      <c r="E2112" s="92" t="s">
        <v>4778</v>
      </c>
      <c r="F2112" s="89" t="s">
        <v>3833</v>
      </c>
      <c r="G2112" s="29" t="s">
        <v>8498</v>
      </c>
    </row>
    <row r="2113" spans="1:7">
      <c r="A2113" s="33">
        <v>44028</v>
      </c>
      <c r="B2113" s="29" t="s">
        <v>8995</v>
      </c>
      <c r="C2113" s="34">
        <v>9214313</v>
      </c>
      <c r="D2113" s="34">
        <v>9088947</v>
      </c>
      <c r="E2113" s="92" t="s">
        <v>4778</v>
      </c>
      <c r="F2113" s="89" t="s">
        <v>3961</v>
      </c>
      <c r="G2113" s="29" t="s">
        <v>4953</v>
      </c>
    </row>
    <row r="2114" spans="1:7">
      <c r="A2114" s="33">
        <v>44029</v>
      </c>
      <c r="B2114" s="34">
        <v>9131813</v>
      </c>
      <c r="C2114" s="34">
        <v>9182254</v>
      </c>
      <c r="D2114" s="34">
        <v>9089202</v>
      </c>
      <c r="E2114" s="92" t="s">
        <v>4778</v>
      </c>
      <c r="F2114" s="89" t="s">
        <v>3913</v>
      </c>
      <c r="G2114" s="29" t="s">
        <v>6685</v>
      </c>
    </row>
    <row r="2115" spans="1:7">
      <c r="A2115" s="33">
        <v>44030</v>
      </c>
      <c r="B2115" s="34">
        <v>9151184</v>
      </c>
      <c r="C2115" s="34">
        <v>9230983</v>
      </c>
      <c r="D2115" s="34">
        <v>9100824</v>
      </c>
      <c r="E2115" s="92" t="s">
        <v>4778</v>
      </c>
      <c r="F2115" s="89" t="s">
        <v>3889</v>
      </c>
      <c r="G2115" s="29" t="s">
        <v>6750</v>
      </c>
    </row>
    <row r="2116" spans="1:7">
      <c r="A2116" s="33">
        <v>44031</v>
      </c>
      <c r="B2116" s="34">
        <v>9158006</v>
      </c>
      <c r="C2116" s="34">
        <v>9201398</v>
      </c>
      <c r="D2116" s="34">
        <v>9097633</v>
      </c>
      <c r="E2116" s="92" t="s">
        <v>4778</v>
      </c>
      <c r="F2116" s="89" t="s">
        <v>3953</v>
      </c>
      <c r="G2116" s="29" t="s">
        <v>8991</v>
      </c>
    </row>
    <row r="2117" spans="1:7">
      <c r="A2117" s="33">
        <v>44032</v>
      </c>
      <c r="B2117" s="34">
        <v>9187221</v>
      </c>
      <c r="C2117" s="34">
        <v>9214271</v>
      </c>
      <c r="D2117" s="29" t="s">
        <v>8996</v>
      </c>
      <c r="E2117" s="92" t="s">
        <v>4778</v>
      </c>
      <c r="F2117" s="89" t="s">
        <v>336</v>
      </c>
      <c r="G2117" s="29" t="s">
        <v>6703</v>
      </c>
    </row>
    <row r="2118" spans="1:7">
      <c r="A2118" s="33">
        <v>44033</v>
      </c>
      <c r="B2118" s="34">
        <v>9162515</v>
      </c>
      <c r="C2118" s="34">
        <v>9407263</v>
      </c>
      <c r="D2118" s="29" t="s">
        <v>8997</v>
      </c>
      <c r="E2118" s="92" t="s">
        <v>4778</v>
      </c>
      <c r="F2118" s="89" t="s">
        <v>3957</v>
      </c>
      <c r="G2118" s="29" t="s">
        <v>8638</v>
      </c>
    </row>
    <row r="2119" spans="1:7">
      <c r="A2119" s="33">
        <v>44034</v>
      </c>
      <c r="B2119" s="29" t="s">
        <v>8998</v>
      </c>
      <c r="C2119" s="34">
        <v>9530519</v>
      </c>
      <c r="D2119" s="34">
        <v>9319653</v>
      </c>
      <c r="E2119" s="92" t="s">
        <v>4778</v>
      </c>
      <c r="F2119" s="89" t="s">
        <v>3591</v>
      </c>
      <c r="G2119" s="29" t="s">
        <v>6726</v>
      </c>
    </row>
    <row r="2120" spans="1:7">
      <c r="A2120" s="33">
        <v>44035</v>
      </c>
      <c r="B2120" s="34">
        <v>9527142</v>
      </c>
      <c r="C2120" s="34">
        <v>9610247</v>
      </c>
      <c r="D2120" s="34">
        <v>9483004</v>
      </c>
      <c r="E2120" s="92" t="s">
        <v>4778</v>
      </c>
      <c r="F2120" s="89" t="s">
        <v>3507</v>
      </c>
      <c r="G2120" s="29" t="s">
        <v>8638</v>
      </c>
    </row>
    <row r="2121" spans="1:7">
      <c r="A2121" s="33">
        <v>44036</v>
      </c>
      <c r="B2121" s="34">
        <v>9585515</v>
      </c>
      <c r="C2121" s="34">
        <v>9623337</v>
      </c>
      <c r="D2121" s="34">
        <v>9481454</v>
      </c>
      <c r="E2121" s="92" t="s">
        <v>4778</v>
      </c>
      <c r="F2121" s="89" t="s">
        <v>3599</v>
      </c>
      <c r="G2121" s="29" t="s">
        <v>8413</v>
      </c>
    </row>
    <row r="2122" spans="1:7">
      <c r="A2122" s="33">
        <v>44037</v>
      </c>
      <c r="B2122" s="34">
        <v>9539485</v>
      </c>
      <c r="C2122" s="34">
        <v>9704557</v>
      </c>
      <c r="D2122" s="34">
        <v>9530212</v>
      </c>
      <c r="E2122" s="92" t="s">
        <v>4778</v>
      </c>
      <c r="F2122" s="89" t="s">
        <v>3965</v>
      </c>
      <c r="G2122" s="29" t="s">
        <v>8413</v>
      </c>
    </row>
    <row r="2123" spans="1:7">
      <c r="A2123" s="33">
        <v>44038</v>
      </c>
      <c r="B2123" s="34">
        <v>9680234</v>
      </c>
      <c r="C2123" s="29" t="s">
        <v>8999</v>
      </c>
      <c r="D2123" s="34">
        <v>9652848</v>
      </c>
      <c r="E2123" s="92" t="s">
        <v>4778</v>
      </c>
      <c r="F2123" s="89" t="s">
        <v>7280</v>
      </c>
      <c r="G2123" s="29" t="s">
        <v>9000</v>
      </c>
    </row>
    <row r="2124" spans="1:7">
      <c r="A2124" s="33">
        <v>44039</v>
      </c>
      <c r="B2124" s="34">
        <v>9905218</v>
      </c>
      <c r="C2124" s="29" t="s">
        <v>9001</v>
      </c>
      <c r="D2124" s="29" t="s">
        <v>9002</v>
      </c>
      <c r="E2124" s="92" t="s">
        <v>4778</v>
      </c>
      <c r="F2124" s="89" t="s">
        <v>7275</v>
      </c>
      <c r="G2124" s="29" t="s">
        <v>9003</v>
      </c>
    </row>
    <row r="2125" spans="1:7">
      <c r="A2125" s="33">
        <v>44040</v>
      </c>
      <c r="B2125" s="29" t="s">
        <v>9004</v>
      </c>
      <c r="C2125" s="29" t="s">
        <v>9005</v>
      </c>
      <c r="D2125" s="29" t="s">
        <v>9006</v>
      </c>
      <c r="E2125" s="92" t="s">
        <v>4778</v>
      </c>
      <c r="F2125" s="89" t="s">
        <v>3841</v>
      </c>
      <c r="G2125" s="29" t="s">
        <v>8818</v>
      </c>
    </row>
    <row r="2126" spans="1:7">
      <c r="A2126" s="33">
        <v>44041</v>
      </c>
      <c r="B2126" s="29" t="s">
        <v>9007</v>
      </c>
      <c r="C2126" s="29" t="s">
        <v>9008</v>
      </c>
      <c r="D2126" s="29" t="s">
        <v>9009</v>
      </c>
      <c r="E2126" s="92" t="s">
        <v>4778</v>
      </c>
      <c r="F2126" s="89" t="s">
        <v>3511</v>
      </c>
      <c r="G2126" s="29" t="s">
        <v>8485</v>
      </c>
    </row>
    <row r="2127" spans="1:7">
      <c r="A2127" s="33">
        <v>44042</v>
      </c>
      <c r="B2127" s="29" t="s">
        <v>9010</v>
      </c>
      <c r="C2127" s="29" t="s">
        <v>9011</v>
      </c>
      <c r="D2127" s="29" t="s">
        <v>9012</v>
      </c>
      <c r="E2127" s="92" t="s">
        <v>4778</v>
      </c>
      <c r="F2127" s="89" t="s">
        <v>3567</v>
      </c>
      <c r="G2127" s="29" t="s">
        <v>8400</v>
      </c>
    </row>
    <row r="2128" spans="1:7">
      <c r="A2128" s="33">
        <v>44043</v>
      </c>
      <c r="B2128" s="29" t="s">
        <v>9013</v>
      </c>
      <c r="C2128" s="29" t="s">
        <v>9014</v>
      </c>
      <c r="D2128" s="29" t="s">
        <v>9015</v>
      </c>
      <c r="E2128" s="92" t="s">
        <v>4778</v>
      </c>
      <c r="F2128" s="89" t="s">
        <v>7254</v>
      </c>
      <c r="G2128" s="29" t="s">
        <v>9016</v>
      </c>
    </row>
    <row r="2129" spans="1:7">
      <c r="A2129" s="33">
        <v>44044</v>
      </c>
      <c r="B2129" s="29" t="s">
        <v>9017</v>
      </c>
      <c r="C2129" s="29" t="s">
        <v>9018</v>
      </c>
      <c r="D2129" s="29" t="s">
        <v>9019</v>
      </c>
      <c r="E2129" s="92" t="s">
        <v>4778</v>
      </c>
      <c r="F2129" s="89" t="s">
        <v>7249</v>
      </c>
      <c r="G2129" s="29" t="s">
        <v>9020</v>
      </c>
    </row>
    <row r="2130" spans="1:7">
      <c r="A2130" s="33">
        <v>44045</v>
      </c>
      <c r="B2130" s="29" t="s">
        <v>9021</v>
      </c>
      <c r="C2130" s="29" t="s">
        <v>9022</v>
      </c>
      <c r="D2130" s="29" t="s">
        <v>9023</v>
      </c>
      <c r="E2130" s="92" t="s">
        <v>4778</v>
      </c>
      <c r="F2130" s="89" t="s">
        <v>3563</v>
      </c>
      <c r="G2130" s="29" t="s">
        <v>9024</v>
      </c>
    </row>
    <row r="2131" spans="1:7">
      <c r="A2131" s="33">
        <v>44046</v>
      </c>
      <c r="B2131" s="29" t="s">
        <v>9025</v>
      </c>
      <c r="C2131" s="29" t="s">
        <v>9026</v>
      </c>
      <c r="D2131" s="29" t="s">
        <v>9027</v>
      </c>
      <c r="E2131" s="92" t="s">
        <v>4778</v>
      </c>
      <c r="F2131" s="89" t="s">
        <v>3595</v>
      </c>
      <c r="G2131" s="29" t="s">
        <v>8481</v>
      </c>
    </row>
    <row r="2132" spans="1:7">
      <c r="A2132" s="33">
        <v>44047</v>
      </c>
      <c r="B2132" s="29" t="s">
        <v>9028</v>
      </c>
      <c r="C2132" s="29" t="s">
        <v>9029</v>
      </c>
      <c r="D2132" s="29" t="s">
        <v>9030</v>
      </c>
      <c r="E2132" s="92" t="s">
        <v>4778</v>
      </c>
      <c r="F2132" s="89" t="s">
        <v>3925</v>
      </c>
      <c r="G2132" s="29" t="s">
        <v>8397</v>
      </c>
    </row>
    <row r="2133" spans="1:7">
      <c r="A2133" s="33">
        <v>44048</v>
      </c>
      <c r="B2133" s="29" t="s">
        <v>9031</v>
      </c>
      <c r="C2133" s="29" t="s">
        <v>9032</v>
      </c>
      <c r="D2133" s="29" t="s">
        <v>9033</v>
      </c>
      <c r="E2133" s="92" t="s">
        <v>4778</v>
      </c>
      <c r="F2133" s="89" t="s">
        <v>3917</v>
      </c>
      <c r="G2133" s="29" t="s">
        <v>8832</v>
      </c>
    </row>
    <row r="2134" spans="1:7">
      <c r="A2134" s="33">
        <v>44049</v>
      </c>
      <c r="B2134" s="29" t="s">
        <v>9034</v>
      </c>
      <c r="C2134" s="29" t="s">
        <v>9035</v>
      </c>
      <c r="D2134" s="29" t="s">
        <v>9036</v>
      </c>
      <c r="E2134" s="92" t="s">
        <v>4778</v>
      </c>
      <c r="F2134" s="89" t="s">
        <v>7229</v>
      </c>
      <c r="G2134" s="29" t="s">
        <v>9037</v>
      </c>
    </row>
    <row r="2135" spans="1:7">
      <c r="A2135" s="33">
        <v>44050</v>
      </c>
      <c r="B2135" s="29" t="s">
        <v>9038</v>
      </c>
      <c r="C2135" s="29" t="s">
        <v>9039</v>
      </c>
      <c r="D2135" s="29" t="s">
        <v>9040</v>
      </c>
      <c r="E2135" s="92" t="s">
        <v>4778</v>
      </c>
      <c r="F2135" s="89" t="s">
        <v>3941</v>
      </c>
      <c r="G2135" s="29" t="s">
        <v>8782</v>
      </c>
    </row>
    <row r="2136" spans="1:7">
      <c r="A2136" s="33">
        <v>44051</v>
      </c>
      <c r="B2136" s="29" t="s">
        <v>9041</v>
      </c>
      <c r="C2136" s="29" t="s">
        <v>9042</v>
      </c>
      <c r="D2136" s="29" t="s">
        <v>9043</v>
      </c>
      <c r="E2136" s="92" t="s">
        <v>4778</v>
      </c>
      <c r="F2136" s="89" t="s">
        <v>9044</v>
      </c>
      <c r="G2136" s="29" t="s">
        <v>8443</v>
      </c>
    </row>
    <row r="2137" spans="1:7">
      <c r="A2137" s="33">
        <v>44052</v>
      </c>
      <c r="B2137" s="29" t="s">
        <v>9045</v>
      </c>
      <c r="C2137" s="29" t="s">
        <v>9046</v>
      </c>
      <c r="D2137" s="29" t="s">
        <v>9047</v>
      </c>
      <c r="E2137" s="92" t="s">
        <v>4778</v>
      </c>
      <c r="F2137" s="89" t="s">
        <v>3949</v>
      </c>
      <c r="G2137" s="29" t="s">
        <v>8612</v>
      </c>
    </row>
    <row r="2138" spans="1:7">
      <c r="A2138" s="33">
        <v>44053</v>
      </c>
      <c r="B2138" s="29" t="s">
        <v>9048</v>
      </c>
      <c r="C2138" s="29" t="s">
        <v>9049</v>
      </c>
      <c r="D2138" s="29" t="s">
        <v>9048</v>
      </c>
      <c r="E2138" s="92" t="s">
        <v>4778</v>
      </c>
      <c r="F2138" s="89" t="s">
        <v>3945</v>
      </c>
      <c r="G2138" s="29" t="s">
        <v>9020</v>
      </c>
    </row>
    <row r="2139" spans="1:7">
      <c r="A2139" s="33">
        <v>44054</v>
      </c>
      <c r="B2139" s="29" t="s">
        <v>9050</v>
      </c>
      <c r="C2139" s="29" t="s">
        <v>9051</v>
      </c>
      <c r="D2139" s="29" t="s">
        <v>9052</v>
      </c>
      <c r="E2139" s="92" t="s">
        <v>4778</v>
      </c>
      <c r="F2139" s="89" t="s">
        <v>7213</v>
      </c>
      <c r="G2139" s="29" t="s">
        <v>9053</v>
      </c>
    </row>
    <row r="2140" spans="1:7">
      <c r="A2140" s="33">
        <v>44055</v>
      </c>
      <c r="B2140" s="29" t="s">
        <v>9054</v>
      </c>
      <c r="C2140" s="29" t="s">
        <v>9055</v>
      </c>
      <c r="D2140" s="29" t="s">
        <v>9056</v>
      </c>
      <c r="E2140" s="92" t="s">
        <v>4778</v>
      </c>
      <c r="F2140" s="89" t="s">
        <v>7208</v>
      </c>
      <c r="G2140" s="29" t="s">
        <v>8464</v>
      </c>
    </row>
    <row r="2141" spans="1:7">
      <c r="A2141" s="33">
        <v>44056</v>
      </c>
      <c r="B2141" s="29" t="s">
        <v>9057</v>
      </c>
      <c r="C2141" s="29" t="s">
        <v>9058</v>
      </c>
      <c r="D2141" s="29" t="s">
        <v>9059</v>
      </c>
      <c r="E2141" s="92" t="s">
        <v>4778</v>
      </c>
      <c r="F2141" s="89" t="s">
        <v>3921</v>
      </c>
      <c r="G2141" s="29" t="s">
        <v>9060</v>
      </c>
    </row>
    <row r="2142" spans="1:7">
      <c r="A2142" s="33">
        <v>44057</v>
      </c>
      <c r="B2142" s="29" t="s">
        <v>9061</v>
      </c>
      <c r="C2142" s="29" t="s">
        <v>9062</v>
      </c>
      <c r="D2142" s="29" t="s">
        <v>9063</v>
      </c>
      <c r="E2142" s="92" t="s">
        <v>4778</v>
      </c>
      <c r="F2142" s="89" t="s">
        <v>3821</v>
      </c>
      <c r="G2142" s="29" t="s">
        <v>8474</v>
      </c>
    </row>
    <row r="2143" spans="1:7">
      <c r="A2143" s="33">
        <v>44058</v>
      </c>
      <c r="B2143" s="29" t="s">
        <v>9064</v>
      </c>
      <c r="C2143" s="29" t="s">
        <v>9065</v>
      </c>
      <c r="D2143" s="29" t="s">
        <v>9064</v>
      </c>
      <c r="E2143" s="92" t="s">
        <v>4778</v>
      </c>
      <c r="F2143" s="89" t="s">
        <v>7197</v>
      </c>
      <c r="G2143" s="29" t="s">
        <v>9037</v>
      </c>
    </row>
    <row r="2144" spans="1:7">
      <c r="A2144" s="33">
        <v>44059</v>
      </c>
      <c r="B2144" s="29" t="s">
        <v>9066</v>
      </c>
      <c r="C2144" s="29" t="s">
        <v>9067</v>
      </c>
      <c r="D2144" s="29" t="s">
        <v>9068</v>
      </c>
      <c r="E2144" s="92" t="s">
        <v>4778</v>
      </c>
      <c r="F2144" s="89" t="s">
        <v>7193</v>
      </c>
      <c r="G2144" s="29" t="s">
        <v>8501</v>
      </c>
    </row>
    <row r="2145" spans="1:7">
      <c r="A2145" s="33">
        <v>44060</v>
      </c>
      <c r="B2145" s="29" t="s">
        <v>9069</v>
      </c>
      <c r="C2145" s="29" t="s">
        <v>9070</v>
      </c>
      <c r="D2145" s="29" t="s">
        <v>9071</v>
      </c>
      <c r="E2145" s="92" t="s">
        <v>4778</v>
      </c>
      <c r="F2145" s="89" t="s">
        <v>7188</v>
      </c>
      <c r="G2145" s="29" t="s">
        <v>8559</v>
      </c>
    </row>
    <row r="2146" spans="1:7">
      <c r="A2146" s="33">
        <v>44061</v>
      </c>
      <c r="B2146" s="29" t="s">
        <v>9072</v>
      </c>
      <c r="C2146" s="29" t="s">
        <v>9073</v>
      </c>
      <c r="D2146" s="29" t="s">
        <v>9074</v>
      </c>
      <c r="E2146" s="92" t="s">
        <v>4778</v>
      </c>
      <c r="F2146" s="89" t="s">
        <v>3515</v>
      </c>
      <c r="G2146" s="29" t="s">
        <v>9075</v>
      </c>
    </row>
    <row r="2147" spans="1:7">
      <c r="A2147" s="33">
        <v>44062</v>
      </c>
      <c r="B2147" s="29" t="s">
        <v>9076</v>
      </c>
      <c r="C2147" s="29" t="s">
        <v>9077</v>
      </c>
      <c r="D2147" s="29" t="s">
        <v>9078</v>
      </c>
      <c r="E2147" s="92" t="s">
        <v>4778</v>
      </c>
      <c r="F2147" s="89" t="s">
        <v>3496</v>
      </c>
      <c r="G2147" s="29" t="s">
        <v>8468</v>
      </c>
    </row>
    <row r="2148" spans="1:7">
      <c r="A2148" s="33">
        <v>44063</v>
      </c>
      <c r="B2148" s="29" t="s">
        <v>9079</v>
      </c>
      <c r="C2148" s="29" t="s">
        <v>9080</v>
      </c>
      <c r="D2148" s="29" t="s">
        <v>9081</v>
      </c>
      <c r="E2148" s="92" t="s">
        <v>4778</v>
      </c>
      <c r="F2148" s="89" t="s">
        <v>3929</v>
      </c>
      <c r="G2148" s="29" t="s">
        <v>8590</v>
      </c>
    </row>
    <row r="2149" spans="1:7">
      <c r="A2149" s="33">
        <v>44064</v>
      </c>
      <c r="B2149" s="29" t="s">
        <v>9082</v>
      </c>
      <c r="C2149" s="29" t="s">
        <v>9083</v>
      </c>
      <c r="D2149" s="29" t="s">
        <v>9084</v>
      </c>
      <c r="E2149" s="92" t="s">
        <v>4778</v>
      </c>
      <c r="F2149" s="89" t="s">
        <v>4024</v>
      </c>
      <c r="G2149" s="29" t="s">
        <v>6775</v>
      </c>
    </row>
    <row r="2150" spans="1:7">
      <c r="A2150" s="33">
        <v>44065</v>
      </c>
      <c r="B2150" s="29" t="s">
        <v>9085</v>
      </c>
      <c r="C2150" s="29" t="s">
        <v>9086</v>
      </c>
      <c r="D2150" s="29" t="s">
        <v>9087</v>
      </c>
      <c r="E2150" s="92" t="s">
        <v>4778</v>
      </c>
      <c r="F2150" s="89" t="s">
        <v>2249</v>
      </c>
      <c r="G2150" s="29" t="s">
        <v>8590</v>
      </c>
    </row>
    <row r="2151" spans="1:7">
      <c r="A2151" s="33">
        <v>44066</v>
      </c>
      <c r="B2151" s="29" t="s">
        <v>9088</v>
      </c>
      <c r="C2151" s="29" t="s">
        <v>9089</v>
      </c>
      <c r="D2151" s="29" t="s">
        <v>9090</v>
      </c>
      <c r="E2151" s="92" t="s">
        <v>4778</v>
      </c>
      <c r="F2151" s="89" t="s">
        <v>3464</v>
      </c>
      <c r="G2151" s="29" t="s">
        <v>6794</v>
      </c>
    </row>
    <row r="2152" spans="1:7">
      <c r="A2152" s="33">
        <v>44067</v>
      </c>
      <c r="B2152" s="29" t="s">
        <v>9091</v>
      </c>
      <c r="C2152" s="29" t="s">
        <v>9092</v>
      </c>
      <c r="D2152" s="29" t="s">
        <v>9093</v>
      </c>
      <c r="E2152" s="92" t="s">
        <v>4778</v>
      </c>
      <c r="F2152" s="89" t="s">
        <v>3539</v>
      </c>
      <c r="G2152" s="29" t="s">
        <v>8586</v>
      </c>
    </row>
    <row r="2153" spans="1:7">
      <c r="A2153" s="33">
        <v>44068</v>
      </c>
      <c r="B2153" s="29" t="s">
        <v>9094</v>
      </c>
      <c r="C2153" s="29" t="s">
        <v>9095</v>
      </c>
      <c r="D2153" s="29" t="s">
        <v>9096</v>
      </c>
      <c r="E2153" s="92" t="s">
        <v>4778</v>
      </c>
      <c r="F2153" s="89" t="s">
        <v>3484</v>
      </c>
      <c r="G2153" s="29" t="s">
        <v>9097</v>
      </c>
    </row>
    <row r="2154" spans="1:7">
      <c r="A2154" s="33">
        <v>44069</v>
      </c>
      <c r="B2154" s="29" t="s">
        <v>9098</v>
      </c>
      <c r="C2154" s="29" t="s">
        <v>9099</v>
      </c>
      <c r="D2154" s="29" t="s">
        <v>9100</v>
      </c>
      <c r="E2154" s="92" t="s">
        <v>4778</v>
      </c>
      <c r="F2154" s="89" t="s">
        <v>3603</v>
      </c>
      <c r="G2154" s="29" t="s">
        <v>8480</v>
      </c>
    </row>
    <row r="2155" spans="1:7">
      <c r="A2155" s="33">
        <v>44070</v>
      </c>
      <c r="B2155" s="29" t="s">
        <v>9101</v>
      </c>
      <c r="C2155" s="29" t="s">
        <v>9102</v>
      </c>
      <c r="D2155" s="29" t="s">
        <v>9103</v>
      </c>
      <c r="E2155" s="92" t="s">
        <v>4778</v>
      </c>
      <c r="F2155" s="89" t="s">
        <v>3500</v>
      </c>
      <c r="G2155" s="29" t="s">
        <v>9016</v>
      </c>
    </row>
    <row r="2156" spans="1:7">
      <c r="A2156" s="33">
        <v>44071</v>
      </c>
      <c r="B2156" s="29" t="s">
        <v>9104</v>
      </c>
      <c r="C2156" s="29" t="s">
        <v>9105</v>
      </c>
      <c r="D2156" s="29" t="s">
        <v>9106</v>
      </c>
      <c r="E2156" s="92" t="s">
        <v>4778</v>
      </c>
      <c r="F2156" s="89" t="s">
        <v>6006</v>
      </c>
      <c r="G2156" s="29" t="s">
        <v>8494</v>
      </c>
    </row>
    <row r="2157" spans="1:7">
      <c r="A2157" s="33">
        <v>44072</v>
      </c>
      <c r="B2157" s="29" t="s">
        <v>9107</v>
      </c>
      <c r="C2157" s="29" t="s">
        <v>9108</v>
      </c>
      <c r="D2157" s="29" t="s">
        <v>9109</v>
      </c>
      <c r="E2157" s="92" t="s">
        <v>4778</v>
      </c>
      <c r="F2157" s="89" t="s">
        <v>4032</v>
      </c>
      <c r="G2157" s="29" t="s">
        <v>8612</v>
      </c>
    </row>
    <row r="2158" spans="1:7">
      <c r="A2158" s="33">
        <v>44073</v>
      </c>
      <c r="B2158" s="29" t="s">
        <v>9110</v>
      </c>
      <c r="C2158" s="29" t="s">
        <v>9111</v>
      </c>
      <c r="D2158" s="29" t="s">
        <v>9112</v>
      </c>
      <c r="E2158" s="92" t="s">
        <v>4778</v>
      </c>
      <c r="F2158" s="89" t="s">
        <v>4028</v>
      </c>
      <c r="G2158" s="29" t="s">
        <v>8494</v>
      </c>
    </row>
    <row r="2159" spans="1:7">
      <c r="A2159" s="33">
        <v>44074</v>
      </c>
      <c r="B2159" s="29" t="s">
        <v>9113</v>
      </c>
      <c r="C2159" s="29" t="s">
        <v>9114</v>
      </c>
      <c r="D2159" s="29" t="s">
        <v>9115</v>
      </c>
      <c r="E2159" s="92" t="s">
        <v>4778</v>
      </c>
      <c r="F2159" s="89" t="s">
        <v>3519</v>
      </c>
      <c r="G2159" s="29" t="s">
        <v>8471</v>
      </c>
    </row>
    <row r="2160" spans="1:7">
      <c r="A2160" s="33">
        <v>44075</v>
      </c>
      <c r="B2160" s="29" t="s">
        <v>9116</v>
      </c>
      <c r="C2160" s="29" t="s">
        <v>9117</v>
      </c>
      <c r="D2160" s="29" t="s">
        <v>9118</v>
      </c>
      <c r="E2160" s="92" t="s">
        <v>4778</v>
      </c>
      <c r="F2160" s="89" t="s">
        <v>4020</v>
      </c>
      <c r="G2160" s="29" t="s">
        <v>8532</v>
      </c>
    </row>
    <row r="2161" spans="1:7">
      <c r="A2161" s="33">
        <v>44076</v>
      </c>
      <c r="B2161" s="29" t="s">
        <v>9119</v>
      </c>
      <c r="C2161" s="29" t="s">
        <v>9119</v>
      </c>
      <c r="D2161" s="29" t="s">
        <v>9120</v>
      </c>
      <c r="E2161" s="92" t="s">
        <v>4778</v>
      </c>
      <c r="F2161" s="89" t="s">
        <v>7124</v>
      </c>
      <c r="G2161" s="29" t="s">
        <v>9121</v>
      </c>
    </row>
    <row r="2162" spans="1:7">
      <c r="A2162" s="33">
        <v>44077</v>
      </c>
      <c r="B2162" s="29" t="s">
        <v>9122</v>
      </c>
      <c r="C2162" s="29" t="s">
        <v>9123</v>
      </c>
      <c r="D2162" s="29" t="s">
        <v>9124</v>
      </c>
      <c r="E2162" s="92" t="s">
        <v>4778</v>
      </c>
      <c r="F2162" s="89" t="s">
        <v>3488</v>
      </c>
      <c r="G2162" s="29" t="s">
        <v>9125</v>
      </c>
    </row>
    <row r="2163" spans="1:7">
      <c r="A2163" s="33">
        <v>44078</v>
      </c>
      <c r="B2163" s="29" t="s">
        <v>9126</v>
      </c>
      <c r="C2163" s="29" t="s">
        <v>9127</v>
      </c>
      <c r="D2163" s="29" t="s">
        <v>9128</v>
      </c>
      <c r="E2163" s="92" t="s">
        <v>4778</v>
      </c>
      <c r="F2163" s="89" t="s">
        <v>7117</v>
      </c>
      <c r="G2163" s="35">
        <v>30000000000</v>
      </c>
    </row>
    <row r="2164" spans="1:7">
      <c r="A2164" s="33">
        <v>44079</v>
      </c>
      <c r="B2164" s="29" t="s">
        <v>9129</v>
      </c>
      <c r="C2164" s="29" t="s">
        <v>9130</v>
      </c>
      <c r="D2164" s="34">
        <v>9946676</v>
      </c>
      <c r="E2164" s="92" t="s">
        <v>4778</v>
      </c>
      <c r="F2164" s="89" t="s">
        <v>3973</v>
      </c>
      <c r="G2164" s="29" t="s">
        <v>8876</v>
      </c>
    </row>
    <row r="2165" spans="1:7">
      <c r="A2165" s="33">
        <v>44080</v>
      </c>
      <c r="B2165" s="29" t="s">
        <v>9131</v>
      </c>
      <c r="C2165" s="29" t="s">
        <v>8705</v>
      </c>
      <c r="D2165" s="29" t="s">
        <v>9132</v>
      </c>
      <c r="E2165" s="92" t="s">
        <v>4778</v>
      </c>
      <c r="F2165" s="89" t="s">
        <v>3468</v>
      </c>
      <c r="G2165" s="29" t="s">
        <v>8911</v>
      </c>
    </row>
    <row r="2166" spans="1:7">
      <c r="A2166" s="33">
        <v>44081</v>
      </c>
      <c r="B2166" s="29">
        <v>10281</v>
      </c>
      <c r="C2166" s="29" t="s">
        <v>9133</v>
      </c>
      <c r="D2166" s="34">
        <v>9916493</v>
      </c>
      <c r="E2166" s="92" t="s">
        <v>4778</v>
      </c>
      <c r="F2166" s="89" t="s">
        <v>3256</v>
      </c>
      <c r="G2166" s="29" t="s">
        <v>9134</v>
      </c>
    </row>
    <row r="2167" spans="1:7">
      <c r="A2167" s="33">
        <v>44082</v>
      </c>
      <c r="B2167" s="29" t="s">
        <v>9135</v>
      </c>
      <c r="C2167" s="29" t="s">
        <v>9136</v>
      </c>
      <c r="D2167" s="29" t="s">
        <v>9137</v>
      </c>
      <c r="E2167" s="92" t="s">
        <v>4778</v>
      </c>
      <c r="F2167" s="89" t="s">
        <v>3977</v>
      </c>
      <c r="G2167" s="29" t="s">
        <v>9138</v>
      </c>
    </row>
    <row r="2168" spans="1:7">
      <c r="A2168" s="33">
        <v>44083</v>
      </c>
      <c r="B2168" s="29" t="s">
        <v>9139</v>
      </c>
      <c r="C2168" s="29" t="s">
        <v>9140</v>
      </c>
      <c r="D2168" s="29" t="s">
        <v>9141</v>
      </c>
      <c r="E2168" s="92" t="s">
        <v>4778</v>
      </c>
      <c r="F2168" s="89" t="s">
        <v>7096</v>
      </c>
      <c r="G2168" s="29" t="s">
        <v>8829</v>
      </c>
    </row>
    <row r="2169" spans="1:7">
      <c r="A2169" s="33">
        <v>44084</v>
      </c>
      <c r="B2169" s="29" t="s">
        <v>9142</v>
      </c>
      <c r="C2169" s="29" t="s">
        <v>9143</v>
      </c>
      <c r="D2169" s="29" t="s">
        <v>9144</v>
      </c>
      <c r="E2169" s="92" t="s">
        <v>4778</v>
      </c>
      <c r="F2169" s="89" t="s">
        <v>3460</v>
      </c>
      <c r="G2169" s="29" t="s">
        <v>8905</v>
      </c>
    </row>
    <row r="2170" spans="1:7">
      <c r="A2170" s="33">
        <v>44085</v>
      </c>
      <c r="B2170" s="29" t="s">
        <v>9145</v>
      </c>
      <c r="C2170" s="29" t="s">
        <v>9146</v>
      </c>
      <c r="D2170" s="29" t="s">
        <v>9147</v>
      </c>
      <c r="E2170" s="92" t="s">
        <v>4778</v>
      </c>
      <c r="F2170" s="89" t="s">
        <v>3969</v>
      </c>
      <c r="G2170" s="29" t="s">
        <v>9148</v>
      </c>
    </row>
    <row r="2171" spans="1:7">
      <c r="A2171" s="33">
        <v>44086</v>
      </c>
      <c r="B2171" s="29" t="s">
        <v>9149</v>
      </c>
      <c r="C2171" s="29" t="s">
        <v>9150</v>
      </c>
      <c r="D2171" s="29" t="s">
        <v>9151</v>
      </c>
      <c r="E2171" s="92" t="s">
        <v>4778</v>
      </c>
      <c r="F2171" s="89" t="s">
        <v>3476</v>
      </c>
      <c r="G2171" s="29" t="s">
        <v>9152</v>
      </c>
    </row>
    <row r="2172" spans="1:7">
      <c r="A2172" s="33">
        <v>44087</v>
      </c>
      <c r="B2172" s="29" t="s">
        <v>9153</v>
      </c>
      <c r="C2172" s="29" t="s">
        <v>9154</v>
      </c>
      <c r="D2172" s="29" t="s">
        <v>9155</v>
      </c>
      <c r="E2172" s="92" t="s">
        <v>4778</v>
      </c>
      <c r="F2172" s="89" t="s">
        <v>7081</v>
      </c>
      <c r="G2172" s="29" t="s">
        <v>4778</v>
      </c>
    </row>
    <row r="2173" spans="1:7">
      <c r="A2173" s="33">
        <v>44088</v>
      </c>
      <c r="B2173" s="29" t="s">
        <v>9156</v>
      </c>
      <c r="C2173" s="29" t="s">
        <v>9157</v>
      </c>
      <c r="D2173" s="29" t="s">
        <v>9158</v>
      </c>
      <c r="E2173" s="92" t="s">
        <v>4778</v>
      </c>
      <c r="F2173" s="89" t="s">
        <v>340</v>
      </c>
      <c r="G2173" s="29" t="s">
        <v>9159</v>
      </c>
    </row>
    <row r="2174" spans="1:7">
      <c r="A2174" s="33">
        <v>44089</v>
      </c>
      <c r="B2174" s="29" t="s">
        <v>9160</v>
      </c>
      <c r="C2174" s="29" t="s">
        <v>9161</v>
      </c>
      <c r="D2174" s="29" t="s">
        <v>9162</v>
      </c>
      <c r="E2174" s="92" t="s">
        <v>4778</v>
      </c>
      <c r="F2174" s="89" t="s">
        <v>3547</v>
      </c>
      <c r="G2174" s="29" t="s">
        <v>8932</v>
      </c>
    </row>
    <row r="2175" spans="1:7">
      <c r="A2175" s="33">
        <v>44090</v>
      </c>
      <c r="B2175" s="29" t="s">
        <v>9163</v>
      </c>
      <c r="C2175" s="29" t="s">
        <v>9164</v>
      </c>
      <c r="D2175" s="29" t="s">
        <v>9165</v>
      </c>
      <c r="E2175" s="92" t="s">
        <v>4778</v>
      </c>
      <c r="F2175" s="89" t="s">
        <v>3492</v>
      </c>
      <c r="G2175" s="29" t="s">
        <v>8542</v>
      </c>
    </row>
    <row r="2176" spans="1:7">
      <c r="A2176" s="33">
        <v>44091</v>
      </c>
      <c r="B2176" s="29" t="s">
        <v>9166</v>
      </c>
      <c r="C2176" s="29" t="s">
        <v>9167</v>
      </c>
      <c r="D2176" s="29" t="s">
        <v>9168</v>
      </c>
      <c r="E2176" s="92" t="s">
        <v>4778</v>
      </c>
      <c r="F2176" s="89" t="s">
        <v>3937</v>
      </c>
      <c r="G2176" s="29" t="s">
        <v>9169</v>
      </c>
    </row>
    <row r="2177" spans="1:7">
      <c r="A2177" s="33">
        <v>44092</v>
      </c>
      <c r="B2177" s="29" t="s">
        <v>9170</v>
      </c>
      <c r="C2177" s="29" t="s">
        <v>9171</v>
      </c>
      <c r="D2177" s="29" t="s">
        <v>9172</v>
      </c>
      <c r="E2177" s="92" t="s">
        <v>4778</v>
      </c>
      <c r="F2177" s="89" t="s">
        <v>3292</v>
      </c>
      <c r="G2177" s="29" t="s">
        <v>9097</v>
      </c>
    </row>
    <row r="2178" spans="1:7">
      <c r="A2178" s="33">
        <v>44093</v>
      </c>
      <c r="B2178" s="29" t="s">
        <v>9173</v>
      </c>
      <c r="C2178" s="29" t="s">
        <v>9174</v>
      </c>
      <c r="D2178" s="29" t="s">
        <v>9175</v>
      </c>
      <c r="E2178" s="92" t="s">
        <v>4778</v>
      </c>
      <c r="F2178" s="89" t="s">
        <v>4036</v>
      </c>
      <c r="G2178" s="29" t="s">
        <v>8811</v>
      </c>
    </row>
    <row r="2179" spans="1:7">
      <c r="A2179" s="33">
        <v>44094</v>
      </c>
      <c r="B2179" s="29" t="s">
        <v>9176</v>
      </c>
      <c r="C2179" s="29" t="s">
        <v>9176</v>
      </c>
      <c r="D2179" s="29" t="s">
        <v>9177</v>
      </c>
      <c r="E2179" s="92" t="s">
        <v>4778</v>
      </c>
      <c r="F2179" s="89" t="s">
        <v>7043</v>
      </c>
      <c r="G2179" s="29" t="s">
        <v>8466</v>
      </c>
    </row>
    <row r="2180" spans="1:7">
      <c r="A2180" s="33">
        <v>44095</v>
      </c>
      <c r="B2180" s="29" t="s">
        <v>9178</v>
      </c>
      <c r="C2180" s="29" t="s">
        <v>4778</v>
      </c>
      <c r="D2180" s="29" t="s">
        <v>9179</v>
      </c>
      <c r="E2180" s="92" t="s">
        <v>4778</v>
      </c>
      <c r="F2180" s="89" t="s">
        <v>7038</v>
      </c>
      <c r="G2180" s="29" t="s">
        <v>8449</v>
      </c>
    </row>
    <row r="2181" spans="1:7">
      <c r="A2181" s="33">
        <v>44096</v>
      </c>
      <c r="B2181" s="29" t="s">
        <v>9180</v>
      </c>
      <c r="C2181" s="29" t="s">
        <v>9181</v>
      </c>
      <c r="D2181" s="29" t="s">
        <v>9182</v>
      </c>
      <c r="E2181" s="92" t="s">
        <v>4778</v>
      </c>
      <c r="F2181" s="89" t="s">
        <v>3472</v>
      </c>
      <c r="G2181" s="29" t="s">
        <v>8626</v>
      </c>
    </row>
    <row r="2182" spans="1:7">
      <c r="A2182" s="33">
        <v>44097</v>
      </c>
      <c r="B2182" s="29" t="s">
        <v>9183</v>
      </c>
      <c r="C2182" s="29" t="s">
        <v>9184</v>
      </c>
      <c r="D2182" s="29" t="s">
        <v>9185</v>
      </c>
      <c r="E2182" s="92" t="s">
        <v>4778</v>
      </c>
      <c r="F2182" s="89" t="s">
        <v>7030</v>
      </c>
      <c r="G2182" s="29" t="s">
        <v>6775</v>
      </c>
    </row>
    <row r="2183" spans="1:7">
      <c r="A2183" s="33">
        <v>44098</v>
      </c>
      <c r="B2183" s="29" t="s">
        <v>9186</v>
      </c>
      <c r="C2183" s="29" t="s">
        <v>9187</v>
      </c>
      <c r="D2183" s="29" t="s">
        <v>9188</v>
      </c>
      <c r="E2183" s="92" t="s">
        <v>4778</v>
      </c>
      <c r="F2183" s="89" t="s">
        <v>3933</v>
      </c>
      <c r="G2183" s="29" t="s">
        <v>8944</v>
      </c>
    </row>
    <row r="2184" spans="1:7">
      <c r="A2184" s="33">
        <v>44099</v>
      </c>
      <c r="B2184" s="29" t="s">
        <v>9189</v>
      </c>
      <c r="C2184" s="29" t="s">
        <v>9190</v>
      </c>
      <c r="D2184" s="29" t="s">
        <v>9191</v>
      </c>
      <c r="E2184" s="92" t="s">
        <v>4778</v>
      </c>
      <c r="F2184" s="89" t="s">
        <v>3535</v>
      </c>
      <c r="G2184" s="29" t="s">
        <v>8961</v>
      </c>
    </row>
    <row r="2185" spans="1:7">
      <c r="A2185" s="33">
        <v>44100</v>
      </c>
      <c r="B2185" s="29" t="s">
        <v>9192</v>
      </c>
      <c r="C2185" s="29">
        <v>10773</v>
      </c>
      <c r="D2185" s="29" t="s">
        <v>9193</v>
      </c>
      <c r="E2185" s="92" t="s">
        <v>4778</v>
      </c>
      <c r="F2185" s="89" t="s">
        <v>3504</v>
      </c>
      <c r="G2185" s="29" t="s">
        <v>8895</v>
      </c>
    </row>
    <row r="2186" spans="1:7">
      <c r="A2186" s="33">
        <v>44101</v>
      </c>
      <c r="B2186" s="29" t="s">
        <v>9194</v>
      </c>
      <c r="C2186" s="29" t="s">
        <v>9195</v>
      </c>
      <c r="D2186" s="29" t="s">
        <v>9196</v>
      </c>
      <c r="E2186" s="92" t="s">
        <v>4778</v>
      </c>
      <c r="F2186" s="89" t="s">
        <v>3555</v>
      </c>
      <c r="G2186" s="29" t="s">
        <v>9197</v>
      </c>
    </row>
    <row r="2187" spans="1:7">
      <c r="A2187" s="33">
        <v>44102</v>
      </c>
      <c r="B2187" s="29" t="s">
        <v>9198</v>
      </c>
      <c r="C2187" s="29" t="s">
        <v>9199</v>
      </c>
      <c r="D2187" s="29" t="s">
        <v>9200</v>
      </c>
      <c r="E2187" s="92" t="s">
        <v>4778</v>
      </c>
      <c r="F2187" s="89" t="s">
        <v>3543</v>
      </c>
      <c r="G2187" s="29" t="s">
        <v>9201</v>
      </c>
    </row>
    <row r="2188" spans="1:7">
      <c r="A2188" s="33">
        <v>44103</v>
      </c>
      <c r="B2188" s="29" t="s">
        <v>7866</v>
      </c>
      <c r="C2188" s="29">
        <v>10860</v>
      </c>
      <c r="D2188" s="29" t="s">
        <v>9202</v>
      </c>
      <c r="E2188" s="92" t="s">
        <v>4778</v>
      </c>
      <c r="F2188" s="89" t="s">
        <v>7005</v>
      </c>
      <c r="G2188" s="29" t="s">
        <v>8948</v>
      </c>
    </row>
    <row r="2189" spans="1:7">
      <c r="A2189" s="33">
        <v>44104</v>
      </c>
      <c r="B2189" s="29" t="s">
        <v>9203</v>
      </c>
      <c r="C2189" s="29" t="s">
        <v>9204</v>
      </c>
      <c r="D2189" s="29" t="s">
        <v>9205</v>
      </c>
      <c r="E2189" s="92" t="s">
        <v>4778</v>
      </c>
      <c r="F2189" s="89" t="s">
        <v>3296</v>
      </c>
      <c r="G2189" s="29" t="s">
        <v>8921</v>
      </c>
    </row>
    <row r="2190" spans="1:7">
      <c r="A2190" s="33">
        <v>44105</v>
      </c>
      <c r="B2190" s="29" t="s">
        <v>9206</v>
      </c>
      <c r="C2190" s="29" t="s">
        <v>9207</v>
      </c>
      <c r="D2190" s="29" t="s">
        <v>9208</v>
      </c>
      <c r="E2190" s="92" t="s">
        <v>4778</v>
      </c>
      <c r="F2190" s="89" t="s">
        <v>3392</v>
      </c>
      <c r="G2190" s="35">
        <v>40000000000</v>
      </c>
    </row>
    <row r="2191" spans="1:7">
      <c r="A2191" s="33">
        <v>44106</v>
      </c>
      <c r="B2191" s="29" t="s">
        <v>20</v>
      </c>
      <c r="C2191" s="29" t="s">
        <v>21</v>
      </c>
      <c r="D2191" s="29" t="s">
        <v>22</v>
      </c>
      <c r="E2191" s="92" t="s">
        <v>4778</v>
      </c>
      <c r="F2191" s="89" t="s">
        <v>3861</v>
      </c>
      <c r="G2191" s="29" t="s">
        <v>9209</v>
      </c>
    </row>
    <row r="2192" spans="1:7">
      <c r="A2192" s="33">
        <v>44107</v>
      </c>
      <c r="B2192" s="29" t="s">
        <v>24</v>
      </c>
      <c r="C2192" s="29" t="s">
        <v>25</v>
      </c>
      <c r="D2192" s="29" t="s">
        <v>26</v>
      </c>
      <c r="E2192" s="92" t="s">
        <v>4778</v>
      </c>
      <c r="F2192" s="89" t="s">
        <v>6989</v>
      </c>
      <c r="G2192" s="29" t="s">
        <v>9210</v>
      </c>
    </row>
    <row r="2193" spans="1:7">
      <c r="A2193" s="33">
        <v>44108</v>
      </c>
      <c r="B2193" s="29" t="s">
        <v>28</v>
      </c>
      <c r="C2193" s="29">
        <v>10686</v>
      </c>
      <c r="D2193" s="29" t="s">
        <v>30</v>
      </c>
      <c r="E2193" s="92" t="s">
        <v>4778</v>
      </c>
      <c r="F2193" s="89" t="s">
        <v>3272</v>
      </c>
      <c r="G2193" s="29" t="s">
        <v>9211</v>
      </c>
    </row>
    <row r="2194" spans="1:7">
      <c r="A2194" s="33">
        <v>44109</v>
      </c>
      <c r="B2194" s="29" t="s">
        <v>32</v>
      </c>
      <c r="C2194" s="29" t="s">
        <v>33</v>
      </c>
      <c r="D2194" s="29" t="s">
        <v>34</v>
      </c>
      <c r="E2194" s="92" t="s">
        <v>4778</v>
      </c>
      <c r="F2194" s="89" t="s">
        <v>6980</v>
      </c>
      <c r="G2194" s="29" t="s">
        <v>9212</v>
      </c>
    </row>
    <row r="2195" spans="1:7">
      <c r="A2195" s="33">
        <v>44110</v>
      </c>
      <c r="B2195" s="29" t="s">
        <v>36</v>
      </c>
      <c r="C2195" s="29" t="s">
        <v>37</v>
      </c>
      <c r="D2195" s="29" t="s">
        <v>38</v>
      </c>
      <c r="E2195" s="92" t="s">
        <v>4778</v>
      </c>
      <c r="F2195" s="89" t="s">
        <v>344</v>
      </c>
      <c r="G2195" s="29" t="s">
        <v>9213</v>
      </c>
    </row>
    <row r="2196" spans="1:7">
      <c r="A2196" s="33">
        <v>44111</v>
      </c>
      <c r="B2196" s="29" t="s">
        <v>40</v>
      </c>
      <c r="C2196" s="29" t="s">
        <v>41</v>
      </c>
      <c r="D2196" s="29" t="s">
        <v>42</v>
      </c>
      <c r="E2196" s="92" t="s">
        <v>4778</v>
      </c>
      <c r="F2196" s="89" t="s">
        <v>4016</v>
      </c>
      <c r="G2196" s="29" t="s">
        <v>9214</v>
      </c>
    </row>
    <row r="2197" spans="1:7">
      <c r="A2197" s="33">
        <v>44112</v>
      </c>
      <c r="B2197" s="29" t="s">
        <v>9215</v>
      </c>
      <c r="C2197" s="29" t="s">
        <v>9216</v>
      </c>
      <c r="D2197" s="29" t="s">
        <v>9217</v>
      </c>
      <c r="E2197" s="92" t="s">
        <v>4778</v>
      </c>
      <c r="F2197" s="89" t="s">
        <v>3480</v>
      </c>
      <c r="G2197" s="29" t="s">
        <v>8950</v>
      </c>
    </row>
    <row r="2198" spans="1:7">
      <c r="A2198" s="33">
        <v>44113</v>
      </c>
      <c r="B2198" s="29" t="s">
        <v>44</v>
      </c>
      <c r="C2198" s="29" t="s">
        <v>45</v>
      </c>
      <c r="D2198" s="29" t="s">
        <v>46</v>
      </c>
      <c r="E2198" s="92">
        <v>9951519</v>
      </c>
      <c r="F2198" s="89" t="s">
        <v>3996</v>
      </c>
      <c r="G2198" s="29" t="s">
        <v>8811</v>
      </c>
    </row>
    <row r="2199" spans="1:7">
      <c r="A2199" s="33">
        <v>44114</v>
      </c>
      <c r="B2199" s="29" t="s">
        <v>48</v>
      </c>
      <c r="C2199" s="29" t="s">
        <v>49</v>
      </c>
      <c r="D2199" s="29" t="s">
        <v>50</v>
      </c>
      <c r="E2199" s="92">
        <v>9934434</v>
      </c>
      <c r="F2199" s="89" t="s">
        <v>3252</v>
      </c>
      <c r="G2199" s="29" t="s">
        <v>8400</v>
      </c>
    </row>
    <row r="2200" spans="1:7">
      <c r="A2200" s="33">
        <v>44115</v>
      </c>
      <c r="B2200" s="29" t="s">
        <v>52</v>
      </c>
      <c r="C2200" s="29" t="s">
        <v>53</v>
      </c>
      <c r="D2200" s="29" t="s">
        <v>54</v>
      </c>
      <c r="E2200" s="92">
        <v>9924516</v>
      </c>
      <c r="F2200" s="89" t="s">
        <v>3989</v>
      </c>
      <c r="G2200" s="35">
        <v>20000000000</v>
      </c>
    </row>
    <row r="2201" spans="1:7">
      <c r="A2201" s="33">
        <v>44116</v>
      </c>
      <c r="B2201" s="29" t="s">
        <v>56</v>
      </c>
      <c r="C2201" s="29" t="s">
        <v>57</v>
      </c>
      <c r="D2201" s="29" t="s">
        <v>58</v>
      </c>
      <c r="E2201" s="92">
        <v>9911842</v>
      </c>
      <c r="F2201" s="89" t="s">
        <v>6954</v>
      </c>
      <c r="G2201" s="29" t="s">
        <v>4778</v>
      </c>
    </row>
    <row r="2202" spans="1:7">
      <c r="A2202" s="33">
        <v>44117</v>
      </c>
      <c r="B2202" s="29" t="s">
        <v>60</v>
      </c>
      <c r="C2202" s="29" t="s">
        <v>61</v>
      </c>
      <c r="D2202" s="29" t="s">
        <v>62</v>
      </c>
      <c r="E2202" s="92">
        <v>9905167</v>
      </c>
      <c r="F2202" s="89" t="s">
        <v>3280</v>
      </c>
      <c r="G2202" s="29" t="s">
        <v>8474</v>
      </c>
    </row>
    <row r="2203" spans="1:7">
      <c r="A2203" s="33">
        <v>44118</v>
      </c>
      <c r="B2203" s="29" t="s">
        <v>64</v>
      </c>
      <c r="C2203" s="29" t="s">
        <v>65</v>
      </c>
      <c r="D2203" s="29" t="s">
        <v>66</v>
      </c>
      <c r="E2203" s="92">
        <v>9900768</v>
      </c>
      <c r="F2203" s="89" t="s">
        <v>3284</v>
      </c>
      <c r="G2203" s="29" t="s">
        <v>8829</v>
      </c>
    </row>
    <row r="2204" spans="1:7">
      <c r="A2204" s="33">
        <v>44119</v>
      </c>
      <c r="B2204" s="29" t="s">
        <v>68</v>
      </c>
      <c r="C2204" s="29" t="s">
        <v>69</v>
      </c>
      <c r="D2204" s="29" t="s">
        <v>70</v>
      </c>
      <c r="E2204" s="92">
        <v>9889425</v>
      </c>
      <c r="F2204" s="89" t="s">
        <v>5140</v>
      </c>
      <c r="G2204" s="29" t="s">
        <v>8468</v>
      </c>
    </row>
    <row r="2205" spans="1:7">
      <c r="A2205" s="33">
        <v>44120</v>
      </c>
      <c r="B2205" s="29" t="s">
        <v>72</v>
      </c>
      <c r="C2205" s="29" t="s">
        <v>73</v>
      </c>
      <c r="D2205" s="29" t="s">
        <v>74</v>
      </c>
      <c r="E2205" s="92">
        <v>9870304</v>
      </c>
      <c r="F2205" s="89" t="s">
        <v>3400</v>
      </c>
      <c r="G2205" s="29" t="s">
        <v>9218</v>
      </c>
    </row>
    <row r="2206" spans="1:7">
      <c r="A2206" s="33">
        <v>44121</v>
      </c>
      <c r="B2206" s="29" t="s">
        <v>75</v>
      </c>
      <c r="C2206" s="29" t="s">
        <v>76</v>
      </c>
      <c r="D2206" s="29" t="s">
        <v>77</v>
      </c>
      <c r="E2206" s="92">
        <v>9870095</v>
      </c>
      <c r="F2206" s="89" t="s">
        <v>3985</v>
      </c>
      <c r="G2206" s="29" t="s">
        <v>8787</v>
      </c>
    </row>
    <row r="2207" spans="1:7">
      <c r="A2207" s="33">
        <v>44122</v>
      </c>
      <c r="B2207" s="29" t="s">
        <v>79</v>
      </c>
      <c r="C2207" s="29" t="s">
        <v>80</v>
      </c>
      <c r="D2207" s="29" t="s">
        <v>81</v>
      </c>
      <c r="E2207" s="92">
        <v>9865119</v>
      </c>
      <c r="F2207" s="89" t="s">
        <v>6932</v>
      </c>
      <c r="G2207" s="29" t="s">
        <v>6779</v>
      </c>
    </row>
    <row r="2208" spans="1:7">
      <c r="A2208" s="33">
        <v>44123</v>
      </c>
      <c r="B2208" s="29" t="s">
        <v>82</v>
      </c>
      <c r="C2208" s="29" t="s">
        <v>83</v>
      </c>
      <c r="D2208" s="29" t="s">
        <v>84</v>
      </c>
      <c r="E2208" s="92">
        <v>9856611</v>
      </c>
      <c r="F2208" s="89" t="s">
        <v>6928</v>
      </c>
      <c r="G2208" s="29" t="s">
        <v>8622</v>
      </c>
    </row>
    <row r="2209" spans="1:7">
      <c r="A2209" s="33">
        <v>44124</v>
      </c>
      <c r="B2209" s="29" t="s">
        <v>86</v>
      </c>
      <c r="C2209" s="29" t="s">
        <v>87</v>
      </c>
      <c r="D2209" s="29" t="s">
        <v>88</v>
      </c>
      <c r="E2209" s="92">
        <v>9842666</v>
      </c>
      <c r="F2209" s="89" t="s">
        <v>4012</v>
      </c>
      <c r="G2209" s="29" t="s">
        <v>8773</v>
      </c>
    </row>
    <row r="2210" spans="1:7">
      <c r="A2210" s="33">
        <v>44125</v>
      </c>
      <c r="B2210" s="29" t="s">
        <v>9219</v>
      </c>
      <c r="C2210" s="29" t="s">
        <v>9220</v>
      </c>
      <c r="D2210" s="29" t="s">
        <v>9221</v>
      </c>
      <c r="E2210" s="92">
        <v>9800637</v>
      </c>
      <c r="F2210" s="89" t="s">
        <v>3396</v>
      </c>
      <c r="G2210" s="29" t="s">
        <v>8855</v>
      </c>
    </row>
    <row r="2211" spans="1:7">
      <c r="A2211" s="33">
        <v>44126</v>
      </c>
      <c r="B2211" s="29" t="s">
        <v>90</v>
      </c>
      <c r="C2211" s="29" t="s">
        <v>91</v>
      </c>
      <c r="D2211" s="29" t="s">
        <v>92</v>
      </c>
      <c r="E2211" s="92">
        <v>9795943</v>
      </c>
      <c r="F2211" s="89" t="s">
        <v>3456</v>
      </c>
      <c r="G2211" s="29" t="s">
        <v>8891</v>
      </c>
    </row>
    <row r="2212" spans="1:7">
      <c r="A2212" s="33">
        <v>44127</v>
      </c>
      <c r="B2212" s="29" t="s">
        <v>94</v>
      </c>
      <c r="C2212" s="29" t="s">
        <v>95</v>
      </c>
      <c r="D2212" s="29" t="s">
        <v>96</v>
      </c>
      <c r="E2212" s="92">
        <v>9771489</v>
      </c>
      <c r="F2212" s="89" t="s">
        <v>3452</v>
      </c>
      <c r="G2212" s="29" t="s">
        <v>9222</v>
      </c>
    </row>
    <row r="2213" spans="1:7">
      <c r="A2213" s="33">
        <v>44128</v>
      </c>
      <c r="B2213" s="29" t="s">
        <v>9223</v>
      </c>
      <c r="C2213" s="29" t="s">
        <v>4778</v>
      </c>
      <c r="D2213" s="29" t="s">
        <v>9224</v>
      </c>
      <c r="E2213" s="92">
        <v>9758853</v>
      </c>
      <c r="F2213" s="89" t="s">
        <v>3448</v>
      </c>
      <c r="G2213" s="29" t="s">
        <v>8468</v>
      </c>
    </row>
    <row r="2214" spans="1:7">
      <c r="A2214" s="33">
        <v>44129</v>
      </c>
      <c r="B2214" s="29" t="s">
        <v>98</v>
      </c>
      <c r="C2214" s="29" t="s">
        <v>99</v>
      </c>
      <c r="D2214" s="29" t="s">
        <v>100</v>
      </c>
      <c r="E2214" s="92">
        <v>9757971</v>
      </c>
      <c r="F2214" s="89" t="s">
        <v>3531</v>
      </c>
      <c r="G2214" s="29" t="s">
        <v>8832</v>
      </c>
    </row>
    <row r="2215" spans="1:7">
      <c r="A2215" s="33">
        <v>44130</v>
      </c>
      <c r="B2215" s="29" t="s">
        <v>9225</v>
      </c>
      <c r="C2215" s="29" t="s">
        <v>9226</v>
      </c>
      <c r="D2215" s="29" t="s">
        <v>9227</v>
      </c>
      <c r="E2215" s="92">
        <v>9754423</v>
      </c>
      <c r="F2215" s="89" t="s">
        <v>3857</v>
      </c>
      <c r="G2215" s="29" t="s">
        <v>8917</v>
      </c>
    </row>
    <row r="2216" spans="1:7">
      <c r="A2216" s="33">
        <v>44131</v>
      </c>
      <c r="B2216" s="29" t="s">
        <v>102</v>
      </c>
      <c r="C2216" s="29" t="s">
        <v>103</v>
      </c>
      <c r="D2216" s="29" t="s">
        <v>104</v>
      </c>
      <c r="E2216" s="92">
        <v>9733722</v>
      </c>
      <c r="F2216" s="89" t="s">
        <v>3527</v>
      </c>
      <c r="G2216" s="29" t="s">
        <v>9134</v>
      </c>
    </row>
    <row r="2217" spans="1:7">
      <c r="A2217" s="33">
        <v>44132</v>
      </c>
      <c r="B2217" s="29" t="s">
        <v>106</v>
      </c>
      <c r="C2217" s="29" t="s">
        <v>107</v>
      </c>
      <c r="D2217" s="29" t="s">
        <v>108</v>
      </c>
      <c r="E2217" s="92">
        <v>9729802</v>
      </c>
      <c r="F2217" s="89" t="s">
        <v>3264</v>
      </c>
      <c r="G2217" s="29" t="s">
        <v>9228</v>
      </c>
    </row>
    <row r="2218" spans="1:7">
      <c r="A2218" s="33">
        <v>44133</v>
      </c>
      <c r="B2218" s="29" t="s">
        <v>110</v>
      </c>
      <c r="C2218" s="29" t="s">
        <v>111</v>
      </c>
      <c r="D2218" s="29" t="s">
        <v>112</v>
      </c>
      <c r="E2218" s="92">
        <v>9729324</v>
      </c>
      <c r="F2218" s="89" t="s">
        <v>3320</v>
      </c>
      <c r="G2218" s="29" t="s">
        <v>9229</v>
      </c>
    </row>
    <row r="2219" spans="1:7">
      <c r="A2219" s="33">
        <v>44134</v>
      </c>
      <c r="B2219" s="29" t="s">
        <v>114</v>
      </c>
      <c r="C2219" s="29" t="s">
        <v>115</v>
      </c>
      <c r="D2219" s="29" t="s">
        <v>116</v>
      </c>
      <c r="E2219" s="92">
        <v>9729038</v>
      </c>
      <c r="F2219" s="89" t="s">
        <v>3993</v>
      </c>
      <c r="G2219" s="29" t="s">
        <v>9230</v>
      </c>
    </row>
    <row r="2220" spans="1:7">
      <c r="A2220" s="33">
        <v>44135</v>
      </c>
      <c r="B2220" s="29" t="s">
        <v>118</v>
      </c>
      <c r="C2220" s="29" t="s">
        <v>119</v>
      </c>
      <c r="D2220" s="29" t="s">
        <v>120</v>
      </c>
      <c r="E2220" s="92">
        <v>9726575</v>
      </c>
      <c r="F2220" s="89" t="s">
        <v>6886</v>
      </c>
      <c r="G2220" s="29" t="s">
        <v>9231</v>
      </c>
    </row>
    <row r="2221" spans="1:7">
      <c r="A2221" s="33">
        <v>44136</v>
      </c>
      <c r="B2221" s="29">
        <v>13781</v>
      </c>
      <c r="C2221" s="29" t="s">
        <v>122</v>
      </c>
      <c r="D2221" s="29" t="s">
        <v>123</v>
      </c>
      <c r="E2221" s="92">
        <v>9700414</v>
      </c>
      <c r="F2221" s="89" t="s">
        <v>3336</v>
      </c>
      <c r="G2221" s="29" t="s">
        <v>8468</v>
      </c>
    </row>
    <row r="2222" spans="1:7">
      <c r="A2222" s="33">
        <v>44137</v>
      </c>
      <c r="B2222" s="29" t="s">
        <v>125</v>
      </c>
      <c r="C2222" s="29" t="s">
        <v>126</v>
      </c>
      <c r="D2222" s="29" t="s">
        <v>127</v>
      </c>
      <c r="E2222" s="92">
        <v>9693803</v>
      </c>
      <c r="F2222" s="89" t="s">
        <v>4008</v>
      </c>
      <c r="G2222" s="29" t="s">
        <v>8542</v>
      </c>
    </row>
    <row r="2223" spans="1:7">
      <c r="A2223" s="33">
        <v>44138</v>
      </c>
      <c r="B2223" s="29" t="s">
        <v>129</v>
      </c>
      <c r="C2223" s="29" t="s">
        <v>130</v>
      </c>
      <c r="D2223" s="29" t="s">
        <v>131</v>
      </c>
      <c r="E2223" s="92">
        <v>9690143</v>
      </c>
      <c r="F2223" s="89" t="s">
        <v>4000</v>
      </c>
      <c r="G2223" s="29" t="s">
        <v>8839</v>
      </c>
    </row>
    <row r="2224" spans="1:7">
      <c r="A2224" s="33">
        <v>44139</v>
      </c>
      <c r="B2224" s="29" t="s">
        <v>133</v>
      </c>
      <c r="C2224" s="29" t="s">
        <v>134</v>
      </c>
      <c r="D2224" s="29" t="s">
        <v>135</v>
      </c>
      <c r="E2224" s="92">
        <v>9686441</v>
      </c>
      <c r="F2224" s="89" t="s">
        <v>3340</v>
      </c>
      <c r="G2224" s="29" t="s">
        <v>8525</v>
      </c>
    </row>
    <row r="2225" spans="1:7">
      <c r="A2225" s="33">
        <v>44140</v>
      </c>
      <c r="B2225" s="29" t="s">
        <v>137</v>
      </c>
      <c r="C2225" s="29" t="s">
        <v>138</v>
      </c>
      <c r="D2225" s="29" t="s">
        <v>139</v>
      </c>
      <c r="E2225" s="92">
        <v>9677113</v>
      </c>
      <c r="F2225" s="89" t="s">
        <v>4004</v>
      </c>
      <c r="G2225" s="29" t="s">
        <v>8878</v>
      </c>
    </row>
    <row r="2226" spans="1:7">
      <c r="A2226" s="33">
        <v>44141</v>
      </c>
      <c r="B2226" s="29" t="s">
        <v>141</v>
      </c>
      <c r="C2226" s="29" t="s">
        <v>142</v>
      </c>
      <c r="D2226" s="29" t="s">
        <v>143</v>
      </c>
      <c r="E2226" s="92">
        <v>9670739</v>
      </c>
      <c r="F2226" s="89" t="s">
        <v>3981</v>
      </c>
      <c r="G2226" s="29" t="s">
        <v>9232</v>
      </c>
    </row>
    <row r="2227" spans="1:7">
      <c r="A2227" s="33">
        <v>44142</v>
      </c>
      <c r="B2227" s="29" t="s">
        <v>144</v>
      </c>
      <c r="C2227" s="29" t="s">
        <v>145</v>
      </c>
      <c r="D2227" s="29" t="s">
        <v>146</v>
      </c>
      <c r="E2227" s="92">
        <v>9665533</v>
      </c>
      <c r="F2227" s="89" t="s">
        <v>3288</v>
      </c>
      <c r="G2227" s="29" t="s">
        <v>9233</v>
      </c>
    </row>
    <row r="2228" spans="1:7">
      <c r="A2228" s="33">
        <v>44143</v>
      </c>
      <c r="B2228" s="29" t="s">
        <v>147</v>
      </c>
      <c r="C2228" s="29" t="s">
        <v>148</v>
      </c>
      <c r="D2228" s="29" t="s">
        <v>149</v>
      </c>
      <c r="E2228" s="92">
        <v>9663182</v>
      </c>
      <c r="F2228" s="89" t="s">
        <v>3304</v>
      </c>
      <c r="G2228" s="29" t="s">
        <v>4778</v>
      </c>
    </row>
    <row r="2229" spans="1:7">
      <c r="A2229" s="33">
        <v>44144</v>
      </c>
      <c r="B2229" s="29" t="s">
        <v>151</v>
      </c>
      <c r="C2229" s="29" t="s">
        <v>152</v>
      </c>
      <c r="D2229" s="29" t="s">
        <v>153</v>
      </c>
      <c r="E2229" s="92">
        <v>9656718</v>
      </c>
      <c r="F2229" s="89" t="s">
        <v>3260</v>
      </c>
      <c r="G2229" s="29" t="s">
        <v>8930</v>
      </c>
    </row>
    <row r="2230" spans="1:7">
      <c r="A2230" s="33">
        <v>44145</v>
      </c>
      <c r="B2230" s="29" t="s">
        <v>155</v>
      </c>
      <c r="C2230" s="29" t="s">
        <v>156</v>
      </c>
      <c r="D2230" s="29" t="s">
        <v>157</v>
      </c>
      <c r="E2230" s="92">
        <v>9650175</v>
      </c>
      <c r="F2230" s="89" t="s">
        <v>6849</v>
      </c>
      <c r="G2230" s="29" t="s">
        <v>9218</v>
      </c>
    </row>
    <row r="2231" spans="1:7">
      <c r="A2231" s="33">
        <v>44146</v>
      </c>
      <c r="B2231" s="29" t="s">
        <v>159</v>
      </c>
      <c r="C2231" s="29" t="s">
        <v>160</v>
      </c>
      <c r="D2231" s="29" t="s">
        <v>161</v>
      </c>
      <c r="E2231" s="92">
        <v>9648718</v>
      </c>
      <c r="F2231" s="89" t="s">
        <v>3332</v>
      </c>
      <c r="G2231" s="29" t="s">
        <v>8965</v>
      </c>
    </row>
    <row r="2232" spans="1:7">
      <c r="A2232" s="33">
        <v>44147</v>
      </c>
      <c r="B2232" s="29" t="s">
        <v>163</v>
      </c>
      <c r="C2232" s="29">
        <v>16305</v>
      </c>
      <c r="D2232" s="29" t="s">
        <v>165</v>
      </c>
      <c r="E2232" s="92">
        <v>9633387</v>
      </c>
      <c r="F2232" s="89" t="s">
        <v>3523</v>
      </c>
      <c r="G2232" s="29" t="s">
        <v>8792</v>
      </c>
    </row>
    <row r="2233" spans="1:7">
      <c r="A2233" s="33">
        <v>44148</v>
      </c>
      <c r="B2233" s="29" t="s">
        <v>167</v>
      </c>
      <c r="C2233" s="29" t="s">
        <v>168</v>
      </c>
      <c r="D2233" s="29" t="s">
        <v>169</v>
      </c>
      <c r="E2233" s="92">
        <v>9630664</v>
      </c>
      <c r="F2233" s="89" t="s">
        <v>6832</v>
      </c>
      <c r="G2233" s="29" t="s">
        <v>9234</v>
      </c>
    </row>
    <row r="2234" spans="1:7">
      <c r="A2234" s="33">
        <v>44149</v>
      </c>
      <c r="B2234" s="29" t="s">
        <v>170</v>
      </c>
      <c r="C2234" s="29" t="s">
        <v>170</v>
      </c>
      <c r="D2234" s="29" t="s">
        <v>171</v>
      </c>
      <c r="E2234" s="92">
        <v>9629658</v>
      </c>
      <c r="F2234" s="89" t="s">
        <v>9235</v>
      </c>
      <c r="G2234" s="29" t="s">
        <v>9060</v>
      </c>
    </row>
    <row r="2235" spans="1:7">
      <c r="A2235" s="33">
        <v>44150</v>
      </c>
      <c r="B2235" s="29" t="s">
        <v>172</v>
      </c>
      <c r="C2235" s="29" t="s">
        <v>173</v>
      </c>
      <c r="D2235" s="29" t="s">
        <v>174</v>
      </c>
      <c r="E2235" s="92">
        <v>9613424</v>
      </c>
      <c r="F2235" s="89" t="s">
        <v>6827</v>
      </c>
      <c r="G2235" s="29" t="s">
        <v>8978</v>
      </c>
    </row>
    <row r="2236" spans="1:7">
      <c r="A2236" s="33">
        <v>44151</v>
      </c>
      <c r="B2236" s="29" t="s">
        <v>176</v>
      </c>
      <c r="C2236" s="29" t="s">
        <v>177</v>
      </c>
      <c r="D2236" s="29" t="s">
        <v>178</v>
      </c>
      <c r="E2236" s="92">
        <v>9608476</v>
      </c>
      <c r="F2236" s="89" t="s">
        <v>3324</v>
      </c>
      <c r="G2236" s="29" t="s">
        <v>9236</v>
      </c>
    </row>
    <row r="2237" spans="1:7">
      <c r="A2237" s="33">
        <v>44152</v>
      </c>
      <c r="B2237" s="29" t="s">
        <v>180</v>
      </c>
      <c r="C2237" s="29" t="s">
        <v>181</v>
      </c>
      <c r="D2237" s="29" t="s">
        <v>182</v>
      </c>
      <c r="E2237" s="92">
        <v>9607424</v>
      </c>
      <c r="F2237" s="89" t="s">
        <v>6822</v>
      </c>
      <c r="G2237" s="29" t="s">
        <v>8915</v>
      </c>
    </row>
    <row r="2238" spans="1:7">
      <c r="A2238" s="33">
        <v>44153</v>
      </c>
      <c r="B2238" s="29" t="s">
        <v>184</v>
      </c>
      <c r="C2238" s="29" t="s">
        <v>185</v>
      </c>
      <c r="D2238" s="29" t="s">
        <v>186</v>
      </c>
      <c r="E2238" s="92">
        <v>9598174</v>
      </c>
      <c r="F2238" s="89" t="s">
        <v>3268</v>
      </c>
      <c r="G2238" s="29" t="s">
        <v>9237</v>
      </c>
    </row>
    <row r="2239" spans="1:7">
      <c r="A2239" s="33">
        <v>44154</v>
      </c>
      <c r="B2239" s="29" t="s">
        <v>188</v>
      </c>
      <c r="C2239" s="29" t="s">
        <v>189</v>
      </c>
      <c r="D2239" s="29" t="s">
        <v>190</v>
      </c>
      <c r="E2239" s="92">
        <v>9593896</v>
      </c>
      <c r="F2239" s="89" t="s">
        <v>3328</v>
      </c>
      <c r="G2239" s="29" t="s">
        <v>9238</v>
      </c>
    </row>
    <row r="2240" spans="1:7">
      <c r="A2240" s="33">
        <v>44155</v>
      </c>
      <c r="B2240" s="29" t="s">
        <v>192</v>
      </c>
      <c r="C2240" s="29" t="s">
        <v>193</v>
      </c>
      <c r="D2240" s="29" t="s">
        <v>194</v>
      </c>
      <c r="E2240" s="92">
        <v>9581072</v>
      </c>
      <c r="F2240" s="89" t="s">
        <v>3316</v>
      </c>
      <c r="G2240" s="29" t="s">
        <v>9238</v>
      </c>
    </row>
    <row r="2241" spans="1:7">
      <c r="A2241" s="33">
        <v>44156</v>
      </c>
      <c r="B2241" s="29" t="s">
        <v>196</v>
      </c>
      <c r="C2241" s="29" t="s">
        <v>197</v>
      </c>
      <c r="D2241" s="29" t="s">
        <v>198</v>
      </c>
      <c r="E2241" s="92">
        <v>9551715</v>
      </c>
      <c r="F2241" s="89" t="s">
        <v>6807</v>
      </c>
      <c r="G2241" s="29" t="s">
        <v>8892</v>
      </c>
    </row>
    <row r="2242" spans="1:7">
      <c r="A2242" s="33">
        <v>44157</v>
      </c>
      <c r="B2242" s="29" t="s">
        <v>199</v>
      </c>
      <c r="C2242" s="29" t="s">
        <v>200</v>
      </c>
      <c r="D2242" s="29" t="s">
        <v>201</v>
      </c>
      <c r="E2242" s="92">
        <v>9538024</v>
      </c>
      <c r="F2242" s="89" t="s">
        <v>3388</v>
      </c>
      <c r="G2242" s="29" t="s">
        <v>9239</v>
      </c>
    </row>
    <row r="2243" spans="1:7">
      <c r="A2243" s="33">
        <v>44158</v>
      </c>
      <c r="B2243" s="29" t="s">
        <v>203</v>
      </c>
      <c r="C2243" s="29" t="s">
        <v>204</v>
      </c>
      <c r="D2243" s="29" t="s">
        <v>205</v>
      </c>
      <c r="E2243" s="92">
        <v>9536893</v>
      </c>
      <c r="F2243" s="89" t="s">
        <v>6801</v>
      </c>
      <c r="G2243" s="29" t="s">
        <v>8794</v>
      </c>
    </row>
    <row r="2244" spans="1:7">
      <c r="A2244" s="33">
        <v>44159</v>
      </c>
      <c r="B2244" s="29" t="s">
        <v>207</v>
      </c>
      <c r="C2244" s="29" t="s">
        <v>208</v>
      </c>
      <c r="D2244" s="29" t="s">
        <v>209</v>
      </c>
      <c r="E2244" s="92">
        <v>9529804</v>
      </c>
      <c r="F2244" s="89" t="s">
        <v>3404</v>
      </c>
      <c r="G2244" s="29" t="s">
        <v>9240</v>
      </c>
    </row>
    <row r="2245" spans="1:7">
      <c r="A2245" s="33">
        <v>44160</v>
      </c>
      <c r="B2245" s="29" t="s">
        <v>211</v>
      </c>
      <c r="C2245" s="29" t="s">
        <v>212</v>
      </c>
      <c r="D2245" s="29" t="s">
        <v>213</v>
      </c>
      <c r="E2245" s="92">
        <v>9525751</v>
      </c>
      <c r="F2245" s="89" t="s">
        <v>3607</v>
      </c>
      <c r="G2245" s="29" t="s">
        <v>9241</v>
      </c>
    </row>
    <row r="2246" spans="1:7">
      <c r="A2246" s="33">
        <v>44161</v>
      </c>
      <c r="B2246" s="29" t="s">
        <v>215</v>
      </c>
      <c r="C2246" s="29" t="s">
        <v>216</v>
      </c>
      <c r="D2246" s="29" t="s">
        <v>217</v>
      </c>
      <c r="E2246" s="92">
        <v>9525363</v>
      </c>
      <c r="F2246" s="89" t="s">
        <v>4048</v>
      </c>
      <c r="G2246" s="29" t="s">
        <v>9242</v>
      </c>
    </row>
    <row r="2247" spans="1:7">
      <c r="A2247" s="33">
        <v>44162</v>
      </c>
      <c r="B2247" s="29" t="s">
        <v>219</v>
      </c>
      <c r="C2247" s="29" t="s">
        <v>220</v>
      </c>
      <c r="D2247" s="29" t="s">
        <v>221</v>
      </c>
      <c r="E2247" s="92">
        <v>9522981</v>
      </c>
      <c r="F2247" s="89" t="s">
        <v>3344</v>
      </c>
      <c r="G2247" s="29" t="s">
        <v>9243</v>
      </c>
    </row>
    <row r="2248" spans="1:7">
      <c r="A2248" s="33">
        <v>44163</v>
      </c>
      <c r="B2248" s="29" t="s">
        <v>223</v>
      </c>
      <c r="C2248" s="29" t="s">
        <v>224</v>
      </c>
      <c r="D2248" s="29" t="s">
        <v>225</v>
      </c>
      <c r="E2248" s="92">
        <v>9519146</v>
      </c>
      <c r="F2248" s="89" t="s">
        <v>3276</v>
      </c>
      <c r="G2248" s="29" t="s">
        <v>8772</v>
      </c>
    </row>
    <row r="2249" spans="1:7">
      <c r="A2249" s="33">
        <v>44164</v>
      </c>
      <c r="B2249" s="29" t="s">
        <v>227</v>
      </c>
      <c r="C2249" s="29" t="s">
        <v>228</v>
      </c>
      <c r="D2249" s="29" t="s">
        <v>229</v>
      </c>
      <c r="E2249" s="92">
        <v>9508993</v>
      </c>
      <c r="F2249" s="89" t="s">
        <v>3300</v>
      </c>
      <c r="G2249" s="29" t="s">
        <v>9244</v>
      </c>
    </row>
    <row r="2250" spans="1:7">
      <c r="A2250" s="33">
        <v>44165</v>
      </c>
      <c r="B2250" s="29" t="s">
        <v>231</v>
      </c>
      <c r="C2250" s="29" t="s">
        <v>232</v>
      </c>
      <c r="D2250" s="29" t="s">
        <v>231</v>
      </c>
      <c r="E2250" s="92">
        <v>9480844</v>
      </c>
      <c r="F2250" s="89" t="s">
        <v>2246</v>
      </c>
      <c r="G2250" s="29" t="s">
        <v>8914</v>
      </c>
    </row>
    <row r="2251" spans="1:7">
      <c r="A2251" s="33">
        <v>44166</v>
      </c>
      <c r="B2251" s="29" t="s">
        <v>234</v>
      </c>
      <c r="C2251" s="29" t="s">
        <v>235</v>
      </c>
      <c r="D2251" s="29" t="s">
        <v>236</v>
      </c>
      <c r="E2251" s="92">
        <v>9480255</v>
      </c>
      <c r="F2251" s="89" t="s">
        <v>6770</v>
      </c>
      <c r="G2251" s="29" t="s">
        <v>9245</v>
      </c>
    </row>
    <row r="2252" spans="1:7">
      <c r="A2252" s="33">
        <v>44167</v>
      </c>
      <c r="B2252" s="29" t="s">
        <v>238</v>
      </c>
      <c r="C2252" s="29" t="s">
        <v>239</v>
      </c>
      <c r="D2252" s="29" t="s">
        <v>240</v>
      </c>
      <c r="E2252" s="92">
        <v>9477678</v>
      </c>
      <c r="F2252" s="89" t="s">
        <v>3312</v>
      </c>
      <c r="G2252" s="29" t="s">
        <v>9246</v>
      </c>
    </row>
    <row r="2253" spans="1:7">
      <c r="A2253" s="33">
        <v>44168</v>
      </c>
      <c r="B2253" s="29" t="s">
        <v>242</v>
      </c>
      <c r="C2253" s="29" t="s">
        <v>243</v>
      </c>
      <c r="D2253" s="29" t="s">
        <v>244</v>
      </c>
      <c r="E2253" s="92">
        <v>9477642</v>
      </c>
      <c r="F2253" s="89" t="s">
        <v>4044</v>
      </c>
      <c r="G2253" s="29" t="s">
        <v>9125</v>
      </c>
    </row>
    <row r="2254" spans="1:7">
      <c r="A2254" s="33">
        <v>44169</v>
      </c>
      <c r="B2254" s="29" t="s">
        <v>246</v>
      </c>
      <c r="C2254" s="29" t="s">
        <v>247</v>
      </c>
      <c r="D2254" s="29" t="s">
        <v>248</v>
      </c>
      <c r="E2254" s="92">
        <v>9475277</v>
      </c>
      <c r="F2254" s="89" t="s">
        <v>3408</v>
      </c>
      <c r="G2254" s="29" t="s">
        <v>9247</v>
      </c>
    </row>
    <row r="2255" spans="1:7">
      <c r="A2255" s="33">
        <v>44170</v>
      </c>
      <c r="B2255" s="29" t="s">
        <v>250</v>
      </c>
      <c r="C2255" s="29" t="s">
        <v>251</v>
      </c>
      <c r="D2255" s="29" t="s">
        <v>252</v>
      </c>
      <c r="E2255" s="92">
        <v>9461059</v>
      </c>
      <c r="F2255" s="89" t="s">
        <v>9248</v>
      </c>
      <c r="G2255" s="29" t="s">
        <v>9249</v>
      </c>
    </row>
    <row r="2256" spans="1:7">
      <c r="A2256" s="33">
        <v>44171</v>
      </c>
      <c r="B2256" s="29" t="s">
        <v>254</v>
      </c>
      <c r="C2256" s="29" t="s">
        <v>255</v>
      </c>
      <c r="D2256" s="29" t="s">
        <v>256</v>
      </c>
      <c r="E2256" s="92">
        <v>9450702</v>
      </c>
      <c r="F2256" s="89" t="s">
        <v>3308</v>
      </c>
      <c r="G2256" s="29" t="s">
        <v>4778</v>
      </c>
    </row>
    <row r="2257" spans="1:7">
      <c r="A2257" s="33">
        <v>44172</v>
      </c>
      <c r="B2257" s="29" t="s">
        <v>258</v>
      </c>
      <c r="C2257" s="29" t="s">
        <v>259</v>
      </c>
      <c r="D2257" s="29" t="s">
        <v>260</v>
      </c>
      <c r="E2257" s="92">
        <v>9439124</v>
      </c>
      <c r="F2257" s="89" t="s">
        <v>5226</v>
      </c>
      <c r="G2257" s="29" t="s">
        <v>9250</v>
      </c>
    </row>
    <row r="2258" spans="1:7">
      <c r="A2258" s="33">
        <v>44173</v>
      </c>
      <c r="B2258" s="29" t="s">
        <v>262</v>
      </c>
      <c r="C2258" s="29" t="s">
        <v>263</v>
      </c>
      <c r="D2258" s="29" t="s">
        <v>264</v>
      </c>
      <c r="E2258" s="92">
        <v>9428333</v>
      </c>
      <c r="F2258" s="89" t="s">
        <v>4040</v>
      </c>
      <c r="G2258" s="29" t="s">
        <v>8819</v>
      </c>
    </row>
    <row r="2259" spans="1:7">
      <c r="A2259" s="33">
        <v>44174</v>
      </c>
      <c r="B2259" s="29" t="s">
        <v>266</v>
      </c>
      <c r="C2259" s="29" t="s">
        <v>267</v>
      </c>
      <c r="D2259" s="29" t="s">
        <v>268</v>
      </c>
      <c r="E2259" s="92">
        <v>9427688</v>
      </c>
      <c r="F2259" s="89" t="s">
        <v>2191</v>
      </c>
      <c r="G2259" s="29" t="s">
        <v>8834</v>
      </c>
    </row>
    <row r="2260" spans="1:7">
      <c r="A2260" s="33">
        <v>44175</v>
      </c>
      <c r="B2260" s="29" t="s">
        <v>270</v>
      </c>
      <c r="C2260" s="29" t="s">
        <v>270</v>
      </c>
      <c r="D2260" s="29" t="s">
        <v>271</v>
      </c>
      <c r="E2260" s="92">
        <v>9412612</v>
      </c>
      <c r="F2260" s="89" t="s">
        <v>6745</v>
      </c>
      <c r="G2260" s="29" t="s">
        <v>8820</v>
      </c>
    </row>
    <row r="2261" spans="1:7">
      <c r="A2261" s="33">
        <v>44176</v>
      </c>
      <c r="B2261" s="29" t="s">
        <v>273</v>
      </c>
      <c r="C2261" s="29" t="s">
        <v>274</v>
      </c>
      <c r="D2261" s="29" t="s">
        <v>275</v>
      </c>
      <c r="E2261" s="92">
        <v>9411841</v>
      </c>
      <c r="F2261" s="89" t="s">
        <v>3428</v>
      </c>
      <c r="G2261" s="29" t="s">
        <v>9251</v>
      </c>
    </row>
    <row r="2262" spans="1:7">
      <c r="A2262" s="33">
        <v>44177</v>
      </c>
      <c r="B2262" s="29" t="s">
        <v>277</v>
      </c>
      <c r="C2262" s="29" t="s">
        <v>278</v>
      </c>
      <c r="D2262" s="29" t="s">
        <v>279</v>
      </c>
      <c r="E2262" s="92">
        <v>9392875</v>
      </c>
      <c r="F2262" s="89" t="s">
        <v>3817</v>
      </c>
      <c r="G2262" s="29" t="s">
        <v>6771</v>
      </c>
    </row>
    <row r="2263" spans="1:7">
      <c r="A2263" s="33">
        <v>44178</v>
      </c>
      <c r="B2263" s="29" t="s">
        <v>281</v>
      </c>
      <c r="C2263" s="29" t="s">
        <v>282</v>
      </c>
      <c r="D2263" s="29" t="s">
        <v>283</v>
      </c>
      <c r="E2263" s="92">
        <v>9386788</v>
      </c>
      <c r="F2263" s="89" t="s">
        <v>4052</v>
      </c>
      <c r="G2263" s="29" t="s">
        <v>8820</v>
      </c>
    </row>
    <row r="2264" spans="1:7">
      <c r="A2264" s="33">
        <v>44179</v>
      </c>
      <c r="B2264" s="29" t="s">
        <v>285</v>
      </c>
      <c r="C2264" s="29" t="s">
        <v>286</v>
      </c>
      <c r="D2264" s="29" t="s">
        <v>287</v>
      </c>
      <c r="E2264" s="92">
        <v>9377014</v>
      </c>
      <c r="F2264" s="89" t="s">
        <v>2155</v>
      </c>
      <c r="G2264" s="29" t="s">
        <v>8480</v>
      </c>
    </row>
    <row r="2265" spans="1:7">
      <c r="A2265" s="33">
        <v>44180</v>
      </c>
      <c r="B2265" s="29" t="s">
        <v>289</v>
      </c>
      <c r="C2265" s="29" t="s">
        <v>290</v>
      </c>
      <c r="D2265" s="29" t="s">
        <v>291</v>
      </c>
      <c r="E2265" s="92">
        <v>9375475</v>
      </c>
      <c r="F2265" s="89" t="s">
        <v>6728</v>
      </c>
      <c r="G2265" s="29" t="s">
        <v>8473</v>
      </c>
    </row>
    <row r="2266" spans="1:7">
      <c r="A2266" s="33">
        <v>44181</v>
      </c>
      <c r="B2266" s="29" t="s">
        <v>293</v>
      </c>
      <c r="C2266" s="29" t="s">
        <v>294</v>
      </c>
      <c r="D2266" s="29" t="s">
        <v>295</v>
      </c>
      <c r="E2266" s="92">
        <v>9374888</v>
      </c>
      <c r="F2266" s="89" t="s">
        <v>2193</v>
      </c>
      <c r="G2266" s="29" t="s">
        <v>9252</v>
      </c>
    </row>
    <row r="2267" spans="1:7">
      <c r="A2267" s="33">
        <v>44182</v>
      </c>
      <c r="B2267" s="29" t="s">
        <v>297</v>
      </c>
      <c r="C2267" s="29" t="s">
        <v>298</v>
      </c>
      <c r="D2267" s="29" t="s">
        <v>299</v>
      </c>
      <c r="E2267" s="92">
        <v>9350529</v>
      </c>
      <c r="F2267" s="89" t="s">
        <v>3384</v>
      </c>
      <c r="G2267" s="29" t="s">
        <v>9253</v>
      </c>
    </row>
    <row r="2268" spans="1:7">
      <c r="A2268" s="33">
        <v>44183</v>
      </c>
      <c r="B2268" s="29" t="s">
        <v>301</v>
      </c>
      <c r="C2268" s="29" t="s">
        <v>302</v>
      </c>
      <c r="D2268" s="29" t="s">
        <v>303</v>
      </c>
      <c r="E2268" s="92">
        <v>9344365</v>
      </c>
      <c r="F2268" s="89" t="s">
        <v>347</v>
      </c>
      <c r="G2268" s="29" t="s">
        <v>9254</v>
      </c>
    </row>
    <row r="2269" spans="1:7">
      <c r="A2269" s="33">
        <v>44184</v>
      </c>
      <c r="B2269" s="29" t="s">
        <v>305</v>
      </c>
      <c r="C2269" s="29" t="s">
        <v>306</v>
      </c>
      <c r="D2269" s="29" t="s">
        <v>307</v>
      </c>
      <c r="E2269" s="92">
        <v>9342527</v>
      </c>
      <c r="F2269" s="89" t="s">
        <v>3436</v>
      </c>
      <c r="G2269" s="29" t="s">
        <v>9255</v>
      </c>
    </row>
    <row r="2270" spans="1:7">
      <c r="A2270" s="33">
        <v>44185</v>
      </c>
      <c r="B2270" s="29" t="s">
        <v>309</v>
      </c>
      <c r="C2270" s="29" t="s">
        <v>310</v>
      </c>
      <c r="D2270" s="29" t="s">
        <v>311</v>
      </c>
      <c r="E2270" s="92">
        <v>9341705</v>
      </c>
      <c r="F2270" s="89" t="s">
        <v>6713</v>
      </c>
      <c r="G2270" s="29" t="s">
        <v>9214</v>
      </c>
    </row>
    <row r="2271" spans="1:7">
      <c r="A2271" s="33">
        <v>44186</v>
      </c>
      <c r="B2271" s="29" t="s">
        <v>313</v>
      </c>
      <c r="C2271" s="29" t="s">
        <v>314</v>
      </c>
      <c r="D2271" s="29" t="s">
        <v>315</v>
      </c>
      <c r="E2271" s="92">
        <v>9332341</v>
      </c>
      <c r="F2271" s="89" t="s">
        <v>3444</v>
      </c>
      <c r="G2271" s="29" t="s">
        <v>9256</v>
      </c>
    </row>
    <row r="2272" spans="1:7">
      <c r="A2272" s="33">
        <v>44187</v>
      </c>
      <c r="B2272" s="29" t="s">
        <v>317</v>
      </c>
      <c r="C2272" s="29" t="s">
        <v>318</v>
      </c>
      <c r="D2272" s="29" t="s">
        <v>319</v>
      </c>
      <c r="E2272" s="92">
        <v>9328197</v>
      </c>
      <c r="F2272" s="89" t="s">
        <v>9257</v>
      </c>
      <c r="G2272" s="29" t="s">
        <v>8921</v>
      </c>
    </row>
    <row r="2273" spans="1:7">
      <c r="A2273" s="33">
        <v>44188</v>
      </c>
      <c r="B2273" s="29" t="s">
        <v>321</v>
      </c>
      <c r="C2273" s="29" t="s">
        <v>322</v>
      </c>
      <c r="D2273" s="29" t="s">
        <v>323</v>
      </c>
      <c r="E2273" s="92">
        <v>9324718</v>
      </c>
      <c r="F2273" s="89" t="s">
        <v>6706</v>
      </c>
      <c r="G2273" s="29" t="s">
        <v>9258</v>
      </c>
    </row>
    <row r="2274" spans="1:7">
      <c r="A2274" s="33">
        <v>44189</v>
      </c>
      <c r="B2274" s="29" t="s">
        <v>325</v>
      </c>
      <c r="C2274" s="29" t="s">
        <v>326</v>
      </c>
      <c r="D2274" s="29" t="s">
        <v>327</v>
      </c>
      <c r="E2274" s="92">
        <v>9321781</v>
      </c>
      <c r="F2274" s="89" t="s">
        <v>351</v>
      </c>
      <c r="G2274" s="29" t="s">
        <v>9259</v>
      </c>
    </row>
    <row r="2275" spans="1:7">
      <c r="A2275" s="33">
        <v>44190</v>
      </c>
      <c r="B2275" s="29" t="s">
        <v>329</v>
      </c>
      <c r="C2275" s="29" t="s">
        <v>330</v>
      </c>
      <c r="D2275" s="29" t="s">
        <v>331</v>
      </c>
      <c r="E2275" s="92">
        <v>9320353</v>
      </c>
      <c r="F2275" s="89" t="s">
        <v>3432</v>
      </c>
      <c r="G2275" s="29" t="s">
        <v>8952</v>
      </c>
    </row>
    <row r="2276" spans="1:7">
      <c r="A2276" s="33">
        <v>44191</v>
      </c>
      <c r="B2276" s="29" t="s">
        <v>9260</v>
      </c>
      <c r="C2276" s="29" t="s">
        <v>9261</v>
      </c>
      <c r="D2276" s="29" t="s">
        <v>9262</v>
      </c>
      <c r="E2276" s="92">
        <v>9293521</v>
      </c>
      <c r="F2276" s="89" t="s">
        <v>3778</v>
      </c>
      <c r="G2276" s="29" t="s">
        <v>9263</v>
      </c>
    </row>
    <row r="2277" spans="1:7">
      <c r="A2277" s="33">
        <v>44192</v>
      </c>
      <c r="B2277" s="29" t="s">
        <v>333</v>
      </c>
      <c r="C2277" s="29" t="s">
        <v>334</v>
      </c>
      <c r="D2277" s="29" t="s">
        <v>335</v>
      </c>
      <c r="E2277" s="92">
        <v>9288019</v>
      </c>
      <c r="F2277" s="89" t="s">
        <v>3774</v>
      </c>
      <c r="G2277" s="29" t="s">
        <v>9264</v>
      </c>
    </row>
    <row r="2278" spans="1:7">
      <c r="A2278" s="33">
        <v>44193</v>
      </c>
      <c r="B2278" s="29" t="s">
        <v>337</v>
      </c>
      <c r="C2278" s="29" t="s">
        <v>338</v>
      </c>
      <c r="D2278" s="29" t="s">
        <v>339</v>
      </c>
      <c r="E2278" s="92">
        <v>9278808</v>
      </c>
      <c r="F2278" s="89" t="s">
        <v>2136</v>
      </c>
      <c r="G2278" s="29" t="s">
        <v>9237</v>
      </c>
    </row>
    <row r="2279" spans="1:7">
      <c r="A2279" s="33">
        <v>44194</v>
      </c>
      <c r="B2279" s="29" t="s">
        <v>341</v>
      </c>
      <c r="C2279" s="29" t="s">
        <v>342</v>
      </c>
      <c r="D2279" s="29" t="s">
        <v>343</v>
      </c>
      <c r="E2279" s="92">
        <v>9277968</v>
      </c>
      <c r="F2279" s="89" t="s">
        <v>3770</v>
      </c>
      <c r="G2279" s="29" t="s">
        <v>9265</v>
      </c>
    </row>
    <row r="2280" spans="1:7">
      <c r="A2280" s="33">
        <v>44195</v>
      </c>
      <c r="B2280" s="29" t="s">
        <v>345</v>
      </c>
      <c r="C2280" s="29" t="s">
        <v>346</v>
      </c>
      <c r="D2280" s="29" t="s">
        <v>345</v>
      </c>
      <c r="E2280" s="92">
        <v>9273521</v>
      </c>
      <c r="F2280" s="89" t="s">
        <v>2242</v>
      </c>
      <c r="G2280" s="29" t="s">
        <v>9266</v>
      </c>
    </row>
    <row r="2281" spans="1:7">
      <c r="A2281" s="33">
        <v>44196</v>
      </c>
      <c r="B2281" s="29" t="s">
        <v>348</v>
      </c>
      <c r="C2281" s="29" t="s">
        <v>349</v>
      </c>
      <c r="D2281" s="29" t="s">
        <v>350</v>
      </c>
      <c r="E2281" s="92">
        <v>9269987</v>
      </c>
      <c r="F2281" s="89" t="s">
        <v>2175</v>
      </c>
      <c r="G2281" s="29" t="s">
        <v>8931</v>
      </c>
    </row>
    <row r="2282" spans="1:7">
      <c r="A2282" s="33">
        <v>44197</v>
      </c>
      <c r="B2282" s="29" t="s">
        <v>352</v>
      </c>
      <c r="C2282" s="29" t="s">
        <v>353</v>
      </c>
      <c r="D2282" s="29" t="s">
        <v>354</v>
      </c>
      <c r="E2282" s="92">
        <v>9268762</v>
      </c>
      <c r="F2282" s="89" t="s">
        <v>6674</v>
      </c>
      <c r="G2282" s="29" t="s">
        <v>9267</v>
      </c>
    </row>
    <row r="2283" spans="1:7">
      <c r="A2283" s="33">
        <v>44198</v>
      </c>
      <c r="B2283" s="29" t="s">
        <v>9268</v>
      </c>
      <c r="C2283" s="29" t="s">
        <v>9269</v>
      </c>
      <c r="D2283" s="29" t="s">
        <v>9270</v>
      </c>
      <c r="E2283" s="92">
        <v>9267562</v>
      </c>
      <c r="F2283" s="89" t="s">
        <v>3766</v>
      </c>
      <c r="G2283" s="29" t="s">
        <v>9271</v>
      </c>
    </row>
    <row r="2284" spans="1:7">
      <c r="A2284" s="33">
        <v>44199</v>
      </c>
      <c r="B2284" s="29" t="s">
        <v>356</v>
      </c>
      <c r="C2284" s="29" t="s">
        <v>357</v>
      </c>
      <c r="D2284" s="29" t="s">
        <v>358</v>
      </c>
      <c r="E2284" s="92">
        <v>9264813</v>
      </c>
      <c r="F2284" s="89" t="s">
        <v>3814</v>
      </c>
      <c r="G2284" s="29" t="s">
        <v>9272</v>
      </c>
    </row>
    <row r="2285" spans="1:7">
      <c r="A2285" s="33">
        <v>44200</v>
      </c>
      <c r="B2285" s="29" t="s">
        <v>360</v>
      </c>
      <c r="C2285" s="29" t="s">
        <v>361</v>
      </c>
      <c r="D2285" s="29" t="s">
        <v>362</v>
      </c>
      <c r="E2285" s="92">
        <v>9261104</v>
      </c>
      <c r="F2285" s="89" t="s">
        <v>3731</v>
      </c>
      <c r="G2285" s="29" t="s">
        <v>4778</v>
      </c>
    </row>
    <row r="2286" spans="1:7">
      <c r="A2286" s="33">
        <v>44201</v>
      </c>
      <c r="B2286" s="29" t="s">
        <v>364</v>
      </c>
      <c r="C2286" s="29" t="s">
        <v>365</v>
      </c>
      <c r="D2286" s="29" t="s">
        <v>366</v>
      </c>
      <c r="E2286" s="92">
        <v>9252277</v>
      </c>
      <c r="F2286" s="89" t="s">
        <v>9273</v>
      </c>
      <c r="G2286" s="29" t="s">
        <v>9274</v>
      </c>
    </row>
    <row r="2287" spans="1:7">
      <c r="A2287" s="33">
        <v>44202</v>
      </c>
      <c r="B2287" s="29" t="s">
        <v>368</v>
      </c>
      <c r="C2287" s="29" t="s">
        <v>369</v>
      </c>
      <c r="D2287" s="29" t="s">
        <v>370</v>
      </c>
      <c r="E2287" s="92">
        <v>9244973</v>
      </c>
      <c r="F2287" s="89" t="s">
        <v>3782</v>
      </c>
      <c r="G2287" s="29" t="s">
        <v>9275</v>
      </c>
    </row>
    <row r="2288" spans="1:7">
      <c r="A2288" s="33">
        <v>44203</v>
      </c>
      <c r="B2288" s="29" t="s">
        <v>372</v>
      </c>
      <c r="C2288" s="29" t="s">
        <v>373</v>
      </c>
      <c r="D2288" s="29" t="s">
        <v>374</v>
      </c>
      <c r="E2288" s="92">
        <v>9243614</v>
      </c>
      <c r="F2288" s="89" t="s">
        <v>2163</v>
      </c>
      <c r="G2288" s="29" t="s">
        <v>9276</v>
      </c>
    </row>
    <row r="2289" spans="1:7">
      <c r="A2289" s="33">
        <v>44204</v>
      </c>
      <c r="B2289" s="29" t="s">
        <v>376</v>
      </c>
      <c r="C2289" s="29" t="s">
        <v>377</v>
      </c>
      <c r="D2289" s="29" t="s">
        <v>378</v>
      </c>
      <c r="E2289" s="92">
        <v>9243214</v>
      </c>
      <c r="F2289" s="89" t="s">
        <v>3743</v>
      </c>
      <c r="G2289" s="29" t="s">
        <v>9277</v>
      </c>
    </row>
    <row r="2290" spans="1:7">
      <c r="A2290" s="33">
        <v>44205</v>
      </c>
      <c r="B2290" s="29" t="s">
        <v>380</v>
      </c>
      <c r="C2290" s="29" t="s">
        <v>381</v>
      </c>
      <c r="D2290" s="29" t="s">
        <v>382</v>
      </c>
      <c r="E2290" s="92">
        <v>9240347</v>
      </c>
      <c r="F2290" s="89" t="s">
        <v>3735</v>
      </c>
      <c r="G2290" s="29" t="s">
        <v>9278</v>
      </c>
    </row>
    <row r="2291" spans="1:7">
      <c r="A2291" s="33">
        <v>44206</v>
      </c>
      <c r="B2291" s="29" t="s">
        <v>384</v>
      </c>
      <c r="C2291" s="29" t="s">
        <v>385</v>
      </c>
      <c r="D2291" s="29" t="s">
        <v>386</v>
      </c>
      <c r="E2291" s="92">
        <v>9235354</v>
      </c>
      <c r="F2291" s="89" t="s">
        <v>3759</v>
      </c>
      <c r="G2291" s="35">
        <v>80000000000</v>
      </c>
    </row>
    <row r="2292" spans="1:7">
      <c r="A2292" s="33">
        <v>44207</v>
      </c>
      <c r="B2292" s="29" t="s">
        <v>388</v>
      </c>
      <c r="C2292" s="29" t="s">
        <v>388</v>
      </c>
      <c r="D2292" s="29" t="s">
        <v>389</v>
      </c>
      <c r="E2292" s="92">
        <v>9228325</v>
      </c>
      <c r="F2292" s="89" t="s">
        <v>3420</v>
      </c>
      <c r="G2292" s="29" t="s">
        <v>9279</v>
      </c>
    </row>
    <row r="2293" spans="1:7">
      <c r="A2293" s="33">
        <v>44208</v>
      </c>
      <c r="B2293" s="29" t="s">
        <v>391</v>
      </c>
      <c r="C2293" s="29" t="s">
        <v>392</v>
      </c>
      <c r="D2293" s="29" t="s">
        <v>393</v>
      </c>
      <c r="E2293" s="92">
        <v>9209287</v>
      </c>
      <c r="F2293" s="89" t="s">
        <v>2187</v>
      </c>
      <c r="G2293" s="29" t="s">
        <v>9280</v>
      </c>
    </row>
    <row r="2294" spans="1:7">
      <c r="A2294" s="33">
        <v>44209</v>
      </c>
      <c r="B2294" s="29" t="s">
        <v>395</v>
      </c>
      <c r="C2294" s="29" t="s">
        <v>396</v>
      </c>
      <c r="D2294" s="29" t="s">
        <v>397</v>
      </c>
      <c r="E2294" s="92">
        <v>9205727</v>
      </c>
      <c r="F2294" s="89" t="s">
        <v>3424</v>
      </c>
      <c r="G2294" s="29" t="s">
        <v>9281</v>
      </c>
    </row>
    <row r="2295" spans="1:7">
      <c r="A2295" s="33">
        <v>44210</v>
      </c>
      <c r="B2295" s="29" t="s">
        <v>399</v>
      </c>
      <c r="C2295" s="29" t="s">
        <v>400</v>
      </c>
      <c r="D2295" s="29" t="s">
        <v>401</v>
      </c>
      <c r="E2295" s="92">
        <v>9199585</v>
      </c>
      <c r="F2295" s="89" t="s">
        <v>3755</v>
      </c>
      <c r="G2295" s="29" t="s">
        <v>9282</v>
      </c>
    </row>
    <row r="2296" spans="1:7">
      <c r="A2296" s="33">
        <v>44211</v>
      </c>
      <c r="B2296" s="29" t="s">
        <v>403</v>
      </c>
      <c r="C2296" s="29" t="s">
        <v>404</v>
      </c>
      <c r="D2296" s="29" t="s">
        <v>405</v>
      </c>
      <c r="E2296" s="92">
        <v>9192837</v>
      </c>
      <c r="F2296" s="89" t="s">
        <v>3806</v>
      </c>
      <c r="G2296" s="29" t="s">
        <v>9283</v>
      </c>
    </row>
    <row r="2297" spans="1:7">
      <c r="A2297" s="33">
        <v>44212</v>
      </c>
      <c r="B2297" s="29" t="s">
        <v>407</v>
      </c>
      <c r="C2297" s="29" t="s">
        <v>408</v>
      </c>
      <c r="D2297" s="29" t="s">
        <v>409</v>
      </c>
      <c r="E2297" s="92">
        <v>9190854</v>
      </c>
      <c r="F2297" s="89" t="s">
        <v>2140</v>
      </c>
      <c r="G2297" s="29" t="s">
        <v>9284</v>
      </c>
    </row>
    <row r="2298" spans="1:7">
      <c r="A2298" s="33">
        <v>44213</v>
      </c>
      <c r="B2298" s="29" t="s">
        <v>411</v>
      </c>
      <c r="C2298" s="29" t="s">
        <v>412</v>
      </c>
      <c r="D2298" s="29" t="s">
        <v>413</v>
      </c>
      <c r="E2298" s="92">
        <v>9185817</v>
      </c>
      <c r="F2298" s="89" t="s">
        <v>3747</v>
      </c>
      <c r="G2298" s="29" t="s">
        <v>9285</v>
      </c>
    </row>
    <row r="2299" spans="1:7">
      <c r="A2299" s="33">
        <v>44214</v>
      </c>
      <c r="B2299" s="29" t="s">
        <v>415</v>
      </c>
      <c r="C2299" s="29" t="s">
        <v>416</v>
      </c>
      <c r="D2299" s="29" t="s">
        <v>417</v>
      </c>
      <c r="E2299" s="92">
        <v>9182577</v>
      </c>
      <c r="F2299" s="89" t="s">
        <v>3416</v>
      </c>
      <c r="G2299" s="29" t="s">
        <v>9286</v>
      </c>
    </row>
    <row r="2300" spans="1:7">
      <c r="A2300" s="33">
        <v>44215</v>
      </c>
      <c r="B2300" s="29" t="s">
        <v>419</v>
      </c>
      <c r="C2300" s="29" t="s">
        <v>420</v>
      </c>
      <c r="D2300" s="29" t="s">
        <v>421</v>
      </c>
      <c r="E2300" s="92">
        <v>9181018</v>
      </c>
      <c r="F2300" s="89" t="s">
        <v>3739</v>
      </c>
      <c r="G2300" s="29" t="s">
        <v>9287</v>
      </c>
    </row>
    <row r="2301" spans="1:7">
      <c r="A2301" s="33">
        <v>44216</v>
      </c>
      <c r="B2301" s="29" t="s">
        <v>422</v>
      </c>
      <c r="C2301" s="29" t="s">
        <v>423</v>
      </c>
      <c r="D2301" s="29" t="s">
        <v>424</v>
      </c>
      <c r="E2301" s="92">
        <v>9162918</v>
      </c>
      <c r="F2301" s="89" t="s">
        <v>3751</v>
      </c>
      <c r="G2301" s="29" t="s">
        <v>9288</v>
      </c>
    </row>
    <row r="2302" spans="1:7">
      <c r="A2302" s="33">
        <v>44217</v>
      </c>
      <c r="B2302" s="29" t="s">
        <v>426</v>
      </c>
      <c r="C2302" s="29" t="s">
        <v>427</v>
      </c>
      <c r="D2302" s="29" t="s">
        <v>428</v>
      </c>
      <c r="E2302" s="92">
        <v>9151393</v>
      </c>
      <c r="F2302" s="89" t="s">
        <v>355</v>
      </c>
      <c r="G2302" s="29" t="s">
        <v>9289</v>
      </c>
    </row>
    <row r="2303" spans="1:7">
      <c r="A2303" s="33">
        <v>44218</v>
      </c>
      <c r="B2303" s="29" t="s">
        <v>430</v>
      </c>
      <c r="C2303" s="29" t="s">
        <v>431</v>
      </c>
      <c r="D2303" s="29" t="s">
        <v>432</v>
      </c>
      <c r="E2303" s="92">
        <v>9143582</v>
      </c>
      <c r="F2303" s="89" t="s">
        <v>3798</v>
      </c>
      <c r="G2303" s="29" t="s">
        <v>9290</v>
      </c>
    </row>
    <row r="2304" spans="1:7">
      <c r="A2304" s="33">
        <v>44219</v>
      </c>
      <c r="B2304" s="29" t="s">
        <v>434</v>
      </c>
      <c r="C2304" s="29" t="s">
        <v>435</v>
      </c>
      <c r="D2304" s="29" t="s">
        <v>436</v>
      </c>
      <c r="E2304" s="92">
        <v>9137993</v>
      </c>
      <c r="F2304" s="89" t="s">
        <v>3810</v>
      </c>
      <c r="G2304" s="29" t="s">
        <v>9291</v>
      </c>
    </row>
    <row r="2305" spans="1:7">
      <c r="A2305" s="33">
        <v>44220</v>
      </c>
      <c r="B2305" s="29" t="s">
        <v>438</v>
      </c>
      <c r="C2305" s="29" t="s">
        <v>439</v>
      </c>
      <c r="D2305" s="29" t="s">
        <v>440</v>
      </c>
      <c r="E2305" s="92">
        <v>9132488</v>
      </c>
      <c r="F2305" s="89" t="s">
        <v>3802</v>
      </c>
      <c r="G2305" s="29" t="s">
        <v>9292</v>
      </c>
    </row>
    <row r="2306" spans="1:7">
      <c r="A2306" s="33">
        <v>44221</v>
      </c>
      <c r="B2306" s="29" t="s">
        <v>442</v>
      </c>
      <c r="C2306" s="29" t="s">
        <v>443</v>
      </c>
      <c r="D2306" s="29" t="s">
        <v>444</v>
      </c>
      <c r="E2306" s="92">
        <v>9132228</v>
      </c>
      <c r="F2306" s="89" t="s">
        <v>3794</v>
      </c>
      <c r="G2306" s="29" t="s">
        <v>9293</v>
      </c>
    </row>
    <row r="2307" spans="1:7">
      <c r="A2307" s="33">
        <v>44222</v>
      </c>
      <c r="B2307" s="29" t="s">
        <v>446</v>
      </c>
      <c r="C2307" s="29" t="s">
        <v>447</v>
      </c>
      <c r="D2307" s="29" t="s">
        <v>448</v>
      </c>
      <c r="E2307" s="92">
        <v>9122546</v>
      </c>
      <c r="F2307" s="89" t="s">
        <v>2167</v>
      </c>
      <c r="G2307" s="29" t="s">
        <v>9294</v>
      </c>
    </row>
    <row r="2308" spans="1:7">
      <c r="A2308" s="33">
        <v>44223</v>
      </c>
      <c r="B2308" s="29" t="s">
        <v>450</v>
      </c>
      <c r="C2308" s="29" t="s">
        <v>450</v>
      </c>
      <c r="D2308" s="29" t="s">
        <v>451</v>
      </c>
      <c r="E2308" s="92">
        <v>9087304</v>
      </c>
      <c r="F2308" s="89" t="s">
        <v>3376</v>
      </c>
      <c r="G2308" s="29" t="s">
        <v>9295</v>
      </c>
    </row>
    <row r="2309" spans="1:7">
      <c r="A2309" s="33">
        <v>44224</v>
      </c>
      <c r="B2309" s="29" t="s">
        <v>453</v>
      </c>
      <c r="C2309" s="29" t="s">
        <v>454</v>
      </c>
      <c r="D2309" s="29" t="s">
        <v>455</v>
      </c>
      <c r="E2309" s="92">
        <v>9081763</v>
      </c>
      <c r="F2309" s="89" t="s">
        <v>2198</v>
      </c>
      <c r="G2309" s="29" t="s">
        <v>4778</v>
      </c>
    </row>
    <row r="2310" spans="1:7">
      <c r="A2310" s="33">
        <v>44225</v>
      </c>
      <c r="B2310" s="29" t="s">
        <v>457</v>
      </c>
      <c r="C2310" s="29" t="s">
        <v>458</v>
      </c>
      <c r="D2310" s="29" t="s">
        <v>459</v>
      </c>
      <c r="E2310" s="92">
        <v>9081762</v>
      </c>
      <c r="F2310" s="89" t="s">
        <v>6579</v>
      </c>
      <c r="G2310" s="29" t="s">
        <v>9296</v>
      </c>
    </row>
    <row r="2311" spans="1:7">
      <c r="A2311" s="33">
        <v>44226</v>
      </c>
      <c r="B2311" s="29" t="s">
        <v>461</v>
      </c>
      <c r="C2311" s="29" t="s">
        <v>462</v>
      </c>
      <c r="D2311" s="29" t="s">
        <v>463</v>
      </c>
      <c r="E2311" s="92">
        <v>9078763</v>
      </c>
      <c r="F2311" s="89" t="s">
        <v>3412</v>
      </c>
      <c r="G2311" s="29" t="s">
        <v>9297</v>
      </c>
    </row>
    <row r="2312" spans="1:7">
      <c r="A2312" s="33">
        <v>44227</v>
      </c>
      <c r="B2312" s="29" t="s">
        <v>465</v>
      </c>
      <c r="C2312" s="29" t="s">
        <v>466</v>
      </c>
      <c r="D2312" s="29" t="s">
        <v>467</v>
      </c>
      <c r="E2312" s="92">
        <v>9073942</v>
      </c>
      <c r="F2312" s="89" t="s">
        <v>3440</v>
      </c>
      <c r="G2312" s="29" t="s">
        <v>9298</v>
      </c>
    </row>
    <row r="2313" spans="1:7">
      <c r="A2313" s="33">
        <v>44228</v>
      </c>
      <c r="B2313" s="29" t="s">
        <v>9299</v>
      </c>
      <c r="C2313" s="29" t="s">
        <v>9300</v>
      </c>
      <c r="D2313" s="29" t="s">
        <v>9301</v>
      </c>
      <c r="E2313" s="92">
        <v>9055526</v>
      </c>
      <c r="F2313" s="89" t="s">
        <v>3790</v>
      </c>
      <c r="G2313" s="29" t="s">
        <v>9242</v>
      </c>
    </row>
    <row r="2314" spans="1:7">
      <c r="A2314" s="33">
        <v>44229</v>
      </c>
      <c r="B2314" s="29" t="s">
        <v>9302</v>
      </c>
      <c r="C2314" s="29" t="s">
        <v>9303</v>
      </c>
      <c r="D2314" s="29" t="s">
        <v>9304</v>
      </c>
      <c r="E2314" s="92">
        <v>9045391</v>
      </c>
      <c r="F2314" s="89" t="s">
        <v>2183</v>
      </c>
      <c r="G2314" s="29" t="s">
        <v>9305</v>
      </c>
    </row>
    <row r="2315" spans="1:7">
      <c r="A2315" s="33">
        <v>44230</v>
      </c>
      <c r="B2315" s="29" t="s">
        <v>469</v>
      </c>
      <c r="C2315" s="29" t="s">
        <v>470</v>
      </c>
      <c r="D2315" s="29" t="s">
        <v>471</v>
      </c>
      <c r="E2315" s="92">
        <v>8994488</v>
      </c>
      <c r="F2315" s="89" t="s">
        <v>9306</v>
      </c>
      <c r="G2315" s="29" t="s">
        <v>9307</v>
      </c>
    </row>
    <row r="2316" spans="1:7">
      <c r="A2316" s="33">
        <v>44231</v>
      </c>
      <c r="B2316" s="29" t="s">
        <v>473</v>
      </c>
      <c r="C2316" s="29" t="s">
        <v>474</v>
      </c>
      <c r="D2316" s="29" t="s">
        <v>475</v>
      </c>
      <c r="E2316" s="92">
        <v>8988597</v>
      </c>
      <c r="F2316" s="89" t="s">
        <v>3348</v>
      </c>
      <c r="G2316" s="29" t="s">
        <v>9308</v>
      </c>
    </row>
    <row r="2317" spans="1:7">
      <c r="A2317" s="33">
        <v>44232</v>
      </c>
      <c r="B2317" s="29" t="s">
        <v>477</v>
      </c>
      <c r="C2317" s="29" t="s">
        <v>478</v>
      </c>
      <c r="D2317" s="29" t="s">
        <v>479</v>
      </c>
      <c r="E2317" s="92">
        <v>8942809</v>
      </c>
      <c r="F2317" s="89" t="s">
        <v>2179</v>
      </c>
      <c r="G2317" s="29" t="s">
        <v>9309</v>
      </c>
    </row>
    <row r="2318" spans="1:7">
      <c r="A2318" s="33">
        <v>44233</v>
      </c>
      <c r="B2318" s="29" t="s">
        <v>481</v>
      </c>
      <c r="C2318" s="29" t="s">
        <v>482</v>
      </c>
      <c r="D2318" s="29" t="s">
        <v>481</v>
      </c>
      <c r="E2318" s="92">
        <v>8929038</v>
      </c>
      <c r="F2318" s="89" t="s">
        <v>3761</v>
      </c>
      <c r="G2318" s="29" t="s">
        <v>9211</v>
      </c>
    </row>
    <row r="2319" spans="1:7">
      <c r="A2319" s="33">
        <v>44234</v>
      </c>
      <c r="B2319" s="29" t="s">
        <v>484</v>
      </c>
      <c r="C2319" s="29" t="s">
        <v>485</v>
      </c>
      <c r="D2319" s="29" t="s">
        <v>486</v>
      </c>
      <c r="E2319" s="92">
        <v>8912654</v>
      </c>
      <c r="F2319" s="89" t="s">
        <v>4056</v>
      </c>
      <c r="G2319" s="29" t="s">
        <v>9310</v>
      </c>
    </row>
    <row r="2320" spans="1:7">
      <c r="A2320" s="33">
        <v>44235</v>
      </c>
      <c r="B2320" s="29" t="s">
        <v>488</v>
      </c>
      <c r="C2320" s="29" t="s">
        <v>489</v>
      </c>
      <c r="D2320" s="29" t="s">
        <v>490</v>
      </c>
      <c r="E2320" s="92">
        <v>8909954</v>
      </c>
      <c r="F2320" s="89" t="s">
        <v>2218</v>
      </c>
      <c r="G2320" s="29" t="s">
        <v>9311</v>
      </c>
    </row>
    <row r="2321" spans="1:7">
      <c r="A2321" s="33">
        <v>44236</v>
      </c>
      <c r="B2321" s="29" t="s">
        <v>492</v>
      </c>
      <c r="C2321" s="29" t="s">
        <v>493</v>
      </c>
      <c r="D2321" s="29" t="s">
        <v>494</v>
      </c>
      <c r="E2321" s="92">
        <v>8909819</v>
      </c>
      <c r="F2321" s="89" t="s">
        <v>3786</v>
      </c>
      <c r="G2321" s="29" t="s">
        <v>9312</v>
      </c>
    </row>
    <row r="2322" spans="1:7">
      <c r="A2322" s="33">
        <v>44237</v>
      </c>
      <c r="B2322" s="29" t="s">
        <v>496</v>
      </c>
      <c r="C2322" s="29" t="s">
        <v>497</v>
      </c>
      <c r="D2322" s="29" t="s">
        <v>498</v>
      </c>
      <c r="E2322" s="92">
        <v>8906935</v>
      </c>
      <c r="F2322" s="89" t="s">
        <v>3723</v>
      </c>
      <c r="G2322" s="29" t="s">
        <v>9313</v>
      </c>
    </row>
    <row r="2323" spans="1:7">
      <c r="A2323" s="33">
        <v>44238</v>
      </c>
      <c r="B2323" s="29" t="s">
        <v>500</v>
      </c>
      <c r="C2323" s="29" t="s">
        <v>501</v>
      </c>
      <c r="D2323" s="29" t="s">
        <v>502</v>
      </c>
      <c r="E2323" s="92">
        <v>8897469</v>
      </c>
      <c r="F2323" s="89" t="s">
        <v>3715</v>
      </c>
      <c r="G2323" s="29" t="s">
        <v>9314</v>
      </c>
    </row>
    <row r="2324" spans="1:7">
      <c r="A2324" s="33">
        <v>44239</v>
      </c>
      <c r="B2324" s="29" t="s">
        <v>504</v>
      </c>
      <c r="C2324" s="29" t="s">
        <v>505</v>
      </c>
      <c r="D2324" s="29" t="s">
        <v>506</v>
      </c>
      <c r="E2324" s="92">
        <v>8864767</v>
      </c>
      <c r="F2324" s="89" t="s">
        <v>2210</v>
      </c>
      <c r="G2324" s="29" t="s">
        <v>9315</v>
      </c>
    </row>
    <row r="2325" spans="1:7">
      <c r="A2325" s="33">
        <v>44240</v>
      </c>
      <c r="B2325" s="29" t="s">
        <v>9316</v>
      </c>
      <c r="C2325" s="29" t="s">
        <v>9317</v>
      </c>
      <c r="D2325" s="29" t="s">
        <v>9318</v>
      </c>
      <c r="E2325" s="92">
        <v>8838375</v>
      </c>
      <c r="F2325" s="89" t="s">
        <v>1084</v>
      </c>
      <c r="G2325" s="29" t="s">
        <v>9319</v>
      </c>
    </row>
    <row r="2326" spans="1:7">
      <c r="A2326" s="33">
        <v>44241</v>
      </c>
      <c r="B2326" s="29" t="s">
        <v>508</v>
      </c>
      <c r="C2326" s="29" t="s">
        <v>509</v>
      </c>
      <c r="D2326" s="29" t="s">
        <v>508</v>
      </c>
      <c r="E2326" s="92">
        <v>8835053</v>
      </c>
      <c r="F2326" s="89" t="s">
        <v>2222</v>
      </c>
      <c r="G2326" s="29" t="s">
        <v>9320</v>
      </c>
    </row>
    <row r="2327" spans="1:7">
      <c r="A2327" s="33">
        <v>44242</v>
      </c>
      <c r="B2327" s="29" t="s">
        <v>511</v>
      </c>
      <c r="C2327" s="29" t="s">
        <v>512</v>
      </c>
      <c r="D2327" s="29" t="s">
        <v>513</v>
      </c>
      <c r="E2327" s="92">
        <v>8827765</v>
      </c>
      <c r="F2327" s="89" t="s">
        <v>3707</v>
      </c>
      <c r="G2327" s="29" t="s">
        <v>9321</v>
      </c>
    </row>
    <row r="2328" spans="1:7">
      <c r="A2328" s="33">
        <v>44243</v>
      </c>
      <c r="B2328" s="29" t="s">
        <v>515</v>
      </c>
      <c r="C2328" s="29" t="s">
        <v>516</v>
      </c>
      <c r="D2328" s="29" t="s">
        <v>517</v>
      </c>
      <c r="E2328" s="92">
        <v>8820522</v>
      </c>
      <c r="F2328" s="89" t="s">
        <v>2152</v>
      </c>
      <c r="G2328" s="29" t="s">
        <v>9322</v>
      </c>
    </row>
    <row r="2329" spans="1:7">
      <c r="A2329" s="33">
        <v>44244</v>
      </c>
      <c r="B2329" s="29" t="s">
        <v>519</v>
      </c>
      <c r="C2329" s="29" t="s">
        <v>520</v>
      </c>
      <c r="D2329" s="29" t="s">
        <v>521</v>
      </c>
      <c r="E2329" s="92">
        <v>8815662</v>
      </c>
      <c r="F2329" s="89" t="s">
        <v>9323</v>
      </c>
      <c r="G2329" s="29" t="s">
        <v>9324</v>
      </c>
    </row>
    <row r="2330" spans="1:7">
      <c r="A2330" s="33">
        <v>44245</v>
      </c>
      <c r="B2330" s="29" t="s">
        <v>523</v>
      </c>
      <c r="C2330" s="29" t="s">
        <v>524</v>
      </c>
      <c r="D2330" s="29" t="s">
        <v>525</v>
      </c>
      <c r="E2330" s="92">
        <v>8813582</v>
      </c>
      <c r="F2330" s="89" t="s">
        <v>3719</v>
      </c>
      <c r="G2330" s="29" t="s">
        <v>9325</v>
      </c>
    </row>
    <row r="2331" spans="1:7">
      <c r="A2331" s="33">
        <v>44246</v>
      </c>
      <c r="B2331" s="29" t="s">
        <v>527</v>
      </c>
      <c r="C2331" s="29" t="s">
        <v>528</v>
      </c>
      <c r="D2331" s="29" t="s">
        <v>529</v>
      </c>
      <c r="E2331" s="92">
        <v>8808263</v>
      </c>
      <c r="F2331" s="89" t="s">
        <v>3663</v>
      </c>
      <c r="G2331" s="29" t="s">
        <v>9326</v>
      </c>
    </row>
    <row r="2332" spans="1:7">
      <c r="A2332" s="33">
        <v>44247</v>
      </c>
      <c r="B2332" s="29" t="s">
        <v>531</v>
      </c>
      <c r="C2332" s="29" t="s">
        <v>532</v>
      </c>
      <c r="D2332" s="29" t="s">
        <v>533</v>
      </c>
      <c r="E2332" s="92">
        <v>8807011</v>
      </c>
      <c r="F2332" s="89" t="s">
        <v>3615</v>
      </c>
      <c r="G2332" s="29" t="s">
        <v>9327</v>
      </c>
    </row>
    <row r="2333" spans="1:7">
      <c r="A2333" s="33">
        <v>44248</v>
      </c>
      <c r="B2333" s="29" t="s">
        <v>535</v>
      </c>
      <c r="C2333" s="29" t="s">
        <v>536</v>
      </c>
      <c r="D2333" s="29" t="s">
        <v>537</v>
      </c>
      <c r="E2333" s="92">
        <v>8804881</v>
      </c>
      <c r="F2333" s="89" t="s">
        <v>3711</v>
      </c>
      <c r="G2333" s="29" t="s">
        <v>9328</v>
      </c>
    </row>
    <row r="2334" spans="1:7">
      <c r="A2334" s="33">
        <v>44249</v>
      </c>
      <c r="B2334" s="29" t="s">
        <v>539</v>
      </c>
      <c r="C2334" s="29" t="s">
        <v>540</v>
      </c>
      <c r="D2334" s="29" t="s">
        <v>541</v>
      </c>
      <c r="E2334" s="92">
        <v>8804478</v>
      </c>
      <c r="F2334" s="89" t="s">
        <v>4060</v>
      </c>
      <c r="G2334" s="29" t="s">
        <v>9329</v>
      </c>
    </row>
    <row r="2335" spans="1:7">
      <c r="A2335" s="33">
        <v>44250</v>
      </c>
      <c r="B2335" s="29" t="s">
        <v>543</v>
      </c>
      <c r="C2335" s="29" t="s">
        <v>543</v>
      </c>
      <c r="D2335" s="29" t="s">
        <v>544</v>
      </c>
      <c r="E2335" s="92">
        <v>8801038</v>
      </c>
      <c r="F2335" s="89" t="s">
        <v>4064</v>
      </c>
      <c r="G2335" s="29" t="s">
        <v>9330</v>
      </c>
    </row>
    <row r="2336" spans="1:7">
      <c r="A2336" s="33">
        <v>44251</v>
      </c>
      <c r="B2336" s="29" t="s">
        <v>546</v>
      </c>
      <c r="C2336" s="29" t="s">
        <v>547</v>
      </c>
      <c r="D2336" s="29" t="s">
        <v>548</v>
      </c>
      <c r="E2336" s="92">
        <v>8790368</v>
      </c>
      <c r="F2336" s="89" t="s">
        <v>3611</v>
      </c>
      <c r="G2336" s="29" t="s">
        <v>9331</v>
      </c>
    </row>
    <row r="2337" spans="1:7">
      <c r="A2337" s="33">
        <v>44252</v>
      </c>
      <c r="B2337" s="29" t="s">
        <v>550</v>
      </c>
      <c r="C2337" s="29" t="s">
        <v>551</v>
      </c>
      <c r="D2337" s="29" t="s">
        <v>552</v>
      </c>
      <c r="E2337" s="92">
        <v>8787786</v>
      </c>
      <c r="F2337" s="89" t="s">
        <v>3727</v>
      </c>
      <c r="G2337" s="29" t="s">
        <v>9332</v>
      </c>
    </row>
    <row r="2338" spans="1:7">
      <c r="A2338" s="33">
        <v>44253</v>
      </c>
      <c r="B2338" s="29" t="s">
        <v>553</v>
      </c>
      <c r="C2338" s="29" t="s">
        <v>554</v>
      </c>
      <c r="D2338" s="29" t="s">
        <v>555</v>
      </c>
      <c r="E2338" s="92">
        <v>8784494</v>
      </c>
      <c r="F2338" s="89" t="s">
        <v>3635</v>
      </c>
      <c r="G2338" s="29" t="s">
        <v>9333</v>
      </c>
    </row>
    <row r="2339" spans="1:7">
      <c r="A2339" s="33">
        <v>44254</v>
      </c>
      <c r="B2339" s="29" t="s">
        <v>557</v>
      </c>
      <c r="C2339" s="29" t="s">
        <v>558</v>
      </c>
      <c r="D2339" s="29" t="s">
        <v>559</v>
      </c>
      <c r="E2339" s="92">
        <v>8757788</v>
      </c>
      <c r="F2339" s="89" t="s">
        <v>2144</v>
      </c>
      <c r="G2339" s="29" t="s">
        <v>9256</v>
      </c>
    </row>
    <row r="2340" spans="1:7">
      <c r="A2340" s="33">
        <v>44255</v>
      </c>
      <c r="B2340" s="29" t="s">
        <v>561</v>
      </c>
      <c r="C2340" s="29" t="s">
        <v>562</v>
      </c>
      <c r="D2340" s="29" t="s">
        <v>563</v>
      </c>
      <c r="E2340" s="92">
        <v>8756431</v>
      </c>
      <c r="F2340" s="89" t="s">
        <v>3356</v>
      </c>
      <c r="G2340" s="29" t="s">
        <v>9334</v>
      </c>
    </row>
    <row r="2341" spans="1:7">
      <c r="A2341" s="33">
        <v>44256</v>
      </c>
      <c r="B2341" s="29" t="s">
        <v>565</v>
      </c>
      <c r="C2341" s="29" t="s">
        <v>566</v>
      </c>
      <c r="D2341" s="29" t="s">
        <v>567</v>
      </c>
      <c r="E2341" s="92">
        <v>8755246</v>
      </c>
      <c r="F2341" s="89" t="s">
        <v>3703</v>
      </c>
      <c r="G2341" s="29" t="s">
        <v>4778</v>
      </c>
    </row>
    <row r="2342" spans="1:7">
      <c r="A2342" s="33">
        <v>44257</v>
      </c>
      <c r="B2342" s="29" t="s">
        <v>569</v>
      </c>
      <c r="C2342" s="29" t="s">
        <v>570</v>
      </c>
      <c r="D2342" s="29" t="s">
        <v>571</v>
      </c>
      <c r="E2342" s="92">
        <v>8745895</v>
      </c>
      <c r="F2342" s="89" t="s">
        <v>3675</v>
      </c>
      <c r="G2342" s="29" t="s">
        <v>9212</v>
      </c>
    </row>
    <row r="2343" spans="1:7">
      <c r="A2343" s="33">
        <v>44258</v>
      </c>
      <c r="B2343" s="29" t="s">
        <v>573</v>
      </c>
      <c r="C2343" s="29" t="s">
        <v>574</v>
      </c>
      <c r="D2343" s="29" t="s">
        <v>575</v>
      </c>
      <c r="E2343" s="92">
        <v>8742958</v>
      </c>
      <c r="F2343" s="89" t="s">
        <v>2234</v>
      </c>
      <c r="G2343" s="29" t="s">
        <v>9335</v>
      </c>
    </row>
    <row r="2344" spans="1:7">
      <c r="A2344" s="33">
        <v>44259</v>
      </c>
      <c r="B2344" s="29" t="s">
        <v>577</v>
      </c>
      <c r="C2344" s="29" t="s">
        <v>578</v>
      </c>
      <c r="D2344" s="29" t="s">
        <v>579</v>
      </c>
      <c r="E2344" s="92">
        <v>8723786</v>
      </c>
      <c r="F2344" s="89" t="s">
        <v>3352</v>
      </c>
      <c r="G2344" s="29" t="s">
        <v>9336</v>
      </c>
    </row>
    <row r="2345" spans="1:7">
      <c r="A2345" s="33">
        <v>44260</v>
      </c>
      <c r="B2345" s="29" t="s">
        <v>581</v>
      </c>
      <c r="C2345" s="29" t="s">
        <v>582</v>
      </c>
      <c r="D2345" s="29" t="s">
        <v>583</v>
      </c>
      <c r="E2345" s="92">
        <v>8719962</v>
      </c>
      <c r="F2345" s="89" t="s">
        <v>3699</v>
      </c>
      <c r="G2345" s="29" t="s">
        <v>9292</v>
      </c>
    </row>
    <row r="2346" spans="1:7">
      <c r="A2346" s="33">
        <v>44261</v>
      </c>
      <c r="B2346" s="29" t="s">
        <v>585</v>
      </c>
      <c r="C2346" s="29" t="s">
        <v>586</v>
      </c>
      <c r="D2346" s="29" t="s">
        <v>587</v>
      </c>
      <c r="E2346" s="92">
        <v>8708095</v>
      </c>
      <c r="F2346" s="89" t="s">
        <v>3627</v>
      </c>
      <c r="G2346" s="29" t="s">
        <v>8834</v>
      </c>
    </row>
    <row r="2347" spans="1:7">
      <c r="A2347" s="33">
        <v>44262</v>
      </c>
      <c r="B2347" s="29" t="s">
        <v>589</v>
      </c>
      <c r="C2347" s="29" t="s">
        <v>590</v>
      </c>
      <c r="D2347" s="29" t="s">
        <v>589</v>
      </c>
      <c r="E2347" s="92">
        <v>8706245</v>
      </c>
      <c r="F2347" s="89" t="s">
        <v>3671</v>
      </c>
      <c r="G2347" s="29" t="s">
        <v>8945</v>
      </c>
    </row>
    <row r="2348" spans="1:7">
      <c r="A2348" s="33">
        <v>44263</v>
      </c>
      <c r="B2348" s="29" t="s">
        <v>592</v>
      </c>
      <c r="C2348" s="29" t="s">
        <v>593</v>
      </c>
      <c r="D2348" s="29" t="s">
        <v>594</v>
      </c>
      <c r="E2348" s="92">
        <v>8693833</v>
      </c>
      <c r="F2348" s="89" t="s">
        <v>2128</v>
      </c>
      <c r="G2348" s="29" t="s">
        <v>9292</v>
      </c>
    </row>
    <row r="2349" spans="1:7">
      <c r="A2349" s="33">
        <v>44264</v>
      </c>
      <c r="B2349" s="29" t="s">
        <v>596</v>
      </c>
      <c r="C2349" s="29" t="s">
        <v>597</v>
      </c>
      <c r="D2349" s="29" t="s">
        <v>598</v>
      </c>
      <c r="E2349" s="92">
        <v>8680876</v>
      </c>
      <c r="F2349" s="89" t="s">
        <v>2159</v>
      </c>
      <c r="G2349" s="29" t="s">
        <v>9337</v>
      </c>
    </row>
    <row r="2350" spans="1:7">
      <c r="A2350" s="33">
        <v>44265</v>
      </c>
      <c r="B2350" s="29" t="s">
        <v>599</v>
      </c>
      <c r="C2350" s="29" t="s">
        <v>600</v>
      </c>
      <c r="D2350" s="29" t="s">
        <v>601</v>
      </c>
      <c r="E2350" s="92">
        <v>8672455</v>
      </c>
      <c r="F2350" s="89" t="s">
        <v>3372</v>
      </c>
      <c r="G2350" s="29" t="s">
        <v>9338</v>
      </c>
    </row>
    <row r="2351" spans="1:7">
      <c r="A2351" s="33">
        <v>44266</v>
      </c>
      <c r="B2351" s="29" t="s">
        <v>603</v>
      </c>
      <c r="C2351" s="29" t="s">
        <v>604</v>
      </c>
      <c r="D2351" s="29" t="s">
        <v>605</v>
      </c>
      <c r="E2351" s="92">
        <v>8659487</v>
      </c>
      <c r="F2351" s="89" t="s">
        <v>3368</v>
      </c>
      <c r="G2351" s="29" t="s">
        <v>9339</v>
      </c>
    </row>
    <row r="2352" spans="1:7">
      <c r="A2352" s="33">
        <v>44267</v>
      </c>
      <c r="B2352" s="29" t="s">
        <v>9340</v>
      </c>
      <c r="C2352" s="29" t="s">
        <v>9341</v>
      </c>
      <c r="D2352" s="29" t="s">
        <v>9342</v>
      </c>
      <c r="E2352" s="92">
        <v>8658554</v>
      </c>
      <c r="F2352" s="89" t="s">
        <v>2171</v>
      </c>
      <c r="G2352" s="29" t="s">
        <v>9343</v>
      </c>
    </row>
    <row r="2353" spans="1:7">
      <c r="A2353" s="33">
        <v>44268</v>
      </c>
      <c r="B2353" s="29" t="s">
        <v>607</v>
      </c>
      <c r="C2353" s="29" t="s">
        <v>608</v>
      </c>
      <c r="D2353" s="29" t="s">
        <v>609</v>
      </c>
      <c r="E2353" s="92">
        <v>8657643</v>
      </c>
      <c r="F2353" s="89" t="s">
        <v>3695</v>
      </c>
      <c r="G2353" s="29" t="s">
        <v>9344</v>
      </c>
    </row>
    <row r="2354" spans="1:7">
      <c r="A2354" s="33">
        <v>44269</v>
      </c>
      <c r="B2354" s="29" t="s">
        <v>611</v>
      </c>
      <c r="C2354" s="29" t="s">
        <v>612</v>
      </c>
      <c r="D2354" s="29" t="s">
        <v>613</v>
      </c>
      <c r="E2354" s="92">
        <v>8620566</v>
      </c>
      <c r="F2354" s="89" t="s">
        <v>3667</v>
      </c>
      <c r="G2354" s="29" t="s">
        <v>8865</v>
      </c>
    </row>
    <row r="2355" spans="1:7">
      <c r="A2355" s="33">
        <v>44270</v>
      </c>
      <c r="B2355" s="29" t="s">
        <v>614</v>
      </c>
      <c r="C2355" s="29" t="s">
        <v>615</v>
      </c>
      <c r="D2355" s="29" t="s">
        <v>616</v>
      </c>
      <c r="E2355" s="92">
        <v>8601796</v>
      </c>
      <c r="F2355" s="89" t="s">
        <v>3687</v>
      </c>
      <c r="G2355" s="29" t="s">
        <v>9345</v>
      </c>
    </row>
    <row r="2356" spans="1:7">
      <c r="A2356" s="33">
        <v>44271</v>
      </c>
      <c r="B2356" s="29" t="s">
        <v>618</v>
      </c>
      <c r="C2356" s="29" t="s">
        <v>619</v>
      </c>
      <c r="D2356" s="29" t="s">
        <v>620</v>
      </c>
      <c r="E2356" s="92">
        <v>8599509</v>
      </c>
      <c r="F2356" s="89" t="s">
        <v>3380</v>
      </c>
      <c r="G2356" s="29" t="s">
        <v>9346</v>
      </c>
    </row>
    <row r="2357" spans="1:7">
      <c r="A2357" s="33">
        <v>44272</v>
      </c>
      <c r="B2357" s="29" t="s">
        <v>622</v>
      </c>
      <c r="C2357" s="29" t="s">
        <v>623</v>
      </c>
      <c r="D2357" s="29" t="s">
        <v>624</v>
      </c>
      <c r="E2357" s="92">
        <v>8586474</v>
      </c>
      <c r="F2357" s="89" t="s">
        <v>3360</v>
      </c>
      <c r="G2357" s="29" t="s">
        <v>9294</v>
      </c>
    </row>
    <row r="2358" spans="1:7">
      <c r="A2358" s="33">
        <v>44273</v>
      </c>
      <c r="B2358" s="29" t="s">
        <v>626</v>
      </c>
      <c r="C2358" s="29" t="s">
        <v>627</v>
      </c>
      <c r="D2358" s="29" t="s">
        <v>628</v>
      </c>
      <c r="E2358" s="92">
        <v>8577976</v>
      </c>
      <c r="F2358" s="89" t="s">
        <v>3679</v>
      </c>
      <c r="G2358" s="29" t="s">
        <v>9343</v>
      </c>
    </row>
    <row r="2359" spans="1:7">
      <c r="A2359" s="33">
        <v>44274</v>
      </c>
      <c r="B2359" s="29" t="s">
        <v>630</v>
      </c>
      <c r="C2359" s="29" t="s">
        <v>631</v>
      </c>
      <c r="D2359" s="29" t="s">
        <v>632</v>
      </c>
      <c r="E2359" s="92">
        <v>8574502</v>
      </c>
      <c r="F2359" s="89" t="s">
        <v>2169</v>
      </c>
      <c r="G2359" s="29" t="s">
        <v>9237</v>
      </c>
    </row>
    <row r="2360" spans="1:7">
      <c r="A2360" s="33">
        <v>44275</v>
      </c>
      <c r="B2360" s="29" t="s">
        <v>634</v>
      </c>
      <c r="C2360" s="29" t="s">
        <v>635</v>
      </c>
      <c r="D2360" s="29" t="s">
        <v>636</v>
      </c>
      <c r="E2360" s="92">
        <v>8564017</v>
      </c>
      <c r="F2360" s="89" t="s">
        <v>452</v>
      </c>
      <c r="G2360" s="29" t="s">
        <v>8882</v>
      </c>
    </row>
    <row r="2361" spans="1:7">
      <c r="A2361" s="33">
        <v>44276</v>
      </c>
      <c r="B2361" s="29" t="s">
        <v>638</v>
      </c>
      <c r="C2361" s="29" t="s">
        <v>639</v>
      </c>
      <c r="D2361" s="29" t="s">
        <v>640</v>
      </c>
      <c r="E2361" s="92">
        <v>8562454</v>
      </c>
      <c r="F2361" s="89" t="s">
        <v>3639</v>
      </c>
      <c r="G2361" s="29" t="s">
        <v>9328</v>
      </c>
    </row>
    <row r="2362" spans="1:7">
      <c r="A2362" s="33">
        <v>44277</v>
      </c>
      <c r="B2362" s="29" t="s">
        <v>642</v>
      </c>
      <c r="C2362" s="29" t="s">
        <v>643</v>
      </c>
      <c r="D2362" s="29" t="s">
        <v>644</v>
      </c>
      <c r="E2362" s="92">
        <v>8550761</v>
      </c>
      <c r="F2362" s="89" t="s">
        <v>2214</v>
      </c>
      <c r="G2362" s="29" t="s">
        <v>9229</v>
      </c>
    </row>
    <row r="2363" spans="1:7">
      <c r="A2363" s="33">
        <v>44278</v>
      </c>
      <c r="B2363" s="29" t="s">
        <v>646</v>
      </c>
      <c r="C2363" s="29" t="s">
        <v>647</v>
      </c>
      <c r="D2363" s="29" t="s">
        <v>648</v>
      </c>
      <c r="E2363" s="92">
        <v>8491992</v>
      </c>
      <c r="F2363" s="89" t="s">
        <v>3643</v>
      </c>
      <c r="G2363" s="29" t="s">
        <v>8954</v>
      </c>
    </row>
    <row r="2364" spans="1:7">
      <c r="A2364" s="33">
        <v>44279</v>
      </c>
      <c r="B2364" s="29" t="s">
        <v>650</v>
      </c>
      <c r="C2364" s="29" t="s">
        <v>651</v>
      </c>
      <c r="D2364" s="29" t="s">
        <v>652</v>
      </c>
      <c r="E2364" s="92">
        <v>8486993</v>
      </c>
      <c r="F2364" s="89" t="s">
        <v>3623</v>
      </c>
      <c r="G2364" s="29" t="s">
        <v>9347</v>
      </c>
    </row>
    <row r="2365" spans="1:7">
      <c r="A2365" s="33">
        <v>44280</v>
      </c>
      <c r="B2365" s="29" t="s">
        <v>654</v>
      </c>
      <c r="C2365" s="29" t="s">
        <v>655</v>
      </c>
      <c r="D2365" s="29" t="s">
        <v>656</v>
      </c>
      <c r="E2365" s="92">
        <v>8445435</v>
      </c>
      <c r="F2365" s="89" t="s">
        <v>3364</v>
      </c>
      <c r="G2365" s="29" t="s">
        <v>9348</v>
      </c>
    </row>
    <row r="2366" spans="1:7">
      <c r="A2366" s="33">
        <v>44281</v>
      </c>
      <c r="B2366" s="29" t="s">
        <v>658</v>
      </c>
      <c r="C2366" s="29" t="s">
        <v>659</v>
      </c>
      <c r="D2366" s="29" t="s">
        <v>660</v>
      </c>
      <c r="E2366" s="92">
        <v>8406516</v>
      </c>
      <c r="F2366" s="89" t="s">
        <v>3659</v>
      </c>
      <c r="G2366" s="29" t="s">
        <v>9349</v>
      </c>
    </row>
    <row r="2367" spans="1:7">
      <c r="A2367" s="33">
        <v>44282</v>
      </c>
      <c r="B2367" s="29" t="s">
        <v>661</v>
      </c>
      <c r="C2367" s="29" t="s">
        <v>662</v>
      </c>
      <c r="D2367" s="29" t="s">
        <v>663</v>
      </c>
      <c r="E2367" s="92">
        <v>8393042</v>
      </c>
      <c r="F2367" s="89" t="s">
        <v>3619</v>
      </c>
      <c r="G2367" s="29" t="s">
        <v>8872</v>
      </c>
    </row>
    <row r="2368" spans="1:7">
      <c r="A2368" s="33">
        <v>44283</v>
      </c>
      <c r="B2368" s="29" t="s">
        <v>665</v>
      </c>
      <c r="C2368" s="29" t="s">
        <v>666</v>
      </c>
      <c r="D2368" s="29" t="s">
        <v>667</v>
      </c>
      <c r="E2368" s="92">
        <v>8374687</v>
      </c>
      <c r="F2368" s="89" t="s">
        <v>3647</v>
      </c>
      <c r="G2368" s="29" t="s">
        <v>8914</v>
      </c>
    </row>
    <row r="2369" spans="1:7">
      <c r="A2369" s="33">
        <v>44284</v>
      </c>
      <c r="B2369" s="29" t="s">
        <v>669</v>
      </c>
      <c r="C2369" s="29" t="s">
        <v>670</v>
      </c>
      <c r="D2369" s="29" t="s">
        <v>671</v>
      </c>
      <c r="E2369" s="92">
        <v>8367848</v>
      </c>
      <c r="F2369" s="89" t="s">
        <v>3683</v>
      </c>
      <c r="G2369" s="29" t="s">
        <v>9350</v>
      </c>
    </row>
    <row r="2370" spans="1:7">
      <c r="A2370" s="33">
        <v>44285</v>
      </c>
      <c r="B2370" s="29" t="s">
        <v>673</v>
      </c>
      <c r="C2370" s="29" t="s">
        <v>674</v>
      </c>
      <c r="D2370" s="29" t="s">
        <v>675</v>
      </c>
      <c r="E2370" s="92">
        <v>8343276</v>
      </c>
      <c r="F2370" s="89" t="s">
        <v>3631</v>
      </c>
      <c r="G2370" s="29" t="s">
        <v>8905</v>
      </c>
    </row>
    <row r="2371" spans="1:7">
      <c r="A2371" s="33">
        <v>44286</v>
      </c>
      <c r="B2371" s="29" t="s">
        <v>677</v>
      </c>
      <c r="C2371" s="29" t="s">
        <v>678</v>
      </c>
      <c r="D2371" s="29" t="s">
        <v>679</v>
      </c>
      <c r="E2371" s="92">
        <v>8336556</v>
      </c>
      <c r="F2371" s="89" t="s">
        <v>9351</v>
      </c>
      <c r="G2371" s="29" t="s">
        <v>9310</v>
      </c>
    </row>
    <row r="2372" spans="1:7">
      <c r="A2372" s="33">
        <v>44287</v>
      </c>
      <c r="B2372" s="29" t="s">
        <v>681</v>
      </c>
      <c r="C2372" s="29" t="s">
        <v>682</v>
      </c>
      <c r="D2372" s="29" t="s">
        <v>683</v>
      </c>
      <c r="E2372" s="92">
        <v>8321757</v>
      </c>
      <c r="F2372" s="89" t="s">
        <v>3655</v>
      </c>
      <c r="G2372" s="29" t="s">
        <v>9352</v>
      </c>
    </row>
    <row r="2373" spans="1:7">
      <c r="A2373" s="33">
        <v>44288</v>
      </c>
      <c r="B2373" s="29" t="s">
        <v>685</v>
      </c>
      <c r="C2373" s="29" t="s">
        <v>686</v>
      </c>
      <c r="D2373" s="29" t="s">
        <v>687</v>
      </c>
      <c r="E2373" s="92">
        <v>8321006</v>
      </c>
      <c r="F2373" s="89" t="s">
        <v>1080</v>
      </c>
      <c r="G2373" s="29" t="s">
        <v>9353</v>
      </c>
    </row>
    <row r="2374" spans="1:7">
      <c r="A2374" s="33">
        <v>44289</v>
      </c>
      <c r="B2374" s="29" t="s">
        <v>689</v>
      </c>
      <c r="C2374" s="29" t="s">
        <v>690</v>
      </c>
      <c r="D2374" s="29" t="s">
        <v>691</v>
      </c>
      <c r="E2374" s="92">
        <v>8319473</v>
      </c>
      <c r="F2374" s="89" t="s">
        <v>429</v>
      </c>
      <c r="G2374" s="29" t="s">
        <v>9354</v>
      </c>
    </row>
    <row r="2375" spans="1:7">
      <c r="A2375" s="33">
        <v>44290</v>
      </c>
      <c r="B2375" s="29" t="s">
        <v>692</v>
      </c>
      <c r="C2375" s="29" t="s">
        <v>693</v>
      </c>
      <c r="D2375" s="29" t="s">
        <v>694</v>
      </c>
      <c r="E2375" s="92">
        <v>8309286</v>
      </c>
      <c r="F2375" s="89" t="s">
        <v>2132</v>
      </c>
      <c r="G2375" s="29" t="s">
        <v>9355</v>
      </c>
    </row>
    <row r="2376" spans="1:7">
      <c r="A2376" s="33">
        <v>44291</v>
      </c>
      <c r="B2376" s="29" t="s">
        <v>696</v>
      </c>
      <c r="C2376" s="29" t="s">
        <v>697</v>
      </c>
      <c r="D2376" s="29" t="s">
        <v>698</v>
      </c>
      <c r="E2376" s="92">
        <v>8293868</v>
      </c>
      <c r="F2376" s="89" t="s">
        <v>2230</v>
      </c>
      <c r="G2376" s="29" t="s">
        <v>9344</v>
      </c>
    </row>
    <row r="2377" spans="1:7">
      <c r="A2377" s="33">
        <v>44292</v>
      </c>
      <c r="B2377" s="29" t="s">
        <v>700</v>
      </c>
      <c r="C2377" s="29" t="s">
        <v>701</v>
      </c>
      <c r="D2377" s="29" t="s">
        <v>702</v>
      </c>
      <c r="E2377" s="92">
        <v>8259992</v>
      </c>
      <c r="F2377" s="89" t="s">
        <v>3651</v>
      </c>
      <c r="G2377" s="29" t="s">
        <v>9356</v>
      </c>
    </row>
    <row r="2378" spans="1:7">
      <c r="A2378" s="33">
        <v>44293</v>
      </c>
      <c r="B2378" s="29" t="s">
        <v>704</v>
      </c>
      <c r="C2378" s="29" t="s">
        <v>705</v>
      </c>
      <c r="D2378" s="29" t="s">
        <v>706</v>
      </c>
      <c r="E2378" s="92">
        <v>8251846</v>
      </c>
      <c r="F2378" s="89" t="s">
        <v>6350</v>
      </c>
      <c r="G2378" s="29" t="s">
        <v>9289</v>
      </c>
    </row>
    <row r="2379" spans="1:7">
      <c r="A2379" s="33">
        <v>44294</v>
      </c>
      <c r="B2379" s="29" t="s">
        <v>708</v>
      </c>
      <c r="C2379" s="29" t="s">
        <v>709</v>
      </c>
      <c r="D2379" s="29" t="s">
        <v>710</v>
      </c>
      <c r="E2379" s="92">
        <v>8245915</v>
      </c>
      <c r="F2379" s="89" t="s">
        <v>2148</v>
      </c>
      <c r="G2379" s="29" t="s">
        <v>9357</v>
      </c>
    </row>
    <row r="2380" spans="1:7">
      <c r="A2380" s="33">
        <v>44295</v>
      </c>
      <c r="B2380" s="29" t="s">
        <v>712</v>
      </c>
      <c r="C2380" s="29" t="s">
        <v>713</v>
      </c>
      <c r="D2380" s="29" t="s">
        <v>714</v>
      </c>
      <c r="E2380" s="92">
        <v>8245623</v>
      </c>
      <c r="F2380" s="89" t="s">
        <v>2226</v>
      </c>
      <c r="G2380" s="29" t="s">
        <v>9358</v>
      </c>
    </row>
    <row r="2381" spans="1:7">
      <c r="A2381" s="33">
        <v>44296</v>
      </c>
      <c r="B2381" s="29" t="s">
        <v>716</v>
      </c>
      <c r="C2381" s="29" t="s">
        <v>717</v>
      </c>
      <c r="D2381" s="29" t="s">
        <v>718</v>
      </c>
      <c r="E2381" s="92">
        <v>8243721</v>
      </c>
      <c r="F2381" s="89" t="s">
        <v>1072</v>
      </c>
      <c r="G2381" s="29" t="s">
        <v>9359</v>
      </c>
    </row>
    <row r="2382" spans="1:7">
      <c r="A2382" s="33">
        <v>44297</v>
      </c>
      <c r="B2382" s="29" t="s">
        <v>9360</v>
      </c>
      <c r="C2382" s="29" t="s">
        <v>4778</v>
      </c>
      <c r="D2382" s="29" t="s">
        <v>9361</v>
      </c>
      <c r="E2382" s="92">
        <v>8230924</v>
      </c>
      <c r="F2382" s="89" t="s">
        <v>3691</v>
      </c>
      <c r="G2382" s="29" t="s">
        <v>9362</v>
      </c>
    </row>
    <row r="2383" spans="1:7">
      <c r="A2383" s="33">
        <v>44298</v>
      </c>
      <c r="B2383" s="29" t="s">
        <v>720</v>
      </c>
      <c r="C2383" s="29" t="s">
        <v>721</v>
      </c>
      <c r="D2383" s="29" t="s">
        <v>722</v>
      </c>
      <c r="E2383" s="92">
        <v>8228783</v>
      </c>
      <c r="F2383" s="89" t="s">
        <v>9363</v>
      </c>
      <c r="G2383" s="29" t="s">
        <v>8947</v>
      </c>
    </row>
    <row r="2384" spans="1:7">
      <c r="A2384" s="33">
        <v>44299</v>
      </c>
      <c r="B2384" s="29" t="s">
        <v>724</v>
      </c>
      <c r="C2384" s="29" t="s">
        <v>725</v>
      </c>
      <c r="D2384" s="29" t="s">
        <v>726</v>
      </c>
      <c r="E2384" s="92">
        <v>8222078</v>
      </c>
      <c r="F2384" s="89" t="s">
        <v>6333</v>
      </c>
      <c r="G2384" s="35">
        <v>70000000000</v>
      </c>
    </row>
    <row r="2385" spans="1:7">
      <c r="A2385" s="33">
        <v>44300</v>
      </c>
      <c r="B2385" s="29" t="s">
        <v>9364</v>
      </c>
      <c r="C2385" s="29" t="s">
        <v>9365</v>
      </c>
      <c r="D2385" s="29" t="s">
        <v>9366</v>
      </c>
      <c r="E2385" s="92">
        <v>8208995</v>
      </c>
      <c r="F2385" s="89" t="s">
        <v>993</v>
      </c>
      <c r="G2385" s="29" t="s">
        <v>9367</v>
      </c>
    </row>
    <row r="2386" spans="1:7">
      <c r="A2386" s="33">
        <v>44301</v>
      </c>
      <c r="B2386" s="29" t="s">
        <v>728</v>
      </c>
      <c r="C2386" s="29" t="s">
        <v>729</v>
      </c>
      <c r="D2386" s="29" t="s">
        <v>730</v>
      </c>
      <c r="E2386" s="92">
        <v>8206146</v>
      </c>
      <c r="F2386" s="89" t="s">
        <v>977</v>
      </c>
      <c r="G2386" s="29" t="s">
        <v>9368</v>
      </c>
    </row>
    <row r="2387" spans="1:7">
      <c r="A2387" s="33">
        <v>44302</v>
      </c>
      <c r="B2387" s="29" t="s">
        <v>732</v>
      </c>
      <c r="C2387" s="29" t="s">
        <v>733</v>
      </c>
      <c r="D2387" s="29" t="s">
        <v>734</v>
      </c>
      <c r="E2387" s="92">
        <v>8205939</v>
      </c>
      <c r="F2387" s="89" t="s">
        <v>2202</v>
      </c>
      <c r="G2387" s="29" t="s">
        <v>9369</v>
      </c>
    </row>
    <row r="2388" spans="1:7">
      <c r="A2388" s="33">
        <v>44303</v>
      </c>
      <c r="B2388" s="29" t="s">
        <v>736</v>
      </c>
      <c r="C2388" s="29" t="s">
        <v>737</v>
      </c>
      <c r="D2388" s="29" t="s">
        <v>738</v>
      </c>
      <c r="E2388" s="92">
        <v>8205369</v>
      </c>
      <c r="F2388" s="89" t="s">
        <v>1068</v>
      </c>
      <c r="G2388" s="29" t="s">
        <v>9356</v>
      </c>
    </row>
    <row r="2389" spans="1:7">
      <c r="A2389" s="33">
        <v>44304</v>
      </c>
      <c r="B2389" s="29" t="s">
        <v>740</v>
      </c>
      <c r="C2389" s="29" t="s">
        <v>741</v>
      </c>
      <c r="D2389" s="29" t="s">
        <v>742</v>
      </c>
      <c r="E2389" s="92">
        <v>8205168</v>
      </c>
      <c r="F2389" s="89" t="s">
        <v>2206</v>
      </c>
      <c r="G2389" s="29" t="s">
        <v>9370</v>
      </c>
    </row>
    <row r="2390" spans="1:7">
      <c r="A2390" s="33">
        <v>44305</v>
      </c>
      <c r="B2390" s="29" t="s">
        <v>744</v>
      </c>
      <c r="C2390" s="29" t="s">
        <v>745</v>
      </c>
      <c r="D2390" s="29" t="s">
        <v>746</v>
      </c>
      <c r="E2390" s="92">
        <v>8197689</v>
      </c>
      <c r="F2390" s="89" t="s">
        <v>1076</v>
      </c>
      <c r="G2390" s="29" t="s">
        <v>9371</v>
      </c>
    </row>
    <row r="2391" spans="1:7">
      <c r="A2391" s="33">
        <v>44306</v>
      </c>
      <c r="B2391" s="29" t="s">
        <v>748</v>
      </c>
      <c r="C2391" s="29" t="s">
        <v>749</v>
      </c>
      <c r="D2391" s="29" t="s">
        <v>750</v>
      </c>
      <c r="E2391" s="92">
        <v>8192494</v>
      </c>
      <c r="F2391" s="89" t="s">
        <v>363</v>
      </c>
      <c r="G2391" s="29" t="s">
        <v>9283</v>
      </c>
    </row>
    <row r="2392" spans="1:7">
      <c r="A2392" s="33">
        <v>44307</v>
      </c>
      <c r="B2392" s="29" t="s">
        <v>752</v>
      </c>
      <c r="C2392" s="29" t="s">
        <v>753</v>
      </c>
      <c r="D2392" s="29" t="s">
        <v>754</v>
      </c>
      <c r="E2392" s="92">
        <v>8166554</v>
      </c>
      <c r="F2392" s="89" t="s">
        <v>9372</v>
      </c>
      <c r="G2392" s="29" t="s">
        <v>9373</v>
      </c>
    </row>
    <row r="2393" spans="1:7">
      <c r="A2393" s="33">
        <v>44308</v>
      </c>
      <c r="B2393" s="29" t="s">
        <v>756</v>
      </c>
      <c r="C2393" s="29" t="s">
        <v>757</v>
      </c>
      <c r="D2393" s="29" t="s">
        <v>758</v>
      </c>
      <c r="E2393" s="92">
        <v>8163692</v>
      </c>
      <c r="F2393" s="89" t="s">
        <v>437</v>
      </c>
      <c r="G2393" s="29" t="s">
        <v>9280</v>
      </c>
    </row>
    <row r="2394" spans="1:7">
      <c r="A2394" s="33">
        <v>44309</v>
      </c>
      <c r="B2394" s="29" t="s">
        <v>760</v>
      </c>
      <c r="C2394" s="29" t="s">
        <v>761</v>
      </c>
      <c r="D2394" s="29" t="s">
        <v>762</v>
      </c>
      <c r="E2394" s="92">
        <v>8145857</v>
      </c>
      <c r="F2394" s="89" t="s">
        <v>1088</v>
      </c>
      <c r="G2394" s="29" t="s">
        <v>9374</v>
      </c>
    </row>
    <row r="2395" spans="1:7">
      <c r="A2395" s="33">
        <v>44310</v>
      </c>
      <c r="B2395" s="29" t="s">
        <v>764</v>
      </c>
      <c r="C2395" s="29" t="s">
        <v>765</v>
      </c>
      <c r="D2395" s="29" t="s">
        <v>766</v>
      </c>
      <c r="E2395" s="92">
        <v>8144194</v>
      </c>
      <c r="F2395" s="89" t="s">
        <v>6291</v>
      </c>
      <c r="G2395" s="29" t="s">
        <v>9375</v>
      </c>
    </row>
    <row r="2396" spans="1:7">
      <c r="A2396" s="33">
        <v>44311</v>
      </c>
      <c r="B2396" s="29" t="s">
        <v>768</v>
      </c>
      <c r="C2396" s="29" t="s">
        <v>769</v>
      </c>
      <c r="D2396" s="29" t="s">
        <v>770</v>
      </c>
      <c r="E2396" s="92">
        <v>8118968</v>
      </c>
      <c r="F2396" s="89" t="s">
        <v>997</v>
      </c>
      <c r="G2396" s="29" t="s">
        <v>9376</v>
      </c>
    </row>
    <row r="2397" spans="1:7">
      <c r="A2397" s="33">
        <v>44312</v>
      </c>
      <c r="B2397" s="29" t="s">
        <v>772</v>
      </c>
      <c r="C2397" s="29">
        <v>54288</v>
      </c>
      <c r="D2397" s="29" t="s">
        <v>774</v>
      </c>
      <c r="E2397" s="92">
        <v>8108116</v>
      </c>
      <c r="F2397" s="89" t="s">
        <v>441</v>
      </c>
      <c r="G2397" s="29" t="s">
        <v>9377</v>
      </c>
    </row>
    <row r="2398" spans="1:7">
      <c r="A2398" s="33">
        <v>44313</v>
      </c>
      <c r="B2398" s="29" t="s">
        <v>776</v>
      </c>
      <c r="C2398" s="29" t="s">
        <v>777</v>
      </c>
      <c r="D2398" s="29" t="s">
        <v>778</v>
      </c>
      <c r="E2398" s="92">
        <v>8104186</v>
      </c>
      <c r="F2398" s="89" t="s">
        <v>1092</v>
      </c>
      <c r="G2398" s="29" t="s">
        <v>8859</v>
      </c>
    </row>
    <row r="2399" spans="1:7">
      <c r="A2399" s="33">
        <v>44314</v>
      </c>
      <c r="B2399" s="29" t="s">
        <v>780</v>
      </c>
      <c r="C2399" s="29" t="s">
        <v>781</v>
      </c>
      <c r="D2399" s="29" t="s">
        <v>782</v>
      </c>
      <c r="E2399" s="92">
        <v>8103911</v>
      </c>
      <c r="F2399" s="89" t="s">
        <v>445</v>
      </c>
      <c r="G2399" s="29" t="s">
        <v>9378</v>
      </c>
    </row>
    <row r="2400" spans="1:7">
      <c r="A2400" s="33">
        <v>44315</v>
      </c>
      <c r="B2400" s="29" t="s">
        <v>784</v>
      </c>
      <c r="C2400" s="29" t="s">
        <v>785</v>
      </c>
      <c r="D2400" s="29" t="s">
        <v>786</v>
      </c>
      <c r="E2400" s="92">
        <v>8079863</v>
      </c>
      <c r="F2400" s="89" t="s">
        <v>981</v>
      </c>
      <c r="G2400" s="29" t="s">
        <v>9376</v>
      </c>
    </row>
    <row r="2401" spans="1:7">
      <c r="A2401" s="33">
        <v>44316</v>
      </c>
      <c r="B2401" s="29" t="s">
        <v>9379</v>
      </c>
      <c r="C2401" s="29" t="s">
        <v>9380</v>
      </c>
      <c r="D2401" s="29" t="s">
        <v>9381</v>
      </c>
      <c r="E2401" s="92">
        <v>8078203</v>
      </c>
      <c r="F2401" s="89" t="s">
        <v>6267</v>
      </c>
      <c r="G2401" s="29" t="s">
        <v>9285</v>
      </c>
    </row>
    <row r="2402" spans="1:7">
      <c r="A2402" s="33">
        <v>44317</v>
      </c>
      <c r="B2402" s="29" t="s">
        <v>788</v>
      </c>
      <c r="C2402" s="29" t="s">
        <v>789</v>
      </c>
      <c r="D2402" s="29" t="s">
        <v>790</v>
      </c>
      <c r="E2402" s="92">
        <v>8052544</v>
      </c>
      <c r="F2402" s="89" t="s">
        <v>449</v>
      </c>
      <c r="G2402" s="29" t="s">
        <v>9382</v>
      </c>
    </row>
    <row r="2403" spans="1:7">
      <c r="A2403" s="33">
        <v>44318</v>
      </c>
      <c r="B2403" s="29" t="s">
        <v>792</v>
      </c>
      <c r="C2403" s="29" t="s">
        <v>793</v>
      </c>
      <c r="D2403" s="29" t="s">
        <v>794</v>
      </c>
      <c r="E2403" s="92">
        <v>8047527</v>
      </c>
      <c r="F2403" s="89" t="s">
        <v>1060</v>
      </c>
      <c r="G2403" s="29" t="s">
        <v>9169</v>
      </c>
    </row>
    <row r="2404" spans="1:7">
      <c r="A2404" s="33">
        <v>44319</v>
      </c>
      <c r="B2404" s="29" t="s">
        <v>796</v>
      </c>
      <c r="C2404" s="29" t="s">
        <v>797</v>
      </c>
      <c r="D2404" s="29" t="s">
        <v>798</v>
      </c>
      <c r="E2404" s="92">
        <v>8043951</v>
      </c>
      <c r="F2404" s="89" t="s">
        <v>359</v>
      </c>
      <c r="G2404" s="29" t="s">
        <v>9383</v>
      </c>
    </row>
    <row r="2405" spans="1:7">
      <c r="A2405" s="33">
        <v>44320</v>
      </c>
      <c r="B2405" s="29" t="s">
        <v>800</v>
      </c>
      <c r="C2405" s="29" t="s">
        <v>800</v>
      </c>
      <c r="D2405" s="29" t="s">
        <v>801</v>
      </c>
      <c r="E2405" s="92">
        <v>8037538</v>
      </c>
      <c r="F2405" s="89" t="s">
        <v>1064</v>
      </c>
      <c r="G2405" s="29" t="s">
        <v>4778</v>
      </c>
    </row>
    <row r="2406" spans="1:7">
      <c r="A2406" s="33">
        <v>44321</v>
      </c>
      <c r="B2406" s="29" t="s">
        <v>803</v>
      </c>
      <c r="C2406" s="29" t="s">
        <v>804</v>
      </c>
      <c r="D2406" s="29" t="s">
        <v>805</v>
      </c>
      <c r="E2406" s="92">
        <v>8027268</v>
      </c>
      <c r="F2406" s="89" t="s">
        <v>1040</v>
      </c>
      <c r="G2406" s="29" t="s">
        <v>9384</v>
      </c>
    </row>
    <row r="2407" spans="1:7">
      <c r="A2407" s="33">
        <v>44322</v>
      </c>
      <c r="B2407" s="29" t="s">
        <v>807</v>
      </c>
      <c r="C2407" s="29" t="s">
        <v>808</v>
      </c>
      <c r="D2407" s="29" t="s">
        <v>809</v>
      </c>
      <c r="E2407" s="92">
        <v>7994416</v>
      </c>
      <c r="F2407" s="89" t="s">
        <v>433</v>
      </c>
      <c r="G2407" s="29" t="s">
        <v>9385</v>
      </c>
    </row>
    <row r="2408" spans="1:7">
      <c r="A2408" s="33">
        <v>44323</v>
      </c>
      <c r="B2408" s="29" t="s">
        <v>811</v>
      </c>
      <c r="C2408" s="29" t="s">
        <v>812</v>
      </c>
      <c r="D2408" s="29" t="s">
        <v>813</v>
      </c>
      <c r="E2408" s="92">
        <v>7988561</v>
      </c>
      <c r="F2408" s="89" t="s">
        <v>4068</v>
      </c>
      <c r="G2408" s="29" t="s">
        <v>9386</v>
      </c>
    </row>
    <row r="2409" spans="1:7">
      <c r="A2409" s="33">
        <v>44324</v>
      </c>
      <c r="B2409" s="29" t="s">
        <v>815</v>
      </c>
      <c r="C2409" s="29" t="s">
        <v>816</v>
      </c>
      <c r="D2409" s="29" t="s">
        <v>817</v>
      </c>
      <c r="E2409" s="92">
        <v>7988156</v>
      </c>
      <c r="F2409" s="89" t="s">
        <v>468</v>
      </c>
      <c r="G2409" s="29" t="s">
        <v>9387</v>
      </c>
    </row>
    <row r="2410" spans="1:7">
      <c r="A2410" s="33">
        <v>44325</v>
      </c>
      <c r="B2410" s="29" t="s">
        <v>819</v>
      </c>
      <c r="C2410" s="29" t="s">
        <v>820</v>
      </c>
      <c r="D2410" s="29">
        <v>56482</v>
      </c>
      <c r="E2410" s="92">
        <v>7987372</v>
      </c>
      <c r="F2410" s="89" t="s">
        <v>1056</v>
      </c>
      <c r="G2410" s="29" t="s">
        <v>9388</v>
      </c>
    </row>
    <row r="2411" spans="1:7">
      <c r="A2411" s="33">
        <v>44326</v>
      </c>
      <c r="B2411" s="29" t="s">
        <v>823</v>
      </c>
      <c r="C2411" s="29" t="s">
        <v>824</v>
      </c>
      <c r="D2411" s="29" t="s">
        <v>825</v>
      </c>
      <c r="E2411" s="92">
        <v>7978309</v>
      </c>
      <c r="F2411" s="89" t="s">
        <v>6231</v>
      </c>
      <c r="G2411" s="29" t="s">
        <v>9389</v>
      </c>
    </row>
    <row r="2412" spans="1:7">
      <c r="A2412" s="33">
        <v>44327</v>
      </c>
      <c r="B2412" s="29" t="s">
        <v>827</v>
      </c>
      <c r="C2412" s="29" t="s">
        <v>828</v>
      </c>
      <c r="D2412" s="29" t="s">
        <v>829</v>
      </c>
      <c r="E2412" s="92">
        <v>7973208</v>
      </c>
      <c r="F2412" s="89" t="s">
        <v>6226</v>
      </c>
      <c r="G2412" s="29" t="s">
        <v>9390</v>
      </c>
    </row>
    <row r="2413" spans="1:7">
      <c r="A2413" s="33">
        <v>44328</v>
      </c>
      <c r="B2413" s="29" t="s">
        <v>9391</v>
      </c>
      <c r="C2413" s="29" t="s">
        <v>4778</v>
      </c>
      <c r="D2413" s="29" t="s">
        <v>5319</v>
      </c>
      <c r="E2413" s="92">
        <v>7963328</v>
      </c>
      <c r="F2413" s="89" t="s">
        <v>456</v>
      </c>
      <c r="G2413" s="29" t="s">
        <v>9392</v>
      </c>
    </row>
    <row r="2414" spans="1:7">
      <c r="A2414" s="33">
        <v>44329</v>
      </c>
      <c r="B2414" s="29" t="s">
        <v>831</v>
      </c>
      <c r="C2414" s="29" t="s">
        <v>832</v>
      </c>
      <c r="D2414" s="29" t="s">
        <v>833</v>
      </c>
      <c r="E2414" s="92">
        <v>7954128</v>
      </c>
      <c r="F2414" s="89" t="s">
        <v>929</v>
      </c>
      <c r="G2414" s="29" t="s">
        <v>9393</v>
      </c>
    </row>
    <row r="2415" spans="1:7">
      <c r="A2415" s="33">
        <v>44330</v>
      </c>
      <c r="B2415" s="29" t="s">
        <v>835</v>
      </c>
      <c r="C2415" s="29" t="s">
        <v>836</v>
      </c>
      <c r="D2415" s="29" t="s">
        <v>837</v>
      </c>
      <c r="E2415" s="92">
        <v>7927714</v>
      </c>
      <c r="F2415" s="89" t="s">
        <v>1048</v>
      </c>
      <c r="G2415" s="29" t="s">
        <v>9343</v>
      </c>
    </row>
    <row r="2416" spans="1:7">
      <c r="A2416" s="33">
        <v>44331</v>
      </c>
      <c r="B2416" s="29" t="s">
        <v>839</v>
      </c>
      <c r="C2416" s="29" t="s">
        <v>840</v>
      </c>
      <c r="D2416" s="29" t="s">
        <v>841</v>
      </c>
      <c r="E2416" s="92">
        <v>7923645</v>
      </c>
      <c r="F2416" s="89" t="s">
        <v>925</v>
      </c>
      <c r="G2416" s="29" t="s">
        <v>9394</v>
      </c>
    </row>
    <row r="2417" spans="1:7">
      <c r="A2417" s="33">
        <v>44332</v>
      </c>
      <c r="B2417" s="29" t="s">
        <v>843</v>
      </c>
      <c r="C2417" s="29" t="s">
        <v>844</v>
      </c>
      <c r="D2417" s="29" t="s">
        <v>845</v>
      </c>
      <c r="E2417" s="92">
        <v>7909729</v>
      </c>
      <c r="F2417" s="89" t="s">
        <v>1016</v>
      </c>
      <c r="G2417" s="29" t="s">
        <v>9395</v>
      </c>
    </row>
    <row r="2418" spans="1:7">
      <c r="A2418" s="33">
        <v>44333</v>
      </c>
      <c r="B2418" s="29" t="s">
        <v>847</v>
      </c>
      <c r="C2418" s="29" t="s">
        <v>848</v>
      </c>
      <c r="D2418" s="29" t="s">
        <v>849</v>
      </c>
      <c r="E2418" s="92">
        <v>7884909</v>
      </c>
      <c r="F2418" s="89" t="s">
        <v>1094</v>
      </c>
      <c r="G2418" s="29" t="s">
        <v>9396</v>
      </c>
    </row>
    <row r="2419" spans="1:7">
      <c r="A2419" s="33">
        <v>44334</v>
      </c>
      <c r="B2419" s="29" t="s">
        <v>851</v>
      </c>
      <c r="C2419" s="29" t="s">
        <v>852</v>
      </c>
      <c r="D2419" s="29" t="s">
        <v>853</v>
      </c>
      <c r="E2419" s="92">
        <v>7881847</v>
      </c>
      <c r="F2419" s="89" t="s">
        <v>985</v>
      </c>
      <c r="G2419" s="29" t="s">
        <v>9397</v>
      </c>
    </row>
    <row r="2420" spans="1:7">
      <c r="A2420" s="33">
        <v>44335</v>
      </c>
      <c r="B2420" s="29" t="s">
        <v>9398</v>
      </c>
      <c r="C2420" s="29" t="s">
        <v>4778</v>
      </c>
      <c r="D2420" s="29" t="s">
        <v>9399</v>
      </c>
      <c r="E2420" s="92">
        <v>7824231</v>
      </c>
      <c r="F2420" s="89" t="s">
        <v>6192</v>
      </c>
      <c r="G2420" s="29" t="s">
        <v>9400</v>
      </c>
    </row>
    <row r="2421" spans="1:7">
      <c r="A2421" s="33">
        <v>44336</v>
      </c>
      <c r="B2421" s="29" t="s">
        <v>855</v>
      </c>
      <c r="C2421" s="29" t="s">
        <v>856</v>
      </c>
      <c r="D2421" s="29" t="s">
        <v>857</v>
      </c>
      <c r="E2421" s="92">
        <v>7822023</v>
      </c>
      <c r="F2421" s="89" t="s">
        <v>1044</v>
      </c>
      <c r="G2421" s="29" t="s">
        <v>9401</v>
      </c>
    </row>
    <row r="2422" spans="1:7">
      <c r="A2422" s="33">
        <v>44337</v>
      </c>
      <c r="B2422" s="29" t="s">
        <v>9402</v>
      </c>
      <c r="C2422" s="29" t="s">
        <v>4778</v>
      </c>
      <c r="D2422" s="29" t="s">
        <v>9403</v>
      </c>
      <c r="E2422" s="92">
        <v>7814915</v>
      </c>
      <c r="F2422" s="89" t="s">
        <v>6184</v>
      </c>
      <c r="G2422" s="29" t="s">
        <v>9404</v>
      </c>
    </row>
    <row r="2423" spans="1:7">
      <c r="A2423" s="33">
        <v>44338</v>
      </c>
      <c r="B2423" s="29" t="s">
        <v>859</v>
      </c>
      <c r="C2423" s="29" t="s">
        <v>860</v>
      </c>
      <c r="D2423" s="29" t="s">
        <v>861</v>
      </c>
      <c r="E2423" s="92">
        <v>7807059</v>
      </c>
      <c r="F2423" s="89" t="s">
        <v>1036</v>
      </c>
      <c r="G2423" s="29" t="s">
        <v>9405</v>
      </c>
    </row>
    <row r="2424" spans="1:7">
      <c r="A2424" s="33">
        <v>44339</v>
      </c>
      <c r="B2424" s="29" t="s">
        <v>863</v>
      </c>
      <c r="C2424" s="29" t="s">
        <v>864</v>
      </c>
      <c r="D2424" s="29" t="s">
        <v>865</v>
      </c>
      <c r="E2424" s="92">
        <v>7795601</v>
      </c>
      <c r="F2424" s="89" t="s">
        <v>1020</v>
      </c>
      <c r="G2424" s="29" t="s">
        <v>9406</v>
      </c>
    </row>
    <row r="2425" spans="1:7">
      <c r="A2425" s="33">
        <v>44340</v>
      </c>
      <c r="B2425" s="29" t="s">
        <v>867</v>
      </c>
      <c r="C2425" s="29" t="s">
        <v>868</v>
      </c>
      <c r="D2425" s="29" t="s">
        <v>869</v>
      </c>
      <c r="E2425" s="92">
        <v>7769219</v>
      </c>
      <c r="F2425" s="89" t="s">
        <v>4072</v>
      </c>
      <c r="G2425" s="29" t="s">
        <v>9407</v>
      </c>
    </row>
    <row r="2426" spans="1:7">
      <c r="A2426" s="33">
        <v>44341</v>
      </c>
      <c r="B2426" s="29" t="s">
        <v>871</v>
      </c>
      <c r="C2426" s="29" t="s">
        <v>872</v>
      </c>
      <c r="D2426" s="29" t="s">
        <v>873</v>
      </c>
      <c r="E2426" s="92">
        <v>7761244</v>
      </c>
      <c r="F2426" s="89" t="s">
        <v>4080</v>
      </c>
      <c r="G2426" s="29" t="s">
        <v>9397</v>
      </c>
    </row>
    <row r="2427" spans="1:7">
      <c r="A2427" s="33">
        <v>44342</v>
      </c>
      <c r="B2427" s="29" t="s">
        <v>875</v>
      </c>
      <c r="C2427" s="29" t="s">
        <v>876</v>
      </c>
      <c r="D2427" s="29" t="s">
        <v>877</v>
      </c>
      <c r="E2427" s="92">
        <v>7707771</v>
      </c>
      <c r="F2427" s="89" t="s">
        <v>394</v>
      </c>
      <c r="G2427" s="29" t="s">
        <v>9266</v>
      </c>
    </row>
    <row r="2428" spans="1:7">
      <c r="A2428" s="33">
        <v>44343</v>
      </c>
      <c r="B2428" s="29" t="s">
        <v>879</v>
      </c>
      <c r="C2428" s="29" t="s">
        <v>880</v>
      </c>
      <c r="D2428" s="29" t="s">
        <v>881</v>
      </c>
      <c r="E2428" s="92">
        <v>7688077</v>
      </c>
      <c r="F2428" s="89" t="s">
        <v>367</v>
      </c>
      <c r="G2428" s="29" t="s">
        <v>9408</v>
      </c>
    </row>
    <row r="2429" spans="1:7">
      <c r="A2429" s="33">
        <v>44344</v>
      </c>
      <c r="B2429" s="29" t="s">
        <v>883</v>
      </c>
      <c r="C2429" s="29" t="s">
        <v>884</v>
      </c>
      <c r="D2429" s="29" t="s">
        <v>885</v>
      </c>
      <c r="E2429" s="92">
        <v>7680066</v>
      </c>
      <c r="F2429" s="89" t="s">
        <v>2125</v>
      </c>
      <c r="G2429" s="29" t="s">
        <v>9409</v>
      </c>
    </row>
    <row r="2430" spans="1:7">
      <c r="A2430" s="33">
        <v>44345</v>
      </c>
      <c r="B2430" s="29" t="s">
        <v>887</v>
      </c>
      <c r="C2430" s="29" t="s">
        <v>888</v>
      </c>
      <c r="D2430" s="29" t="s">
        <v>889</v>
      </c>
      <c r="E2430" s="92">
        <v>7679867</v>
      </c>
      <c r="F2430" s="89" t="s">
        <v>4084</v>
      </c>
      <c r="G2430" s="29" t="s">
        <v>9148</v>
      </c>
    </row>
    <row r="2431" spans="1:7">
      <c r="A2431" s="33">
        <v>44346</v>
      </c>
      <c r="B2431" s="29" t="s">
        <v>891</v>
      </c>
      <c r="C2431" s="29" t="s">
        <v>892</v>
      </c>
      <c r="D2431" s="29" t="s">
        <v>893</v>
      </c>
      <c r="E2431" s="92">
        <v>7569936</v>
      </c>
      <c r="F2431" s="89" t="s">
        <v>6155</v>
      </c>
      <c r="G2431" s="29" t="s">
        <v>9234</v>
      </c>
    </row>
    <row r="2432" spans="1:7">
      <c r="A2432" s="33">
        <v>44347</v>
      </c>
      <c r="B2432" s="29" t="s">
        <v>895</v>
      </c>
      <c r="C2432" s="29" t="s">
        <v>896</v>
      </c>
      <c r="D2432" s="29" t="s">
        <v>897</v>
      </c>
      <c r="E2432" s="92">
        <v>7564345</v>
      </c>
      <c r="F2432" s="89" t="s">
        <v>1032</v>
      </c>
      <c r="G2432" s="29" t="s">
        <v>8915</v>
      </c>
    </row>
    <row r="2433" spans="1:7">
      <c r="A2433" s="33">
        <v>44348</v>
      </c>
      <c r="B2433" s="29" t="s">
        <v>899</v>
      </c>
      <c r="C2433" s="29" t="s">
        <v>900</v>
      </c>
      <c r="D2433" s="29" t="s">
        <v>901</v>
      </c>
      <c r="E2433" s="92">
        <v>7556238</v>
      </c>
      <c r="F2433" s="89" t="s">
        <v>1052</v>
      </c>
      <c r="G2433" s="29" t="s">
        <v>8909</v>
      </c>
    </row>
    <row r="2434" spans="1:7">
      <c r="A2434" s="33">
        <v>44349</v>
      </c>
      <c r="B2434" s="29" t="s">
        <v>903</v>
      </c>
      <c r="C2434" s="29" t="s">
        <v>904</v>
      </c>
      <c r="D2434" s="29" t="s">
        <v>905</v>
      </c>
      <c r="E2434" s="92">
        <v>7550901</v>
      </c>
      <c r="F2434" s="89" t="s">
        <v>464</v>
      </c>
      <c r="G2434" s="29" t="s">
        <v>9410</v>
      </c>
    </row>
    <row r="2435" spans="1:7">
      <c r="A2435" s="33">
        <v>44350</v>
      </c>
      <c r="B2435" s="29" t="s">
        <v>907</v>
      </c>
      <c r="C2435" s="29" t="s">
        <v>908</v>
      </c>
      <c r="D2435" s="29" t="s">
        <v>909</v>
      </c>
      <c r="E2435" s="92">
        <v>7546997</v>
      </c>
      <c r="F2435" s="89" t="s">
        <v>1099</v>
      </c>
      <c r="G2435" s="29" t="s">
        <v>9159</v>
      </c>
    </row>
    <row r="2436" spans="1:7">
      <c r="A2436" s="33">
        <v>44351</v>
      </c>
      <c r="B2436" s="29" t="s">
        <v>911</v>
      </c>
      <c r="C2436" s="29" t="s">
        <v>911</v>
      </c>
      <c r="D2436" s="29" t="s">
        <v>912</v>
      </c>
      <c r="E2436" s="92">
        <v>7531664</v>
      </c>
      <c r="F2436" s="89" t="s">
        <v>460</v>
      </c>
      <c r="G2436" s="29" t="s">
        <v>8960</v>
      </c>
    </row>
    <row r="2437" spans="1:7">
      <c r="A2437" s="33">
        <v>44352</v>
      </c>
      <c r="B2437" s="29" t="s">
        <v>914</v>
      </c>
      <c r="C2437" s="29" t="s">
        <v>915</v>
      </c>
      <c r="D2437" s="29" t="s">
        <v>916</v>
      </c>
      <c r="E2437" s="92">
        <v>7514672</v>
      </c>
      <c r="F2437" s="89" t="s">
        <v>1005</v>
      </c>
      <c r="G2437" s="29" t="s">
        <v>9411</v>
      </c>
    </row>
    <row r="2438" spans="1:7">
      <c r="A2438" s="33">
        <v>44353</v>
      </c>
      <c r="B2438" s="29" t="s">
        <v>918</v>
      </c>
      <c r="C2438" s="29" t="s">
        <v>919</v>
      </c>
      <c r="D2438" s="29" t="s">
        <v>920</v>
      </c>
      <c r="E2438" s="92">
        <v>7511589</v>
      </c>
      <c r="F2438" s="89" t="s">
        <v>4092</v>
      </c>
      <c r="G2438" s="29" t="s">
        <v>8449</v>
      </c>
    </row>
    <row r="2439" spans="1:7">
      <c r="A2439" s="33">
        <v>44354</v>
      </c>
      <c r="B2439" s="29" t="s">
        <v>922</v>
      </c>
      <c r="C2439" s="29" t="s">
        <v>923</v>
      </c>
      <c r="D2439" s="29" t="s">
        <v>924</v>
      </c>
      <c r="E2439" s="92">
        <v>7493489</v>
      </c>
      <c r="F2439" s="89" t="s">
        <v>4076</v>
      </c>
      <c r="G2439" s="29" t="s">
        <v>9134</v>
      </c>
    </row>
    <row r="2440" spans="1:7">
      <c r="A2440" s="33">
        <v>44355</v>
      </c>
      <c r="B2440" s="29" t="s">
        <v>926</v>
      </c>
      <c r="C2440" s="29" t="s">
        <v>927</v>
      </c>
      <c r="D2440" s="29" t="s">
        <v>928</v>
      </c>
      <c r="E2440" s="92">
        <v>7448308</v>
      </c>
      <c r="F2440" s="89" t="s">
        <v>4088</v>
      </c>
      <c r="G2440" s="29" t="s">
        <v>9412</v>
      </c>
    </row>
    <row r="2441" spans="1:7">
      <c r="A2441" s="33">
        <v>44356</v>
      </c>
      <c r="B2441" s="29" t="s">
        <v>930</v>
      </c>
      <c r="C2441" s="29" t="s">
        <v>931</v>
      </c>
      <c r="D2441" s="29" t="s">
        <v>932</v>
      </c>
      <c r="E2441" s="92">
        <v>7429725</v>
      </c>
      <c r="F2441" s="89" t="s">
        <v>890</v>
      </c>
      <c r="G2441" s="29" t="s">
        <v>9413</v>
      </c>
    </row>
    <row r="2442" spans="1:7">
      <c r="A2442" s="33">
        <v>44357</v>
      </c>
      <c r="B2442" s="29" t="s">
        <v>934</v>
      </c>
      <c r="C2442" s="29" t="s">
        <v>935</v>
      </c>
      <c r="D2442" s="29" t="s">
        <v>936</v>
      </c>
      <c r="E2442" s="92">
        <v>7424292</v>
      </c>
      <c r="F2442" s="89" t="s">
        <v>1001</v>
      </c>
      <c r="G2442" s="29" t="s">
        <v>8923</v>
      </c>
    </row>
    <row r="2443" spans="1:7">
      <c r="A2443" s="33">
        <v>44358</v>
      </c>
      <c r="B2443" s="29" t="s">
        <v>938</v>
      </c>
      <c r="C2443" s="29" t="s">
        <v>939</v>
      </c>
      <c r="D2443" s="29" t="s">
        <v>940</v>
      </c>
      <c r="E2443" s="92">
        <v>7422653</v>
      </c>
      <c r="F2443" s="89" t="s">
        <v>989</v>
      </c>
      <c r="G2443" s="29" t="s">
        <v>8898</v>
      </c>
    </row>
    <row r="2444" spans="1:7">
      <c r="A2444" s="33">
        <v>44359</v>
      </c>
      <c r="B2444" s="29" t="s">
        <v>942</v>
      </c>
      <c r="C2444" s="29" t="s">
        <v>943</v>
      </c>
      <c r="D2444" s="29" t="s">
        <v>944</v>
      </c>
      <c r="E2444" s="92">
        <v>7411317</v>
      </c>
      <c r="F2444" s="89" t="s">
        <v>4096</v>
      </c>
      <c r="G2444" s="29" t="s">
        <v>8903</v>
      </c>
    </row>
    <row r="2445" spans="1:7">
      <c r="A2445" s="33">
        <v>44360</v>
      </c>
      <c r="B2445" s="29" t="s">
        <v>946</v>
      </c>
      <c r="C2445" s="29" t="s">
        <v>947</v>
      </c>
      <c r="D2445" s="29" t="s">
        <v>948</v>
      </c>
      <c r="E2445" s="92">
        <v>7410657</v>
      </c>
      <c r="F2445" s="89" t="s">
        <v>1024</v>
      </c>
      <c r="G2445" s="29" t="s">
        <v>9267</v>
      </c>
    </row>
    <row r="2446" spans="1:7">
      <c r="A2446" s="33">
        <v>44361</v>
      </c>
      <c r="B2446" s="29" t="s">
        <v>950</v>
      </c>
      <c r="C2446" s="29" t="s">
        <v>951</v>
      </c>
      <c r="D2446" s="29" t="s">
        <v>952</v>
      </c>
      <c r="E2446" s="92">
        <v>7400899</v>
      </c>
      <c r="F2446" s="89" t="s">
        <v>6097</v>
      </c>
      <c r="G2446" s="29" t="s">
        <v>8945</v>
      </c>
    </row>
    <row r="2447" spans="1:7">
      <c r="A2447" s="33">
        <v>44362</v>
      </c>
      <c r="B2447" s="29" t="s">
        <v>9414</v>
      </c>
      <c r="C2447" s="29" t="s">
        <v>9415</v>
      </c>
      <c r="D2447" s="29" t="s">
        <v>9416</v>
      </c>
      <c r="E2447" s="92">
        <v>7397797</v>
      </c>
      <c r="F2447" s="89" t="s">
        <v>4107</v>
      </c>
      <c r="G2447" s="29" t="s">
        <v>9417</v>
      </c>
    </row>
    <row r="2448" spans="1:7">
      <c r="A2448" s="33">
        <v>44363</v>
      </c>
      <c r="B2448" s="29" t="s">
        <v>954</v>
      </c>
      <c r="C2448" s="29" t="s">
        <v>955</v>
      </c>
      <c r="D2448" s="29" t="s">
        <v>956</v>
      </c>
      <c r="E2448" s="92">
        <v>7355628</v>
      </c>
      <c r="F2448" s="89" t="s">
        <v>866</v>
      </c>
      <c r="G2448" s="29" t="s">
        <v>9418</v>
      </c>
    </row>
    <row r="2449" spans="1:7">
      <c r="A2449" s="33">
        <v>44364</v>
      </c>
      <c r="B2449" s="29" t="s">
        <v>958</v>
      </c>
      <c r="C2449" s="29" t="s">
        <v>959</v>
      </c>
      <c r="D2449" s="29" t="s">
        <v>960</v>
      </c>
      <c r="E2449" s="92">
        <v>7344884</v>
      </c>
      <c r="F2449" s="89" t="s">
        <v>6085</v>
      </c>
      <c r="G2449" s="29" t="s">
        <v>8911</v>
      </c>
    </row>
    <row r="2450" spans="1:7">
      <c r="A2450" s="33">
        <v>44365</v>
      </c>
      <c r="B2450" s="29" t="s">
        <v>962</v>
      </c>
      <c r="C2450" s="29" t="s">
        <v>963</v>
      </c>
      <c r="D2450" s="29" t="s">
        <v>964</v>
      </c>
      <c r="E2450" s="92">
        <v>7343896</v>
      </c>
      <c r="F2450" s="89" t="s">
        <v>6080</v>
      </c>
      <c r="G2450" s="29" t="s">
        <v>8894</v>
      </c>
    </row>
    <row r="2451" spans="1:7">
      <c r="A2451" s="33">
        <v>44366</v>
      </c>
      <c r="B2451" s="29" t="s">
        <v>966</v>
      </c>
      <c r="C2451" s="29" t="s">
        <v>967</v>
      </c>
      <c r="D2451" s="29" t="s">
        <v>968</v>
      </c>
      <c r="E2451" s="92">
        <v>7334099</v>
      </c>
      <c r="F2451" s="89" t="s">
        <v>4104</v>
      </c>
      <c r="G2451" s="29" t="s">
        <v>8927</v>
      </c>
    </row>
    <row r="2452" spans="1:7">
      <c r="A2452" s="33">
        <v>44367</v>
      </c>
      <c r="B2452" s="29" t="s">
        <v>970</v>
      </c>
      <c r="C2452" s="29" t="s">
        <v>971</v>
      </c>
      <c r="D2452" s="29" t="s">
        <v>972</v>
      </c>
      <c r="E2452" s="92">
        <v>7322532</v>
      </c>
      <c r="F2452" s="89" t="s">
        <v>4119</v>
      </c>
      <c r="G2452" s="29" t="s">
        <v>9419</v>
      </c>
    </row>
    <row r="2453" spans="1:7">
      <c r="A2453" s="33">
        <v>44368</v>
      </c>
      <c r="B2453" s="29" t="s">
        <v>974</v>
      </c>
      <c r="C2453" s="29" t="s">
        <v>975</v>
      </c>
      <c r="D2453" s="29" t="s">
        <v>976</v>
      </c>
      <c r="E2453" s="92">
        <v>7321988</v>
      </c>
      <c r="F2453" s="89" t="s">
        <v>1013</v>
      </c>
      <c r="G2453" s="29" t="s">
        <v>9298</v>
      </c>
    </row>
    <row r="2454" spans="1:7">
      <c r="A2454" s="33">
        <v>44369</v>
      </c>
      <c r="B2454" s="29" t="s">
        <v>978</v>
      </c>
      <c r="C2454" s="29" t="s">
        <v>979</v>
      </c>
      <c r="D2454" s="29" t="s">
        <v>980</v>
      </c>
      <c r="E2454" s="92">
        <v>7320146</v>
      </c>
      <c r="F2454" s="89" t="s">
        <v>4115</v>
      </c>
      <c r="G2454" s="29" t="s">
        <v>9420</v>
      </c>
    </row>
    <row r="2455" spans="1:7">
      <c r="A2455" s="33">
        <v>44370</v>
      </c>
      <c r="B2455" s="29" t="s">
        <v>982</v>
      </c>
      <c r="C2455" s="29" t="s">
        <v>983</v>
      </c>
      <c r="D2455" s="29" t="s">
        <v>984</v>
      </c>
      <c r="E2455" s="92">
        <v>7302089</v>
      </c>
      <c r="F2455" s="89" t="s">
        <v>4111</v>
      </c>
      <c r="G2455" s="29" t="s">
        <v>9362</v>
      </c>
    </row>
    <row r="2456" spans="1:7">
      <c r="A2456" s="33">
        <v>44371</v>
      </c>
      <c r="B2456" s="29" t="s">
        <v>986</v>
      </c>
      <c r="C2456" s="29" t="s">
        <v>987</v>
      </c>
      <c r="D2456" s="29" t="s">
        <v>988</v>
      </c>
      <c r="E2456" s="92">
        <v>7296578</v>
      </c>
      <c r="F2456" s="89" t="s">
        <v>6053</v>
      </c>
      <c r="G2456" s="29" t="s">
        <v>9410</v>
      </c>
    </row>
    <row r="2457" spans="1:7">
      <c r="A2457" s="33">
        <v>44372</v>
      </c>
      <c r="B2457" s="29" t="s">
        <v>990</v>
      </c>
      <c r="C2457" s="29" t="s">
        <v>991</v>
      </c>
      <c r="D2457" s="29" t="s">
        <v>992</v>
      </c>
      <c r="E2457" s="92">
        <v>7292995</v>
      </c>
      <c r="F2457" s="89" t="s">
        <v>6048</v>
      </c>
      <c r="G2457" s="29" t="s">
        <v>9421</v>
      </c>
    </row>
    <row r="2458" spans="1:7">
      <c r="A2458" s="33">
        <v>44373</v>
      </c>
      <c r="B2458" s="29" t="s">
        <v>994</v>
      </c>
      <c r="C2458" s="29" t="s">
        <v>995</v>
      </c>
      <c r="D2458" s="29" t="s">
        <v>996</v>
      </c>
      <c r="E2458" s="92">
        <v>7290088</v>
      </c>
      <c r="F2458" s="89" t="s">
        <v>1028</v>
      </c>
      <c r="G2458" s="29" t="s">
        <v>8902</v>
      </c>
    </row>
    <row r="2459" spans="1:7">
      <c r="A2459" s="33">
        <v>44374</v>
      </c>
      <c r="B2459" s="29" t="s">
        <v>998</v>
      </c>
      <c r="C2459" s="29" t="s">
        <v>999</v>
      </c>
      <c r="D2459" s="29" t="s">
        <v>1000</v>
      </c>
      <c r="E2459" s="92">
        <v>7276803</v>
      </c>
      <c r="F2459" s="89" t="s">
        <v>1103</v>
      </c>
      <c r="G2459" s="29" t="s">
        <v>9159</v>
      </c>
    </row>
    <row r="2460" spans="1:7">
      <c r="A2460" s="33">
        <v>44375</v>
      </c>
      <c r="B2460" s="29" t="s">
        <v>1002</v>
      </c>
      <c r="C2460" s="29" t="s">
        <v>1003</v>
      </c>
      <c r="D2460" s="29" t="s">
        <v>1004</v>
      </c>
      <c r="E2460" s="92">
        <v>7275156</v>
      </c>
      <c r="F2460" s="89" t="s">
        <v>4100</v>
      </c>
      <c r="G2460" s="29" t="s">
        <v>4778</v>
      </c>
    </row>
    <row r="2461" spans="1:7">
      <c r="A2461" s="33">
        <v>44376</v>
      </c>
      <c r="B2461" s="29" t="s">
        <v>1006</v>
      </c>
      <c r="C2461" s="29" t="s">
        <v>1007</v>
      </c>
      <c r="D2461" s="29" t="s">
        <v>1008</v>
      </c>
      <c r="E2461" s="92">
        <v>7271208</v>
      </c>
      <c r="F2461" s="89" t="s">
        <v>4123</v>
      </c>
      <c r="G2461" s="29" t="s">
        <v>4778</v>
      </c>
    </row>
    <row r="2462" spans="1:7">
      <c r="A2462" s="33">
        <v>44377</v>
      </c>
      <c r="B2462" s="29" t="s">
        <v>1010</v>
      </c>
      <c r="C2462" s="29" t="s">
        <v>1011</v>
      </c>
      <c r="D2462" s="29" t="s">
        <v>1012</v>
      </c>
      <c r="E2462" s="92">
        <v>7269685</v>
      </c>
      <c r="F2462" s="89" t="s">
        <v>2122</v>
      </c>
      <c r="G2462" s="29" t="s">
        <v>8930</v>
      </c>
    </row>
    <row r="2463" spans="1:7">
      <c r="A2463" s="33">
        <v>44378</v>
      </c>
      <c r="B2463" s="29" t="s">
        <v>1014</v>
      </c>
      <c r="C2463" s="29" t="s">
        <v>1014</v>
      </c>
      <c r="D2463" s="29" t="s">
        <v>1015</v>
      </c>
      <c r="E2463" s="92">
        <v>7257665</v>
      </c>
      <c r="F2463" s="89" t="s">
        <v>9422</v>
      </c>
      <c r="G2463" s="29" t="s">
        <v>4778</v>
      </c>
    </row>
    <row r="2464" spans="1:7">
      <c r="A2464" s="33">
        <v>44379</v>
      </c>
      <c r="B2464" s="29" t="s">
        <v>1017</v>
      </c>
      <c r="C2464" s="29" t="s">
        <v>1018</v>
      </c>
      <c r="D2464" s="29" t="s">
        <v>1019</v>
      </c>
      <c r="E2464" s="92">
        <v>7252035</v>
      </c>
      <c r="F2464" s="89" t="s">
        <v>4151</v>
      </c>
      <c r="G2464" s="29" t="s">
        <v>8898</v>
      </c>
    </row>
    <row r="2465" spans="1:7">
      <c r="A2465" s="33">
        <v>44380</v>
      </c>
      <c r="B2465" s="29" t="s">
        <v>1021</v>
      </c>
      <c r="C2465" s="29" t="s">
        <v>1022</v>
      </c>
      <c r="D2465" s="29" t="s">
        <v>1023</v>
      </c>
      <c r="E2465" s="92">
        <v>7243134</v>
      </c>
      <c r="F2465" s="89" t="s">
        <v>425</v>
      </c>
      <c r="G2465" s="29" t="s">
        <v>8832</v>
      </c>
    </row>
    <row r="2466" spans="1:7">
      <c r="A2466" s="33">
        <v>44381</v>
      </c>
      <c r="B2466" s="29" t="s">
        <v>1025</v>
      </c>
      <c r="C2466" s="29" t="s">
        <v>1026</v>
      </c>
      <c r="D2466" s="29" t="s">
        <v>1027</v>
      </c>
      <c r="E2466" s="92">
        <v>7238967</v>
      </c>
      <c r="F2466" s="89" t="s">
        <v>917</v>
      </c>
      <c r="G2466" s="29" t="s">
        <v>8514</v>
      </c>
    </row>
    <row r="2467" spans="1:7">
      <c r="A2467" s="33">
        <v>44382</v>
      </c>
      <c r="B2467" s="29" t="s">
        <v>9423</v>
      </c>
      <c r="C2467" s="29" t="s">
        <v>4778</v>
      </c>
      <c r="D2467" s="29" t="s">
        <v>9424</v>
      </c>
      <c r="E2467" s="92">
        <v>7218816</v>
      </c>
      <c r="F2467" s="89" t="s">
        <v>945</v>
      </c>
      <c r="G2467" s="29" t="s">
        <v>8473</v>
      </c>
    </row>
    <row r="2468" spans="1:7">
      <c r="A2468" s="33">
        <v>44383</v>
      </c>
      <c r="B2468" s="29" t="s">
        <v>1029</v>
      </c>
      <c r="C2468" s="29" t="s">
        <v>1030</v>
      </c>
      <c r="D2468" s="29" t="s">
        <v>1031</v>
      </c>
      <c r="E2468" s="92">
        <v>7218371</v>
      </c>
      <c r="F2468" s="89" t="s">
        <v>390</v>
      </c>
      <c r="G2468" s="29" t="s">
        <v>9425</v>
      </c>
    </row>
    <row r="2469" spans="1:7">
      <c r="A2469" s="33">
        <v>44384</v>
      </c>
      <c r="B2469" s="29" t="s">
        <v>1033</v>
      </c>
      <c r="C2469" s="29" t="s">
        <v>1034</v>
      </c>
      <c r="D2469" s="29" t="s">
        <v>1035</v>
      </c>
      <c r="E2469" s="92">
        <v>7217427</v>
      </c>
      <c r="F2469" s="89" t="s">
        <v>969</v>
      </c>
      <c r="G2469" s="29" t="s">
        <v>9426</v>
      </c>
    </row>
    <row r="2470" spans="1:7">
      <c r="A2470" s="33">
        <v>44385</v>
      </c>
      <c r="B2470" s="29" t="s">
        <v>1037</v>
      </c>
      <c r="C2470" s="29" t="s">
        <v>1038</v>
      </c>
      <c r="D2470" s="29" t="s">
        <v>1039</v>
      </c>
      <c r="E2470" s="92">
        <v>7204771</v>
      </c>
      <c r="F2470" s="89" t="s">
        <v>4127</v>
      </c>
      <c r="G2470" s="29" t="s">
        <v>8839</v>
      </c>
    </row>
    <row r="2471" spans="1:7">
      <c r="A2471" s="33">
        <v>44386</v>
      </c>
      <c r="B2471" s="29" t="s">
        <v>1041</v>
      </c>
      <c r="C2471" s="29" t="s">
        <v>1042</v>
      </c>
      <c r="D2471" s="29" t="s">
        <v>1043</v>
      </c>
      <c r="E2471" s="92">
        <v>7202844</v>
      </c>
      <c r="F2471" s="89" t="s">
        <v>894</v>
      </c>
      <c r="G2471" s="29" t="s">
        <v>9024</v>
      </c>
    </row>
    <row r="2472" spans="1:7">
      <c r="A2472" s="33">
        <v>44387</v>
      </c>
      <c r="B2472" s="29" t="s">
        <v>1045</v>
      </c>
      <c r="C2472" s="29" t="s">
        <v>1046</v>
      </c>
      <c r="D2472" s="29" t="s">
        <v>1047</v>
      </c>
      <c r="E2472" s="92">
        <v>7200174</v>
      </c>
      <c r="F2472" s="89" t="s">
        <v>886</v>
      </c>
      <c r="G2472" s="29" t="s">
        <v>8808</v>
      </c>
    </row>
    <row r="2473" spans="1:7">
      <c r="A2473" s="33">
        <v>44388</v>
      </c>
      <c r="B2473" s="29" t="s">
        <v>1049</v>
      </c>
      <c r="C2473" s="29" t="s">
        <v>1050</v>
      </c>
      <c r="D2473" s="29" t="s">
        <v>1051</v>
      </c>
      <c r="E2473" s="92">
        <v>7193599</v>
      </c>
      <c r="F2473" s="89" t="s">
        <v>973</v>
      </c>
      <c r="G2473" s="29" t="s">
        <v>9427</v>
      </c>
    </row>
    <row r="2474" spans="1:7">
      <c r="A2474" s="33">
        <v>44389</v>
      </c>
      <c r="B2474" s="29" t="s">
        <v>1053</v>
      </c>
      <c r="C2474" s="29" t="s">
        <v>1054</v>
      </c>
      <c r="D2474" s="29" t="s">
        <v>1055</v>
      </c>
      <c r="E2474" s="92">
        <v>7191159</v>
      </c>
      <c r="F2474" s="89" t="s">
        <v>5988</v>
      </c>
      <c r="G2474" s="29" t="s">
        <v>8779</v>
      </c>
    </row>
    <row r="2475" spans="1:7">
      <c r="A2475" s="33">
        <v>44390</v>
      </c>
      <c r="B2475" s="29" t="s">
        <v>1057</v>
      </c>
      <c r="C2475" s="29" t="s">
        <v>1058</v>
      </c>
      <c r="D2475" s="29" t="s">
        <v>1059</v>
      </c>
      <c r="E2475" s="92">
        <v>7189425</v>
      </c>
      <c r="F2475" s="89" t="s">
        <v>965</v>
      </c>
      <c r="G2475" s="29" t="s">
        <v>8787</v>
      </c>
    </row>
    <row r="2476" spans="1:7">
      <c r="A2476" s="33">
        <v>44391</v>
      </c>
      <c r="B2476" s="29" t="s">
        <v>1061</v>
      </c>
      <c r="C2476" s="29" t="s">
        <v>1062</v>
      </c>
      <c r="D2476" s="29" t="s">
        <v>1063</v>
      </c>
      <c r="E2476" s="92">
        <v>7176415</v>
      </c>
      <c r="F2476" s="89" t="s">
        <v>414</v>
      </c>
      <c r="G2476" s="29" t="s">
        <v>8812</v>
      </c>
    </row>
    <row r="2477" spans="1:7">
      <c r="A2477" s="33">
        <v>44392</v>
      </c>
      <c r="B2477" s="29" t="s">
        <v>1065</v>
      </c>
      <c r="C2477" s="29" t="s">
        <v>1066</v>
      </c>
      <c r="D2477" s="29" t="s">
        <v>1067</v>
      </c>
      <c r="E2477" s="92">
        <v>7152302</v>
      </c>
      <c r="F2477" s="89" t="s">
        <v>4178</v>
      </c>
      <c r="G2477" s="29" t="s">
        <v>8397</v>
      </c>
    </row>
    <row r="2478" spans="1:7">
      <c r="A2478" s="33">
        <v>44393</v>
      </c>
      <c r="B2478" s="29" t="s">
        <v>1069</v>
      </c>
      <c r="C2478" s="29" t="s">
        <v>1070</v>
      </c>
      <c r="D2478" s="29" t="s">
        <v>1071</v>
      </c>
      <c r="E2478" s="92">
        <v>7146134</v>
      </c>
      <c r="F2478" s="89" t="s">
        <v>5973</v>
      </c>
      <c r="G2478" s="29" t="s">
        <v>8978</v>
      </c>
    </row>
    <row r="2479" spans="1:7">
      <c r="A2479" s="33">
        <v>44394</v>
      </c>
      <c r="B2479" s="29" t="s">
        <v>9428</v>
      </c>
      <c r="C2479" s="29" t="s">
        <v>9429</v>
      </c>
      <c r="D2479" s="29" t="s">
        <v>9430</v>
      </c>
      <c r="E2479" s="92">
        <v>7124674</v>
      </c>
      <c r="F2479" s="89" t="s">
        <v>921</v>
      </c>
      <c r="G2479" s="29" t="s">
        <v>6815</v>
      </c>
    </row>
    <row r="2480" spans="1:7">
      <c r="A2480" s="33">
        <v>44395</v>
      </c>
      <c r="B2480" s="29" t="s">
        <v>1073</v>
      </c>
      <c r="C2480" s="29">
        <v>32399</v>
      </c>
      <c r="D2480" s="29" t="s">
        <v>1075</v>
      </c>
      <c r="E2480" s="92">
        <v>7117208</v>
      </c>
      <c r="F2480" s="89" t="s">
        <v>1009</v>
      </c>
      <c r="G2480" s="29" t="s">
        <v>6818</v>
      </c>
    </row>
    <row r="2481" spans="1:7">
      <c r="A2481" s="33">
        <v>44396</v>
      </c>
      <c r="B2481" s="29" t="s">
        <v>1077</v>
      </c>
      <c r="C2481" s="29" t="s">
        <v>1078</v>
      </c>
      <c r="D2481" s="29" t="s">
        <v>1079</v>
      </c>
      <c r="E2481" s="92">
        <v>7116804</v>
      </c>
      <c r="F2481" s="89" t="s">
        <v>5960</v>
      </c>
      <c r="G2481" s="29" t="s">
        <v>8974</v>
      </c>
    </row>
    <row r="2482" spans="1:7">
      <c r="A2482" s="33">
        <v>44397</v>
      </c>
      <c r="B2482" s="29" t="s">
        <v>1081</v>
      </c>
      <c r="C2482" s="29" t="s">
        <v>1082</v>
      </c>
      <c r="D2482" s="29" t="s">
        <v>1083</v>
      </c>
      <c r="E2482" s="92">
        <v>7096185</v>
      </c>
      <c r="F2482" s="89" t="s">
        <v>2118</v>
      </c>
      <c r="G2482" s="29" t="s">
        <v>8782</v>
      </c>
    </row>
    <row r="2483" spans="1:7">
      <c r="A2483" s="33">
        <v>44398</v>
      </c>
      <c r="B2483" s="29" t="s">
        <v>1085</v>
      </c>
      <c r="C2483" s="29" t="s">
        <v>1086</v>
      </c>
      <c r="D2483" s="29" t="s">
        <v>1087</v>
      </c>
      <c r="E2483" s="92">
        <v>7047917</v>
      </c>
      <c r="F2483" s="89" t="s">
        <v>421</v>
      </c>
      <c r="G2483" s="29" t="s">
        <v>8559</v>
      </c>
    </row>
    <row r="2484" spans="1:7">
      <c r="A2484" s="33">
        <v>44399</v>
      </c>
      <c r="B2484" s="29" t="s">
        <v>1089</v>
      </c>
      <c r="C2484" s="29" t="s">
        <v>1090</v>
      </c>
      <c r="D2484" s="29" t="s">
        <v>1091</v>
      </c>
      <c r="E2484" s="92">
        <v>6972372</v>
      </c>
      <c r="F2484" s="89" t="s">
        <v>4159</v>
      </c>
      <c r="G2484" s="29" t="s">
        <v>8765</v>
      </c>
    </row>
    <row r="2485" spans="1:7">
      <c r="A2485" s="33">
        <v>44400</v>
      </c>
      <c r="B2485" s="29" t="s">
        <v>1093</v>
      </c>
      <c r="C2485" s="29" t="s">
        <v>1094</v>
      </c>
      <c r="D2485" s="29" t="s">
        <v>1095</v>
      </c>
      <c r="E2485" s="92">
        <v>6971092</v>
      </c>
      <c r="F2485" s="89" t="s">
        <v>410</v>
      </c>
      <c r="G2485" s="29" t="s">
        <v>8807</v>
      </c>
    </row>
    <row r="2486" spans="1:7">
      <c r="A2486" s="33">
        <v>44401</v>
      </c>
      <c r="B2486" s="29" t="s">
        <v>1096</v>
      </c>
      <c r="C2486" s="29" t="s">
        <v>1097</v>
      </c>
      <c r="D2486" s="29" t="s">
        <v>1098</v>
      </c>
      <c r="E2486" s="92">
        <v>6881958</v>
      </c>
      <c r="F2486" s="89" t="s">
        <v>5940</v>
      </c>
      <c r="G2486" s="29" t="s">
        <v>8756</v>
      </c>
    </row>
    <row r="2487" spans="1:7">
      <c r="A2487" s="33">
        <v>44402</v>
      </c>
      <c r="B2487" s="29" t="s">
        <v>1100</v>
      </c>
      <c r="C2487" s="29" t="s">
        <v>1101</v>
      </c>
      <c r="D2487" s="29" t="s">
        <v>1102</v>
      </c>
      <c r="E2487" s="92">
        <v>6880323</v>
      </c>
      <c r="F2487" s="89" t="s">
        <v>1746</v>
      </c>
      <c r="G2487" s="29" t="s">
        <v>9431</v>
      </c>
    </row>
    <row r="2488" spans="1:7">
      <c r="A2488" s="33">
        <v>44403</v>
      </c>
      <c r="B2488" s="29" t="s">
        <v>1104</v>
      </c>
      <c r="C2488" s="29" t="s">
        <v>1105</v>
      </c>
      <c r="D2488" s="29" t="s">
        <v>1106</v>
      </c>
      <c r="E2488" s="92">
        <v>6867527</v>
      </c>
      <c r="F2488" s="89" t="s">
        <v>5931</v>
      </c>
      <c r="G2488" s="29" t="s">
        <v>8904</v>
      </c>
    </row>
    <row r="2489" spans="1:7">
      <c r="A2489" s="33">
        <v>44404</v>
      </c>
      <c r="B2489" s="29" t="s">
        <v>1108</v>
      </c>
      <c r="C2489" s="29" t="s">
        <v>1109</v>
      </c>
      <c r="D2489" s="29" t="s">
        <v>1110</v>
      </c>
      <c r="E2489" s="92">
        <v>6865493</v>
      </c>
      <c r="F2489" s="89" t="s">
        <v>5926</v>
      </c>
      <c r="G2489" s="29" t="s">
        <v>8525</v>
      </c>
    </row>
    <row r="2490" spans="1:7">
      <c r="A2490" s="33">
        <v>44405</v>
      </c>
      <c r="B2490" s="29" t="s">
        <v>1111</v>
      </c>
      <c r="C2490" s="29" t="s">
        <v>1112</v>
      </c>
      <c r="D2490" s="29" t="s">
        <v>1113</v>
      </c>
      <c r="E2490" s="92">
        <v>6859083</v>
      </c>
      <c r="F2490" s="89" t="s">
        <v>5921</v>
      </c>
      <c r="G2490" s="29" t="s">
        <v>8898</v>
      </c>
    </row>
    <row r="2491" spans="1:7">
      <c r="A2491" s="33">
        <v>44406</v>
      </c>
      <c r="B2491" s="29" t="s">
        <v>1115</v>
      </c>
      <c r="C2491" s="29" t="s">
        <v>1116</v>
      </c>
      <c r="D2491" s="29" t="s">
        <v>1117</v>
      </c>
      <c r="E2491" s="92">
        <v>6845038</v>
      </c>
      <c r="F2491" s="89" t="s">
        <v>1742</v>
      </c>
      <c r="G2491" s="29" t="s">
        <v>9249</v>
      </c>
    </row>
    <row r="2492" spans="1:7">
      <c r="A2492" s="33">
        <v>44407</v>
      </c>
      <c r="B2492" s="29" t="s">
        <v>1119</v>
      </c>
      <c r="C2492" s="29" t="s">
        <v>1120</v>
      </c>
      <c r="D2492" s="29" t="s">
        <v>1121</v>
      </c>
      <c r="E2492" s="92">
        <v>6842428</v>
      </c>
      <c r="F2492" s="89" t="s">
        <v>5913</v>
      </c>
      <c r="G2492" s="29" t="s">
        <v>9410</v>
      </c>
    </row>
    <row r="2493" spans="1:7">
      <c r="A2493" s="33">
        <v>44408</v>
      </c>
      <c r="B2493" s="29" t="s">
        <v>1122</v>
      </c>
      <c r="C2493" s="29" t="s">
        <v>1123</v>
      </c>
      <c r="D2493" s="29" t="s">
        <v>1124</v>
      </c>
      <c r="E2493" s="92">
        <v>6793625</v>
      </c>
      <c r="F2493" s="89" t="s">
        <v>4147</v>
      </c>
      <c r="G2493" s="29" t="s">
        <v>8831</v>
      </c>
    </row>
    <row r="2494" spans="1:7">
      <c r="A2494" s="33">
        <v>44409</v>
      </c>
      <c r="B2494" s="29" t="s">
        <v>9432</v>
      </c>
      <c r="C2494" s="29" t="s">
        <v>9433</v>
      </c>
      <c r="D2494" s="29" t="s">
        <v>9434</v>
      </c>
      <c r="E2494" s="92">
        <v>6791129</v>
      </c>
      <c r="F2494" s="89" t="s">
        <v>2114</v>
      </c>
      <c r="G2494" s="29" t="s">
        <v>8473</v>
      </c>
    </row>
    <row r="2495" spans="1:7">
      <c r="A2495" s="33">
        <v>44410</v>
      </c>
      <c r="B2495" s="29" t="s">
        <v>1126</v>
      </c>
      <c r="C2495" s="29" t="s">
        <v>1127</v>
      </c>
      <c r="D2495" s="29" t="s">
        <v>1128</v>
      </c>
      <c r="E2495" s="92">
        <v>6734804</v>
      </c>
      <c r="F2495" s="89" t="s">
        <v>4167</v>
      </c>
      <c r="G2495" s="29" t="s">
        <v>9218</v>
      </c>
    </row>
    <row r="2496" spans="1:7">
      <c r="A2496" s="33">
        <v>44411</v>
      </c>
      <c r="B2496" s="29" t="s">
        <v>1130</v>
      </c>
      <c r="C2496" s="29" t="s">
        <v>1131</v>
      </c>
      <c r="D2496" s="29" t="s">
        <v>1132</v>
      </c>
      <c r="E2496" s="92">
        <v>6733387</v>
      </c>
      <c r="F2496" s="89" t="s">
        <v>4163</v>
      </c>
      <c r="G2496" s="29" t="s">
        <v>8781</v>
      </c>
    </row>
    <row r="2497" spans="1:7">
      <c r="A2497" s="33">
        <v>44412</v>
      </c>
      <c r="B2497" s="29" t="s">
        <v>1134</v>
      </c>
      <c r="C2497" s="29" t="s">
        <v>1135</v>
      </c>
      <c r="D2497" s="29" t="s">
        <v>1136</v>
      </c>
      <c r="E2497" s="92">
        <v>6681063</v>
      </c>
      <c r="F2497" s="89" t="s">
        <v>418</v>
      </c>
      <c r="G2497" s="29" t="s">
        <v>8478</v>
      </c>
    </row>
    <row r="2498" spans="1:7">
      <c r="A2498" s="33">
        <v>44413</v>
      </c>
      <c r="B2498" s="29" t="s">
        <v>1138</v>
      </c>
      <c r="C2498" s="29" t="s">
        <v>1139</v>
      </c>
      <c r="D2498" s="29">
        <v>37458</v>
      </c>
      <c r="E2498" s="92">
        <v>6640515</v>
      </c>
      <c r="F2498" s="89" t="s">
        <v>1750</v>
      </c>
      <c r="G2498" s="29" t="s">
        <v>8841</v>
      </c>
    </row>
    <row r="2499" spans="1:7">
      <c r="A2499" s="33">
        <v>44414</v>
      </c>
      <c r="B2499" s="29" t="s">
        <v>1142</v>
      </c>
      <c r="C2499" s="29" t="s">
        <v>1143</v>
      </c>
      <c r="D2499" s="29" t="s">
        <v>1144</v>
      </c>
      <c r="E2499" s="92">
        <v>6606776</v>
      </c>
      <c r="F2499" s="89" t="s">
        <v>5886</v>
      </c>
      <c r="G2499" s="29" t="s">
        <v>9169</v>
      </c>
    </row>
    <row r="2500" spans="1:7">
      <c r="A2500" s="33">
        <v>44415</v>
      </c>
      <c r="B2500" s="29" t="s">
        <v>1146</v>
      </c>
      <c r="C2500" s="29" t="s">
        <v>1147</v>
      </c>
      <c r="D2500" s="29" t="s">
        <v>1148</v>
      </c>
      <c r="E2500" s="92">
        <v>6469798</v>
      </c>
      <c r="F2500" s="89" t="s">
        <v>902</v>
      </c>
      <c r="G2500" s="35">
        <v>40000000000</v>
      </c>
    </row>
    <row r="2501" spans="1:7">
      <c r="A2501" s="33">
        <v>44416</v>
      </c>
      <c r="B2501" s="29" t="s">
        <v>9435</v>
      </c>
      <c r="C2501" s="29" t="s">
        <v>9436</v>
      </c>
      <c r="D2501" s="29" t="s">
        <v>9437</v>
      </c>
      <c r="E2501" s="92">
        <v>6429842</v>
      </c>
      <c r="F2501" s="89" t="s">
        <v>4131</v>
      </c>
      <c r="G2501" s="29" t="s">
        <v>9438</v>
      </c>
    </row>
    <row r="2502" spans="1:7">
      <c r="A2502" s="33">
        <v>44417</v>
      </c>
      <c r="B2502" s="29" t="s">
        <v>1150</v>
      </c>
      <c r="C2502" s="29" t="s">
        <v>1151</v>
      </c>
      <c r="D2502" s="29" t="s">
        <v>1152</v>
      </c>
      <c r="E2502" s="92">
        <v>6416315</v>
      </c>
      <c r="F2502" s="89" t="s">
        <v>937</v>
      </c>
      <c r="G2502" s="29" t="s">
        <v>8898</v>
      </c>
    </row>
    <row r="2503" spans="1:7">
      <c r="A2503" s="33">
        <v>44418</v>
      </c>
      <c r="B2503" s="29" t="s">
        <v>1154</v>
      </c>
      <c r="C2503" s="29" t="s">
        <v>1155</v>
      </c>
      <c r="D2503" s="29" t="s">
        <v>1156</v>
      </c>
      <c r="E2503" s="92">
        <v>6378849</v>
      </c>
      <c r="F2503" s="89" t="s">
        <v>5871</v>
      </c>
      <c r="G2503" s="29" t="s">
        <v>9439</v>
      </c>
    </row>
    <row r="2504" spans="1:7">
      <c r="A2504" s="33">
        <v>44419</v>
      </c>
      <c r="B2504" s="29" t="s">
        <v>1158</v>
      </c>
      <c r="C2504" s="29" t="s">
        <v>1159</v>
      </c>
      <c r="D2504" s="29" t="s">
        <v>1160</v>
      </c>
      <c r="E2504" s="92">
        <v>6242194</v>
      </c>
      <c r="F2504" s="89" t="s">
        <v>5866</v>
      </c>
      <c r="G2504" s="29" t="s">
        <v>9440</v>
      </c>
    </row>
    <row r="2505" spans="1:7">
      <c r="A2505" s="33">
        <v>44420</v>
      </c>
      <c r="B2505" s="29" t="s">
        <v>1162</v>
      </c>
      <c r="C2505" s="29" t="s">
        <v>1163</v>
      </c>
      <c r="D2505" s="29" t="s">
        <v>1164</v>
      </c>
      <c r="E2505" s="92">
        <v>6191193</v>
      </c>
      <c r="F2505" s="89" t="s">
        <v>371</v>
      </c>
      <c r="G2505" s="29" t="s">
        <v>9134</v>
      </c>
    </row>
    <row r="2506" spans="1:7">
      <c r="A2506" s="33">
        <v>44421</v>
      </c>
      <c r="B2506" s="29" t="s">
        <v>1166</v>
      </c>
      <c r="C2506" s="29" t="s">
        <v>1167</v>
      </c>
      <c r="D2506" s="29" t="s">
        <v>1168</v>
      </c>
      <c r="E2506" s="92">
        <v>6185066</v>
      </c>
      <c r="F2506" s="89" t="s">
        <v>406</v>
      </c>
      <c r="G2506" s="29" t="s">
        <v>8819</v>
      </c>
    </row>
    <row r="2507" spans="1:7">
      <c r="A2507" s="33">
        <v>44422</v>
      </c>
      <c r="B2507" s="29" t="s">
        <v>1170</v>
      </c>
      <c r="C2507" s="29" t="s">
        <v>1171</v>
      </c>
      <c r="D2507" s="29" t="s">
        <v>1172</v>
      </c>
      <c r="E2507" s="92">
        <v>6174529</v>
      </c>
      <c r="F2507" s="89" t="s">
        <v>1758</v>
      </c>
      <c r="G2507" s="29" t="s">
        <v>8927</v>
      </c>
    </row>
    <row r="2508" spans="1:7">
      <c r="A2508" s="33">
        <v>44423</v>
      </c>
      <c r="B2508" s="29" t="s">
        <v>1174</v>
      </c>
      <c r="C2508" s="29" t="s">
        <v>1175</v>
      </c>
      <c r="D2508" s="29" t="s">
        <v>1176</v>
      </c>
      <c r="E2508" s="92">
        <v>5982458</v>
      </c>
      <c r="F2508" s="89" t="s">
        <v>913</v>
      </c>
      <c r="G2508" s="29" t="s">
        <v>8539</v>
      </c>
    </row>
    <row r="2509" spans="1:7">
      <c r="A2509" s="33">
        <v>44424</v>
      </c>
      <c r="B2509" s="29" t="s">
        <v>1178</v>
      </c>
      <c r="C2509" s="29" t="s">
        <v>1179</v>
      </c>
      <c r="D2509" s="29" t="s">
        <v>1180</v>
      </c>
      <c r="E2509" s="92">
        <v>5922043</v>
      </c>
      <c r="F2509" s="89" t="s">
        <v>5846</v>
      </c>
      <c r="G2509" s="29" t="s">
        <v>8912</v>
      </c>
    </row>
    <row r="2510" spans="1:7">
      <c r="A2510" s="33">
        <v>44425</v>
      </c>
      <c r="B2510" s="29" t="s">
        <v>1182</v>
      </c>
      <c r="C2510" s="29" t="s">
        <v>1183</v>
      </c>
      <c r="D2510" s="29" t="s">
        <v>1184</v>
      </c>
      <c r="E2510" s="92">
        <v>5831167</v>
      </c>
      <c r="F2510" s="89" t="s">
        <v>476</v>
      </c>
      <c r="G2510" s="29" t="s">
        <v>9439</v>
      </c>
    </row>
    <row r="2511" spans="1:7">
      <c r="A2511" s="33">
        <v>44426</v>
      </c>
      <c r="B2511" s="29" t="s">
        <v>9441</v>
      </c>
      <c r="C2511" s="29" t="s">
        <v>9442</v>
      </c>
      <c r="D2511" s="29" t="s">
        <v>9443</v>
      </c>
      <c r="E2511" s="92">
        <v>5830255</v>
      </c>
      <c r="F2511" s="89" t="s">
        <v>1786</v>
      </c>
      <c r="G2511" s="29" t="s">
        <v>9444</v>
      </c>
    </row>
    <row r="2512" spans="1:7">
      <c r="A2512" s="33">
        <v>44427</v>
      </c>
      <c r="B2512" s="29" t="s">
        <v>1186</v>
      </c>
      <c r="C2512" s="29" t="s">
        <v>1187</v>
      </c>
      <c r="D2512" s="29" t="s">
        <v>1188</v>
      </c>
      <c r="E2512" s="92">
        <v>5829501</v>
      </c>
      <c r="F2512" s="89" t="s">
        <v>5835</v>
      </c>
      <c r="G2512" s="29" t="s">
        <v>9445</v>
      </c>
    </row>
    <row r="2513" spans="1:7">
      <c r="A2513" s="33">
        <v>44428</v>
      </c>
      <c r="B2513" s="29" t="s">
        <v>1190</v>
      </c>
      <c r="C2513" s="29" t="s">
        <v>1191</v>
      </c>
      <c r="D2513" s="29" t="s">
        <v>1192</v>
      </c>
      <c r="E2513" s="92">
        <v>5795708</v>
      </c>
      <c r="F2513" s="89" t="s">
        <v>4143</v>
      </c>
      <c r="G2513" s="29" t="s">
        <v>8891</v>
      </c>
    </row>
    <row r="2514" spans="1:7">
      <c r="A2514" s="33">
        <v>44429</v>
      </c>
      <c r="B2514" s="29" t="s">
        <v>1194</v>
      </c>
      <c r="C2514" s="29" t="s">
        <v>1195</v>
      </c>
      <c r="D2514" s="29" t="s">
        <v>1196</v>
      </c>
      <c r="E2514" s="92">
        <v>5746807</v>
      </c>
      <c r="F2514" s="89" t="s">
        <v>1856</v>
      </c>
      <c r="G2514" s="29" t="s">
        <v>9446</v>
      </c>
    </row>
    <row r="2515" spans="1:7">
      <c r="A2515" s="33">
        <v>44430</v>
      </c>
      <c r="B2515" s="29" t="s">
        <v>1198</v>
      </c>
      <c r="C2515" s="29" t="s">
        <v>1199</v>
      </c>
      <c r="D2515" s="29" t="s">
        <v>1200</v>
      </c>
      <c r="E2515" s="92">
        <v>5572362</v>
      </c>
      <c r="F2515" s="89" t="s">
        <v>4139</v>
      </c>
      <c r="G2515" s="29" t="s">
        <v>8478</v>
      </c>
    </row>
    <row r="2516" spans="1:7">
      <c r="A2516" s="33">
        <v>44431</v>
      </c>
      <c r="B2516" s="29" t="s">
        <v>9447</v>
      </c>
      <c r="C2516" s="29" t="s">
        <v>9448</v>
      </c>
      <c r="D2516" s="29" t="s">
        <v>9449</v>
      </c>
      <c r="E2516" s="92">
        <v>5563707</v>
      </c>
      <c r="F2516" s="89" t="s">
        <v>1762</v>
      </c>
      <c r="G2516" s="29" t="s">
        <v>9440</v>
      </c>
    </row>
    <row r="2517" spans="1:7">
      <c r="A2517" s="33">
        <v>44432</v>
      </c>
      <c r="B2517" s="29" t="s">
        <v>1202</v>
      </c>
      <c r="C2517" s="29" t="s">
        <v>1203</v>
      </c>
      <c r="D2517" s="29" t="s">
        <v>1204</v>
      </c>
      <c r="E2517" s="92">
        <v>5505284</v>
      </c>
      <c r="F2517" s="89" t="s">
        <v>1788</v>
      </c>
      <c r="G2517" s="29" t="s">
        <v>9003</v>
      </c>
    </row>
    <row r="2518" spans="1:7">
      <c r="A2518" s="33">
        <v>44433</v>
      </c>
      <c r="B2518" s="29" t="s">
        <v>1206</v>
      </c>
      <c r="C2518" s="29" t="s">
        <v>1207</v>
      </c>
      <c r="D2518" s="29" t="s">
        <v>1208</v>
      </c>
      <c r="E2518" s="92">
        <v>5464867</v>
      </c>
      <c r="F2518" s="89" t="s">
        <v>4202</v>
      </c>
      <c r="G2518" s="29" t="s">
        <v>8772</v>
      </c>
    </row>
    <row r="2519" spans="1:7">
      <c r="A2519" s="33">
        <v>44434</v>
      </c>
      <c r="B2519" s="29" t="s">
        <v>1210</v>
      </c>
      <c r="C2519" s="29" t="s">
        <v>1211</v>
      </c>
      <c r="D2519" s="29" t="s">
        <v>1212</v>
      </c>
      <c r="E2519" s="92">
        <v>5402697</v>
      </c>
      <c r="F2519" s="89" t="s">
        <v>4186</v>
      </c>
      <c r="G2519" s="29" t="s">
        <v>8968</v>
      </c>
    </row>
    <row r="2520" spans="1:7">
      <c r="A2520" s="33">
        <v>44435</v>
      </c>
      <c r="B2520" s="29" t="s">
        <v>1214</v>
      </c>
      <c r="C2520" s="29" t="s">
        <v>1215</v>
      </c>
      <c r="D2520" s="29" t="s">
        <v>1216</v>
      </c>
      <c r="E2520" s="92">
        <v>5399365</v>
      </c>
      <c r="F2520" s="89" t="s">
        <v>1864</v>
      </c>
      <c r="G2520" s="29" t="s">
        <v>8844</v>
      </c>
    </row>
    <row r="2521" spans="1:7">
      <c r="A2521" s="33">
        <v>44436</v>
      </c>
      <c r="B2521" s="29" t="s">
        <v>1218</v>
      </c>
      <c r="C2521" s="29" t="s">
        <v>1219</v>
      </c>
      <c r="D2521" s="29" t="s">
        <v>1220</v>
      </c>
      <c r="E2521" s="92">
        <v>5392315</v>
      </c>
      <c r="F2521" s="89" t="s">
        <v>5807</v>
      </c>
      <c r="G2521" s="29" t="s">
        <v>8567</v>
      </c>
    </row>
    <row r="2522" spans="1:7">
      <c r="A2522" s="33">
        <v>44437</v>
      </c>
      <c r="B2522" s="29" t="s">
        <v>1222</v>
      </c>
      <c r="C2522" s="29" t="s">
        <v>1223</v>
      </c>
      <c r="D2522" s="29" t="s">
        <v>1224</v>
      </c>
      <c r="E2522" s="92">
        <v>5350727</v>
      </c>
      <c r="F2522" s="89" t="s">
        <v>4135</v>
      </c>
      <c r="G2522" s="29" t="s">
        <v>8460</v>
      </c>
    </row>
    <row r="2523" spans="1:7">
      <c r="A2523" s="33">
        <v>44438</v>
      </c>
      <c r="B2523" s="29" t="s">
        <v>1226</v>
      </c>
      <c r="C2523" s="29" t="s">
        <v>1227</v>
      </c>
      <c r="D2523" s="29" t="s">
        <v>1228</v>
      </c>
      <c r="E2523" s="92">
        <v>5337886</v>
      </c>
      <c r="F2523" s="89" t="s">
        <v>398</v>
      </c>
      <c r="G2523" s="29" t="s">
        <v>8806</v>
      </c>
    </row>
    <row r="2524" spans="1:7">
      <c r="A2524" s="33">
        <v>44439</v>
      </c>
      <c r="B2524" s="29" t="s">
        <v>1230</v>
      </c>
      <c r="C2524" s="29" t="s">
        <v>1231</v>
      </c>
      <c r="D2524" s="29" t="s">
        <v>1232</v>
      </c>
      <c r="E2524" s="92">
        <v>5314531</v>
      </c>
      <c r="F2524" s="89" t="s">
        <v>898</v>
      </c>
      <c r="G2524" s="29" t="s">
        <v>8891</v>
      </c>
    </row>
    <row r="2525" spans="1:7">
      <c r="A2525" s="33">
        <v>44440</v>
      </c>
      <c r="B2525" s="29" t="s">
        <v>1234</v>
      </c>
      <c r="C2525" s="29" t="s">
        <v>1235</v>
      </c>
      <c r="D2525" s="29" t="s">
        <v>1236</v>
      </c>
      <c r="E2525" s="92">
        <v>5303813</v>
      </c>
      <c r="F2525" s="89" t="s">
        <v>941</v>
      </c>
      <c r="G2525" s="29" t="s">
        <v>8973</v>
      </c>
    </row>
    <row r="2526" spans="1:7">
      <c r="A2526" s="33">
        <v>44441</v>
      </c>
      <c r="B2526" s="29" t="s">
        <v>1238</v>
      </c>
      <c r="C2526" s="29" t="s">
        <v>1239</v>
      </c>
      <c r="D2526" s="29" t="s">
        <v>1240</v>
      </c>
      <c r="E2526" s="92">
        <v>5298386</v>
      </c>
      <c r="F2526" s="89" t="s">
        <v>1107</v>
      </c>
      <c r="G2526" s="29" t="s">
        <v>9450</v>
      </c>
    </row>
    <row r="2527" spans="1:7">
      <c r="A2527" s="33">
        <v>44442</v>
      </c>
      <c r="B2527" s="29" t="s">
        <v>1242</v>
      </c>
      <c r="C2527" s="29" t="s">
        <v>1243</v>
      </c>
      <c r="D2527" s="29" t="s">
        <v>1244</v>
      </c>
      <c r="E2527" s="92">
        <v>5289771</v>
      </c>
      <c r="F2527" s="89" t="s">
        <v>933</v>
      </c>
      <c r="G2527" s="29" t="s">
        <v>9408</v>
      </c>
    </row>
    <row r="2528" spans="1:7">
      <c r="A2528" s="33">
        <v>44443</v>
      </c>
      <c r="B2528" s="29" t="s">
        <v>1246</v>
      </c>
      <c r="C2528" s="29" t="s">
        <v>1247</v>
      </c>
      <c r="D2528" s="29" t="s">
        <v>1248</v>
      </c>
      <c r="E2528" s="92">
        <v>5285139</v>
      </c>
      <c r="F2528" s="89" t="s">
        <v>4171</v>
      </c>
      <c r="G2528" s="29" t="s">
        <v>9451</v>
      </c>
    </row>
    <row r="2529" spans="1:7">
      <c r="A2529" s="33">
        <v>44444</v>
      </c>
      <c r="B2529" s="29" t="s">
        <v>9452</v>
      </c>
      <c r="C2529" s="29" t="s">
        <v>9453</v>
      </c>
      <c r="D2529" s="29" t="s">
        <v>9454</v>
      </c>
      <c r="E2529" s="92">
        <v>5279348</v>
      </c>
      <c r="F2529" s="89" t="s">
        <v>5778</v>
      </c>
      <c r="G2529" s="29" t="s">
        <v>9231</v>
      </c>
    </row>
    <row r="2530" spans="1:7">
      <c r="A2530" s="33">
        <v>44445</v>
      </c>
      <c r="B2530" s="29">
        <v>51769</v>
      </c>
      <c r="C2530" s="29" t="s">
        <v>1251</v>
      </c>
      <c r="D2530" s="29" t="s">
        <v>1252</v>
      </c>
      <c r="E2530" s="92">
        <v>5268291</v>
      </c>
      <c r="F2530" s="89" t="s">
        <v>5774</v>
      </c>
      <c r="G2530" s="29" t="s">
        <v>9243</v>
      </c>
    </row>
    <row r="2531" spans="1:7">
      <c r="A2531" s="33">
        <v>44446</v>
      </c>
      <c r="B2531" s="29" t="s">
        <v>9455</v>
      </c>
      <c r="C2531" s="29" t="s">
        <v>9456</v>
      </c>
      <c r="D2531" s="29" t="s">
        <v>9457</v>
      </c>
      <c r="E2531" s="92">
        <v>5251938</v>
      </c>
      <c r="F2531" s="89" t="s">
        <v>4182</v>
      </c>
      <c r="G2531" s="29" t="s">
        <v>9458</v>
      </c>
    </row>
    <row r="2532" spans="1:7">
      <c r="A2532" s="33">
        <v>44447</v>
      </c>
      <c r="B2532" s="29" t="s">
        <v>1254</v>
      </c>
      <c r="C2532" s="29" t="s">
        <v>1255</v>
      </c>
      <c r="D2532" s="29" t="s">
        <v>1256</v>
      </c>
      <c r="E2532" s="92">
        <v>5247353</v>
      </c>
      <c r="F2532" s="89" t="s">
        <v>472</v>
      </c>
      <c r="G2532" s="29" t="s">
        <v>9375</v>
      </c>
    </row>
    <row r="2533" spans="1:7">
      <c r="A2533" s="33">
        <v>44448</v>
      </c>
      <c r="B2533" s="29" t="s">
        <v>1258</v>
      </c>
      <c r="C2533" s="29" t="s">
        <v>1259</v>
      </c>
      <c r="D2533" s="29" t="s">
        <v>1260</v>
      </c>
      <c r="E2533" s="92">
        <v>5238438</v>
      </c>
      <c r="F2533" s="89" t="s">
        <v>4175</v>
      </c>
      <c r="G2533" s="29" t="s">
        <v>8898</v>
      </c>
    </row>
    <row r="2534" spans="1:7">
      <c r="A2534" s="33">
        <v>44449</v>
      </c>
      <c r="B2534" s="29" t="s">
        <v>1262</v>
      </c>
      <c r="C2534" s="29" t="s">
        <v>1263</v>
      </c>
      <c r="D2534" s="29" t="s">
        <v>1264</v>
      </c>
      <c r="E2534" s="92">
        <v>5225629</v>
      </c>
      <c r="F2534" s="89" t="s">
        <v>4198</v>
      </c>
      <c r="G2534" s="29" t="s">
        <v>9418</v>
      </c>
    </row>
    <row r="2535" spans="1:7">
      <c r="A2535" s="33">
        <v>44450</v>
      </c>
      <c r="B2535" s="29" t="s">
        <v>9459</v>
      </c>
      <c r="C2535" s="29" t="s">
        <v>9460</v>
      </c>
      <c r="D2535" s="29" t="s">
        <v>9461</v>
      </c>
      <c r="E2535" s="92">
        <v>5210516</v>
      </c>
      <c r="F2535" s="89" t="s">
        <v>5755</v>
      </c>
      <c r="G2535" s="29" t="s">
        <v>8844</v>
      </c>
    </row>
    <row r="2536" spans="1:7">
      <c r="A2536" s="33">
        <v>44451</v>
      </c>
      <c r="B2536" s="29" t="s">
        <v>1266</v>
      </c>
      <c r="C2536" s="29" t="s">
        <v>1267</v>
      </c>
      <c r="D2536" s="29" t="s">
        <v>1268</v>
      </c>
      <c r="E2536" s="92">
        <v>5204958</v>
      </c>
      <c r="F2536" s="89" t="s">
        <v>862</v>
      </c>
      <c r="G2536" s="29" t="s">
        <v>9251</v>
      </c>
    </row>
    <row r="2537" spans="1:7">
      <c r="A2537" s="33">
        <v>44452</v>
      </c>
      <c r="B2537" s="29" t="s">
        <v>1270</v>
      </c>
      <c r="C2537" s="29" t="s">
        <v>1271</v>
      </c>
      <c r="D2537" s="29" t="s">
        <v>1272</v>
      </c>
      <c r="E2537" s="92">
        <v>5200366</v>
      </c>
      <c r="F2537" s="89" t="s">
        <v>906</v>
      </c>
      <c r="G2537" s="29" t="s">
        <v>9462</v>
      </c>
    </row>
    <row r="2538" spans="1:7">
      <c r="A2538" s="33">
        <v>44453</v>
      </c>
      <c r="B2538" s="29" t="s">
        <v>1274</v>
      </c>
      <c r="C2538" s="29" t="s">
        <v>1275</v>
      </c>
      <c r="D2538" s="29" t="s">
        <v>1276</v>
      </c>
      <c r="E2538" s="92">
        <v>5198897</v>
      </c>
      <c r="F2538" s="89" t="s">
        <v>5744</v>
      </c>
      <c r="G2538" s="29" t="s">
        <v>8898</v>
      </c>
    </row>
    <row r="2539" spans="1:7">
      <c r="A2539" s="33">
        <v>44454</v>
      </c>
      <c r="B2539" s="29">
        <v>47098</v>
      </c>
      <c r="C2539" s="29" t="s">
        <v>1279</v>
      </c>
      <c r="D2539" s="29" t="s">
        <v>1280</v>
      </c>
      <c r="E2539" s="92">
        <v>5167722</v>
      </c>
      <c r="F2539" s="89" t="s">
        <v>1880</v>
      </c>
      <c r="G2539" s="29" t="s">
        <v>9463</v>
      </c>
    </row>
    <row r="2540" spans="1:7">
      <c r="A2540" s="33">
        <v>44455</v>
      </c>
      <c r="B2540" s="29" t="s">
        <v>1282</v>
      </c>
      <c r="C2540" s="29" t="s">
        <v>1283</v>
      </c>
      <c r="D2540" s="29" t="s">
        <v>1284</v>
      </c>
      <c r="E2540" s="92">
        <v>5096586</v>
      </c>
      <c r="F2540" s="89" t="s">
        <v>4214</v>
      </c>
      <c r="G2540" s="29" t="s">
        <v>8806</v>
      </c>
    </row>
    <row r="2541" spans="1:7">
      <c r="A2541" s="33">
        <v>44456</v>
      </c>
      <c r="B2541" s="29">
        <v>47771</v>
      </c>
      <c r="C2541" s="29" t="s">
        <v>1287</v>
      </c>
      <c r="D2541" s="29" t="s">
        <v>1288</v>
      </c>
      <c r="E2541" s="92">
        <v>5089539</v>
      </c>
      <c r="F2541" s="89" t="s">
        <v>2095</v>
      </c>
      <c r="G2541" s="29" t="s">
        <v>8452</v>
      </c>
    </row>
    <row r="2542" spans="1:7">
      <c r="A2542" s="33">
        <v>44457</v>
      </c>
      <c r="B2542" s="29" t="s">
        <v>1290</v>
      </c>
      <c r="C2542" s="29" t="s">
        <v>1291</v>
      </c>
      <c r="D2542" s="29" t="s">
        <v>1292</v>
      </c>
      <c r="E2542" s="92">
        <v>5067108</v>
      </c>
      <c r="F2542" s="89" t="s">
        <v>4190</v>
      </c>
      <c r="G2542" s="29" t="s">
        <v>8567</v>
      </c>
    </row>
    <row r="2543" spans="1:7">
      <c r="A2543" s="33">
        <v>44458</v>
      </c>
      <c r="B2543" s="29" t="s">
        <v>1294</v>
      </c>
      <c r="C2543" s="29" t="s">
        <v>1295</v>
      </c>
      <c r="D2543" s="29" t="s">
        <v>1296</v>
      </c>
      <c r="E2543" s="92">
        <v>5064488</v>
      </c>
      <c r="F2543" s="89" t="s">
        <v>2107</v>
      </c>
      <c r="G2543" s="29" t="s">
        <v>9053</v>
      </c>
    </row>
    <row r="2544" spans="1:7">
      <c r="A2544" s="33">
        <v>44459</v>
      </c>
      <c r="B2544" s="29" t="s">
        <v>1298</v>
      </c>
      <c r="C2544" s="29" t="s">
        <v>1299</v>
      </c>
      <c r="D2544" s="29" t="s">
        <v>1300</v>
      </c>
      <c r="E2544" s="92">
        <v>5059817</v>
      </c>
      <c r="F2544" s="89" t="s">
        <v>1766</v>
      </c>
      <c r="G2544" s="29" t="s">
        <v>8865</v>
      </c>
    </row>
    <row r="2545" spans="1:7">
      <c r="A2545" s="33">
        <v>44460</v>
      </c>
      <c r="B2545" s="29" t="s">
        <v>1302</v>
      </c>
      <c r="C2545" s="29" t="s">
        <v>1303</v>
      </c>
      <c r="D2545" s="29" t="s">
        <v>1304</v>
      </c>
      <c r="E2545" s="92">
        <v>5036681</v>
      </c>
      <c r="F2545" s="89" t="s">
        <v>5723</v>
      </c>
      <c r="G2545" s="29" t="s">
        <v>9209</v>
      </c>
    </row>
    <row r="2546" spans="1:7">
      <c r="A2546" s="33">
        <v>44461</v>
      </c>
      <c r="B2546" s="29" t="s">
        <v>1306</v>
      </c>
      <c r="C2546" s="29" t="s">
        <v>1307</v>
      </c>
      <c r="D2546" s="29" t="s">
        <v>1308</v>
      </c>
      <c r="E2546" s="92">
        <v>4973022</v>
      </c>
      <c r="F2546" s="89" t="s">
        <v>4194</v>
      </c>
      <c r="G2546" s="29" t="s">
        <v>9464</v>
      </c>
    </row>
    <row r="2547" spans="1:7">
      <c r="A2547" s="33">
        <v>44462</v>
      </c>
      <c r="B2547" s="29" t="s">
        <v>1310</v>
      </c>
      <c r="C2547" s="29" t="s">
        <v>1311</v>
      </c>
      <c r="D2547" s="29" t="s">
        <v>1312</v>
      </c>
      <c r="E2547" s="92">
        <v>4970788</v>
      </c>
      <c r="F2547" s="89" t="s">
        <v>4206</v>
      </c>
      <c r="G2547" s="29" t="s">
        <v>8792</v>
      </c>
    </row>
    <row r="2548" spans="1:7">
      <c r="A2548" s="33">
        <v>44463</v>
      </c>
      <c r="B2548" s="29" t="s">
        <v>1314</v>
      </c>
      <c r="C2548" s="29" t="s">
        <v>1315</v>
      </c>
      <c r="D2548" s="29" t="s">
        <v>1316</v>
      </c>
      <c r="E2548" s="92">
        <v>4922799</v>
      </c>
      <c r="F2548" s="89" t="s">
        <v>1932</v>
      </c>
      <c r="G2548" s="29" t="s">
        <v>9382</v>
      </c>
    </row>
    <row r="2549" spans="1:7">
      <c r="A2549" s="33">
        <v>44464</v>
      </c>
      <c r="B2549" s="29" t="s">
        <v>1318</v>
      </c>
      <c r="C2549" s="29" t="s">
        <v>1319</v>
      </c>
      <c r="D2549" s="29" t="s">
        <v>1320</v>
      </c>
      <c r="E2549" s="92">
        <v>4879878</v>
      </c>
      <c r="F2549" s="89" t="s">
        <v>4210</v>
      </c>
      <c r="G2549" s="29" t="s">
        <v>9234</v>
      </c>
    </row>
    <row r="2550" spans="1:7">
      <c r="A2550" s="33">
        <v>44465</v>
      </c>
      <c r="B2550" s="29" t="s">
        <v>1322</v>
      </c>
      <c r="C2550" s="29" t="s">
        <v>1323</v>
      </c>
      <c r="D2550" s="29" t="s">
        <v>1324</v>
      </c>
      <c r="E2550" s="92">
        <v>4278847</v>
      </c>
      <c r="F2550" s="89" t="s">
        <v>4155</v>
      </c>
      <c r="G2550" s="29" t="s">
        <v>8835</v>
      </c>
    </row>
    <row r="2551" spans="1:7">
      <c r="A2551" s="33">
        <v>44466</v>
      </c>
      <c r="B2551" s="29" t="s">
        <v>1326</v>
      </c>
      <c r="C2551" s="29" t="s">
        <v>1327</v>
      </c>
      <c r="D2551" s="29" t="s">
        <v>1328</v>
      </c>
      <c r="E2551" s="92">
        <v>4214672</v>
      </c>
      <c r="F2551" s="89" t="s">
        <v>1774</v>
      </c>
      <c r="G2551" s="29" t="s">
        <v>8539</v>
      </c>
    </row>
    <row r="2552" spans="1:7">
      <c r="A2552" s="33">
        <v>44467</v>
      </c>
      <c r="B2552" s="29" t="s">
        <v>1330</v>
      </c>
      <c r="C2552" s="29" t="s">
        <v>1331</v>
      </c>
      <c r="D2552" s="29" t="s">
        <v>1332</v>
      </c>
      <c r="E2552" s="92">
        <v>4158183</v>
      </c>
      <c r="F2552" s="89" t="s">
        <v>5699</v>
      </c>
      <c r="G2552" s="29" t="s">
        <v>8980</v>
      </c>
    </row>
    <row r="2553" spans="1:7">
      <c r="A2553" s="33">
        <v>44468</v>
      </c>
      <c r="B2553" s="29" t="s">
        <v>1334</v>
      </c>
      <c r="C2553" s="29" t="s">
        <v>1335</v>
      </c>
      <c r="D2553" s="29" t="s">
        <v>1336</v>
      </c>
      <c r="E2553" s="92">
        <v>4142527</v>
      </c>
      <c r="F2553" s="89" t="s">
        <v>961</v>
      </c>
      <c r="G2553" s="29" t="s">
        <v>9230</v>
      </c>
    </row>
    <row r="2554" spans="1:7">
      <c r="A2554" s="33">
        <v>44469</v>
      </c>
      <c r="B2554" s="29" t="s">
        <v>1338</v>
      </c>
      <c r="C2554" s="29" t="s">
        <v>1339</v>
      </c>
      <c r="D2554" s="29" t="s">
        <v>1340</v>
      </c>
      <c r="E2554" s="92">
        <v>4139878</v>
      </c>
      <c r="F2554" s="89" t="s">
        <v>1908</v>
      </c>
      <c r="G2554" s="29" t="s">
        <v>9244</v>
      </c>
    </row>
    <row r="2555" spans="1:7">
      <c r="A2555" s="33">
        <v>44470</v>
      </c>
      <c r="B2555" s="29" t="s">
        <v>1342</v>
      </c>
      <c r="C2555" s="29" t="s">
        <v>1343</v>
      </c>
      <c r="D2555" s="29" t="s">
        <v>1344</v>
      </c>
      <c r="E2555" s="92">
        <v>4134441</v>
      </c>
      <c r="F2555" s="89" t="s">
        <v>2083</v>
      </c>
      <c r="G2555" s="29" t="s">
        <v>8887</v>
      </c>
    </row>
    <row r="2556" spans="1:7">
      <c r="A2556" s="33">
        <v>44471</v>
      </c>
      <c r="B2556" s="29" t="s">
        <v>1346</v>
      </c>
      <c r="C2556" s="29" t="s">
        <v>1347</v>
      </c>
      <c r="D2556" s="29" t="s">
        <v>1348</v>
      </c>
      <c r="E2556" s="92">
        <v>4105404</v>
      </c>
      <c r="F2556" s="89" t="s">
        <v>1770</v>
      </c>
      <c r="G2556" s="29" t="s">
        <v>9230</v>
      </c>
    </row>
    <row r="2557" spans="1:7">
      <c r="A2557" s="33">
        <v>44472</v>
      </c>
      <c r="B2557" s="29" t="s">
        <v>1350</v>
      </c>
      <c r="C2557" s="29" t="s">
        <v>1351</v>
      </c>
      <c r="D2557" s="29" t="s">
        <v>1352</v>
      </c>
      <c r="E2557" s="92">
        <v>4098375</v>
      </c>
      <c r="F2557" s="89" t="s">
        <v>480</v>
      </c>
      <c r="G2557" s="29" t="s">
        <v>8778</v>
      </c>
    </row>
    <row r="2558" spans="1:7">
      <c r="A2558" s="33">
        <v>44473</v>
      </c>
      <c r="B2558" s="29" t="s">
        <v>1354</v>
      </c>
      <c r="C2558" s="29" t="s">
        <v>1355</v>
      </c>
      <c r="D2558" s="29">
        <v>47045</v>
      </c>
      <c r="E2558" s="92">
        <v>4087476</v>
      </c>
      <c r="F2558" s="89" t="s">
        <v>1133</v>
      </c>
      <c r="G2558" s="29" t="s">
        <v>9138</v>
      </c>
    </row>
    <row r="2559" spans="1:7">
      <c r="A2559" s="33">
        <v>44474</v>
      </c>
      <c r="B2559" s="29" t="s">
        <v>1358</v>
      </c>
      <c r="C2559" s="29" t="s">
        <v>1359</v>
      </c>
      <c r="D2559" s="29" t="s">
        <v>1360</v>
      </c>
      <c r="E2559" s="92">
        <v>4087066</v>
      </c>
      <c r="F2559" s="89" t="s">
        <v>5673</v>
      </c>
      <c r="G2559" s="29" t="s">
        <v>9228</v>
      </c>
    </row>
    <row r="2560" spans="1:7">
      <c r="A2560" s="33">
        <v>44475</v>
      </c>
      <c r="B2560" s="29" t="s">
        <v>1362</v>
      </c>
      <c r="C2560" s="29" t="s">
        <v>1363</v>
      </c>
      <c r="D2560" s="29" t="s">
        <v>1364</v>
      </c>
      <c r="E2560" s="92">
        <v>4078599</v>
      </c>
      <c r="F2560" s="89" t="s">
        <v>1860</v>
      </c>
      <c r="G2560" s="29" t="s">
        <v>9375</v>
      </c>
    </row>
    <row r="2561" spans="1:7">
      <c r="A2561" s="33">
        <v>44476</v>
      </c>
      <c r="B2561" s="29" t="s">
        <v>1366</v>
      </c>
      <c r="C2561" s="29" t="s">
        <v>1366</v>
      </c>
      <c r="D2561" s="29" t="s">
        <v>1367</v>
      </c>
      <c r="E2561" s="92">
        <v>4076633</v>
      </c>
      <c r="F2561" s="89" t="s">
        <v>1868</v>
      </c>
      <c r="G2561" s="29" t="s">
        <v>9152</v>
      </c>
    </row>
    <row r="2562" spans="1:7">
      <c r="A2562" s="33">
        <v>44477</v>
      </c>
      <c r="B2562" s="29" t="s">
        <v>1369</v>
      </c>
      <c r="C2562" s="29" t="s">
        <v>1370</v>
      </c>
      <c r="D2562" s="29" t="s">
        <v>1371</v>
      </c>
      <c r="E2562" s="92">
        <v>4069107</v>
      </c>
      <c r="F2562" s="89" t="s">
        <v>957</v>
      </c>
      <c r="G2562" s="29" t="s">
        <v>8922</v>
      </c>
    </row>
    <row r="2563" spans="1:7">
      <c r="A2563" s="33">
        <v>44478</v>
      </c>
      <c r="B2563" s="29" t="s">
        <v>9465</v>
      </c>
      <c r="C2563" s="29" t="s">
        <v>9466</v>
      </c>
      <c r="D2563" s="29" t="s">
        <v>9467</v>
      </c>
      <c r="E2563" s="92">
        <v>4048726</v>
      </c>
      <c r="F2563" s="89" t="s">
        <v>387</v>
      </c>
      <c r="G2563" s="29" t="s">
        <v>8932</v>
      </c>
    </row>
    <row r="2564" spans="1:7">
      <c r="A2564" s="33">
        <v>44479</v>
      </c>
      <c r="B2564" s="29" t="s">
        <v>1373</v>
      </c>
      <c r="C2564" s="29" t="s">
        <v>1374</v>
      </c>
      <c r="D2564" s="29" t="s">
        <v>1375</v>
      </c>
      <c r="E2564" s="92">
        <v>4035826</v>
      </c>
      <c r="F2564" s="89" t="s">
        <v>874</v>
      </c>
      <c r="G2564" s="29" t="s">
        <v>9450</v>
      </c>
    </row>
    <row r="2565" spans="1:7">
      <c r="A2565" s="33">
        <v>44480</v>
      </c>
      <c r="B2565" s="29" t="s">
        <v>1377</v>
      </c>
      <c r="C2565" s="29" t="s">
        <v>1378</v>
      </c>
      <c r="D2565" s="29" t="s">
        <v>1379</v>
      </c>
      <c r="E2565" s="92">
        <v>4035296</v>
      </c>
      <c r="F2565" s="89" t="s">
        <v>1904</v>
      </c>
      <c r="G2565" s="29" t="s">
        <v>9213</v>
      </c>
    </row>
    <row r="2566" spans="1:7">
      <c r="A2566" s="33">
        <v>44481</v>
      </c>
      <c r="B2566" s="29" t="s">
        <v>1381</v>
      </c>
      <c r="C2566" s="29" t="s">
        <v>1382</v>
      </c>
      <c r="D2566" s="29" t="s">
        <v>1383</v>
      </c>
      <c r="E2566" s="92">
        <v>4032507</v>
      </c>
      <c r="F2566" s="89" t="s">
        <v>5650</v>
      </c>
      <c r="G2566" s="29" t="s">
        <v>9259</v>
      </c>
    </row>
    <row r="2567" spans="1:7">
      <c r="A2567" s="33">
        <v>44482</v>
      </c>
      <c r="B2567" s="29" t="s">
        <v>1385</v>
      </c>
      <c r="C2567" s="29" t="s">
        <v>1386</v>
      </c>
      <c r="D2567" s="29" t="s">
        <v>1387</v>
      </c>
      <c r="E2567" s="92">
        <v>4030848</v>
      </c>
      <c r="F2567" s="89" t="s">
        <v>1852</v>
      </c>
      <c r="G2567" s="29" t="s">
        <v>9468</v>
      </c>
    </row>
    <row r="2568" spans="1:7">
      <c r="A2568" s="33">
        <v>44483</v>
      </c>
      <c r="B2568" s="29" t="s">
        <v>1389</v>
      </c>
      <c r="C2568" s="29" t="s">
        <v>1390</v>
      </c>
      <c r="D2568" s="29" t="s">
        <v>1391</v>
      </c>
      <c r="E2568" s="92">
        <v>4029327</v>
      </c>
      <c r="F2568" s="89" t="s">
        <v>882</v>
      </c>
      <c r="G2568" s="29" t="s">
        <v>9469</v>
      </c>
    </row>
    <row r="2569" spans="1:7">
      <c r="A2569" s="33">
        <v>44484</v>
      </c>
      <c r="B2569" s="29" t="s">
        <v>1393</v>
      </c>
      <c r="C2569" s="29" t="s">
        <v>1394</v>
      </c>
      <c r="D2569" s="29" t="s">
        <v>1395</v>
      </c>
      <c r="E2569" s="92">
        <v>4025248</v>
      </c>
      <c r="F2569" s="89" t="s">
        <v>2099</v>
      </c>
      <c r="G2569" s="29" t="s">
        <v>8947</v>
      </c>
    </row>
    <row r="2570" spans="1:7">
      <c r="A2570" s="33">
        <v>44485</v>
      </c>
      <c r="B2570" s="29" t="s">
        <v>1397</v>
      </c>
      <c r="C2570" s="29" t="s">
        <v>1398</v>
      </c>
      <c r="D2570" s="29" t="s">
        <v>1399</v>
      </c>
      <c r="E2570" s="92">
        <v>4025229</v>
      </c>
      <c r="F2570" s="89" t="s">
        <v>1778</v>
      </c>
      <c r="G2570" s="29" t="s">
        <v>9440</v>
      </c>
    </row>
    <row r="2571" spans="1:7">
      <c r="A2571" s="33">
        <v>44486</v>
      </c>
      <c r="B2571" s="29" t="s">
        <v>1401</v>
      </c>
      <c r="C2571" s="29" t="s">
        <v>1402</v>
      </c>
      <c r="D2571" s="29" t="s">
        <v>1403</v>
      </c>
      <c r="E2571" s="92">
        <v>4023968</v>
      </c>
      <c r="F2571" s="89" t="s">
        <v>2103</v>
      </c>
      <c r="G2571" s="29" t="s">
        <v>9222</v>
      </c>
    </row>
    <row r="2572" spans="1:7">
      <c r="A2572" s="33">
        <v>44487</v>
      </c>
      <c r="B2572" s="29" t="s">
        <v>1405</v>
      </c>
      <c r="C2572" s="29" t="s">
        <v>1406</v>
      </c>
      <c r="D2572" s="29" t="s">
        <v>1407</v>
      </c>
      <c r="E2572" s="92">
        <v>4022168</v>
      </c>
      <c r="F2572" s="89" t="s">
        <v>2091</v>
      </c>
      <c r="G2572" s="29" t="s">
        <v>9464</v>
      </c>
    </row>
    <row r="2573" spans="1:7">
      <c r="A2573" s="33">
        <v>44488</v>
      </c>
      <c r="B2573" s="29" t="s">
        <v>1409</v>
      </c>
      <c r="C2573" s="29" t="s">
        <v>1410</v>
      </c>
      <c r="D2573" s="29" t="s">
        <v>1411</v>
      </c>
      <c r="E2573" s="92">
        <v>4017269</v>
      </c>
      <c r="F2573" s="89" t="s">
        <v>4218</v>
      </c>
      <c r="G2573" s="29" t="s">
        <v>9470</v>
      </c>
    </row>
    <row r="2574" spans="1:7">
      <c r="A2574" s="33">
        <v>44489</v>
      </c>
      <c r="B2574" s="29" t="s">
        <v>1413</v>
      </c>
      <c r="C2574" s="29" t="s">
        <v>1414</v>
      </c>
      <c r="D2574" s="29" t="s">
        <v>1415</v>
      </c>
      <c r="E2574" s="92">
        <v>4014183</v>
      </c>
      <c r="F2574" s="89" t="s">
        <v>870</v>
      </c>
      <c r="G2574" s="29" t="s">
        <v>8893</v>
      </c>
    </row>
    <row r="2575" spans="1:7">
      <c r="A2575" s="33">
        <v>44490</v>
      </c>
      <c r="B2575" s="29" t="s">
        <v>1417</v>
      </c>
      <c r="C2575" s="29" t="s">
        <v>1418</v>
      </c>
      <c r="D2575" s="29" t="s">
        <v>1419</v>
      </c>
      <c r="E2575" s="92">
        <v>4005527</v>
      </c>
      <c r="F2575" s="89" t="s">
        <v>1912</v>
      </c>
      <c r="G2575" s="29" t="s">
        <v>9256</v>
      </c>
    </row>
    <row r="2576" spans="1:7">
      <c r="A2576" s="33">
        <v>44491</v>
      </c>
      <c r="B2576" s="29" t="s">
        <v>9471</v>
      </c>
      <c r="C2576" s="29" t="s">
        <v>9472</v>
      </c>
      <c r="D2576" s="29" t="s">
        <v>9473</v>
      </c>
      <c r="E2576" s="92">
        <v>3999821</v>
      </c>
      <c r="F2576" s="89" t="s">
        <v>1782</v>
      </c>
      <c r="G2576" s="29" t="s">
        <v>9474</v>
      </c>
    </row>
    <row r="2577" spans="1:7">
      <c r="A2577" s="33">
        <v>44492</v>
      </c>
      <c r="B2577" s="29" t="s">
        <v>1421</v>
      </c>
      <c r="C2577" s="29" t="s">
        <v>1422</v>
      </c>
      <c r="D2577" s="29" t="s">
        <v>1423</v>
      </c>
      <c r="E2577" s="92">
        <v>3985081</v>
      </c>
      <c r="F2577" s="89" t="s">
        <v>1924</v>
      </c>
      <c r="G2577" s="29" t="s">
        <v>9250</v>
      </c>
    </row>
    <row r="2578" spans="1:7">
      <c r="A2578" s="33">
        <v>44493</v>
      </c>
      <c r="B2578" s="29" t="s">
        <v>1425</v>
      </c>
      <c r="C2578" s="29" t="s">
        <v>1426</v>
      </c>
      <c r="D2578" s="29" t="s">
        <v>1427</v>
      </c>
      <c r="E2578" s="92">
        <v>3963314</v>
      </c>
      <c r="F2578" s="89" t="s">
        <v>5611</v>
      </c>
      <c r="G2578" s="29" t="s">
        <v>8532</v>
      </c>
    </row>
    <row r="2579" spans="1:7">
      <c r="A2579" s="33">
        <v>44494</v>
      </c>
      <c r="B2579" s="29" t="s">
        <v>1429</v>
      </c>
      <c r="C2579" s="29" t="s">
        <v>1430</v>
      </c>
      <c r="D2579" s="29" t="s">
        <v>1431</v>
      </c>
      <c r="E2579" s="92">
        <v>3963071</v>
      </c>
      <c r="F2579" s="89" t="s">
        <v>5608</v>
      </c>
      <c r="G2579" s="29" t="s">
        <v>9244</v>
      </c>
    </row>
    <row r="2580" spans="1:7">
      <c r="A2580" s="33">
        <v>44495</v>
      </c>
      <c r="B2580" s="29" t="s">
        <v>1433</v>
      </c>
      <c r="C2580" s="29" t="s">
        <v>1434</v>
      </c>
      <c r="D2580" s="29" t="s">
        <v>1435</v>
      </c>
      <c r="E2580" s="92">
        <v>3960911</v>
      </c>
      <c r="F2580" s="89" t="s">
        <v>5604</v>
      </c>
      <c r="G2580" s="29" t="s">
        <v>8910</v>
      </c>
    </row>
    <row r="2581" spans="1:7">
      <c r="A2581" s="33">
        <v>44496</v>
      </c>
      <c r="B2581" s="29">
        <v>60352</v>
      </c>
      <c r="C2581" s="29" t="s">
        <v>1438</v>
      </c>
      <c r="D2581" s="29" t="s">
        <v>1439</v>
      </c>
      <c r="E2581" s="92">
        <v>3956894</v>
      </c>
      <c r="F2581" s="89" t="s">
        <v>487</v>
      </c>
      <c r="G2581" s="29" t="s">
        <v>9241</v>
      </c>
    </row>
    <row r="2582" spans="1:7">
      <c r="A2582" s="33">
        <v>44497</v>
      </c>
      <c r="B2582" s="29" t="s">
        <v>1441</v>
      </c>
      <c r="C2582" s="29" t="s">
        <v>1442</v>
      </c>
      <c r="D2582" s="29" t="s">
        <v>1443</v>
      </c>
      <c r="E2582" s="92">
        <v>3954118</v>
      </c>
      <c r="F2582" s="89" t="s">
        <v>1928</v>
      </c>
      <c r="G2582" s="29" t="s">
        <v>9265</v>
      </c>
    </row>
    <row r="2583" spans="1:7">
      <c r="A2583" s="33">
        <v>44498</v>
      </c>
      <c r="B2583" s="29" t="s">
        <v>1445</v>
      </c>
      <c r="C2583" s="29" t="s">
        <v>1446</v>
      </c>
      <c r="D2583" s="29" t="s">
        <v>1447</v>
      </c>
      <c r="E2583" s="92">
        <v>3943409</v>
      </c>
      <c r="F2583" s="89" t="s">
        <v>5599</v>
      </c>
      <c r="G2583" s="29" t="s">
        <v>9475</v>
      </c>
    </row>
    <row r="2584" spans="1:7">
      <c r="A2584" s="33">
        <v>44499</v>
      </c>
      <c r="B2584" s="29" t="s">
        <v>9476</v>
      </c>
      <c r="C2584" s="29" t="s">
        <v>9477</v>
      </c>
      <c r="D2584" s="29" t="s">
        <v>9478</v>
      </c>
      <c r="E2584" s="92">
        <v>3924369</v>
      </c>
      <c r="F2584" s="89" t="s">
        <v>5595</v>
      </c>
      <c r="G2584" s="29" t="s">
        <v>9444</v>
      </c>
    </row>
    <row r="2585" spans="1:7">
      <c r="A2585" s="33">
        <v>44500</v>
      </c>
      <c r="B2585" s="29" t="s">
        <v>1449</v>
      </c>
      <c r="C2585" s="29" t="s">
        <v>1450</v>
      </c>
      <c r="D2585" s="29" t="s">
        <v>1451</v>
      </c>
      <c r="E2585" s="92">
        <v>3923919</v>
      </c>
      <c r="F2585" s="89" t="s">
        <v>949</v>
      </c>
      <c r="G2585" s="29" t="s">
        <v>9444</v>
      </c>
    </row>
    <row r="2586" spans="1:7">
      <c r="A2586" s="33">
        <v>44501</v>
      </c>
      <c r="B2586" s="29" t="s">
        <v>1453</v>
      </c>
      <c r="C2586" s="29">
        <v>62419</v>
      </c>
      <c r="D2586" s="29" t="s">
        <v>1455</v>
      </c>
      <c r="E2586" s="92">
        <v>3915714</v>
      </c>
      <c r="F2586" s="89" t="s">
        <v>1876</v>
      </c>
      <c r="G2586" s="29" t="s">
        <v>8894</v>
      </c>
    </row>
    <row r="2587" spans="1:7">
      <c r="A2587" s="33">
        <v>44502</v>
      </c>
      <c r="B2587" s="29" t="s">
        <v>1457</v>
      </c>
      <c r="C2587" s="29" t="s">
        <v>1458</v>
      </c>
      <c r="D2587" s="29" t="s">
        <v>1459</v>
      </c>
      <c r="E2587" s="92">
        <v>3911484</v>
      </c>
      <c r="F2587" s="89" t="s">
        <v>1896</v>
      </c>
      <c r="G2587" s="29" t="s">
        <v>8933</v>
      </c>
    </row>
    <row r="2588" spans="1:7">
      <c r="A2588" s="33">
        <v>44503</v>
      </c>
      <c r="B2588" s="29" t="s">
        <v>1461</v>
      </c>
      <c r="C2588" s="29" t="s">
        <v>1462</v>
      </c>
      <c r="D2588" s="29" t="s">
        <v>1463</v>
      </c>
      <c r="E2588" s="92">
        <v>3909156</v>
      </c>
      <c r="F2588" s="89" t="s">
        <v>402</v>
      </c>
      <c r="G2588" s="29" t="s">
        <v>9479</v>
      </c>
    </row>
    <row r="2589" spans="1:7">
      <c r="A2589" s="33">
        <v>44504</v>
      </c>
      <c r="B2589" s="29" t="s">
        <v>9480</v>
      </c>
      <c r="C2589" s="29" t="s">
        <v>4778</v>
      </c>
      <c r="D2589" s="29" t="s">
        <v>9481</v>
      </c>
      <c r="E2589" s="92">
        <v>3906717</v>
      </c>
      <c r="F2589" s="89" t="s">
        <v>1129</v>
      </c>
      <c r="G2589" s="29" t="s">
        <v>8772</v>
      </c>
    </row>
    <row r="2590" spans="1:7">
      <c r="A2590" s="33">
        <v>44505</v>
      </c>
      <c r="B2590" s="29" t="s">
        <v>9482</v>
      </c>
      <c r="C2590" s="29" t="s">
        <v>9483</v>
      </c>
      <c r="D2590" s="29" t="s">
        <v>9484</v>
      </c>
      <c r="E2590" s="92">
        <v>3905227</v>
      </c>
      <c r="F2590" s="89" t="s">
        <v>910</v>
      </c>
      <c r="G2590" s="29" t="s">
        <v>9230</v>
      </c>
    </row>
    <row r="2591" spans="1:7">
      <c r="A2591" s="33">
        <v>44506</v>
      </c>
      <c r="B2591" s="29" t="s">
        <v>1465</v>
      </c>
      <c r="C2591" s="29" t="s">
        <v>1466</v>
      </c>
      <c r="D2591" s="29" t="s">
        <v>1467</v>
      </c>
      <c r="E2591" s="92">
        <v>3903943</v>
      </c>
      <c r="F2591" s="89" t="s">
        <v>1872</v>
      </c>
      <c r="G2591" s="29" t="s">
        <v>9485</v>
      </c>
    </row>
    <row r="2592" spans="1:7">
      <c r="A2592" s="33">
        <v>44507</v>
      </c>
      <c r="B2592" s="29" t="s">
        <v>1469</v>
      </c>
      <c r="C2592" s="29" t="s">
        <v>1470</v>
      </c>
      <c r="D2592" s="29" t="s">
        <v>1471</v>
      </c>
      <c r="E2592" s="92">
        <v>3901132</v>
      </c>
      <c r="F2592" s="89" t="s">
        <v>5568</v>
      </c>
      <c r="G2592" s="29" t="s">
        <v>8466</v>
      </c>
    </row>
    <row r="2593" spans="1:7">
      <c r="A2593" s="33">
        <v>44508</v>
      </c>
      <c r="B2593" s="29" t="s">
        <v>1472</v>
      </c>
      <c r="C2593" s="29" t="s">
        <v>1473</v>
      </c>
      <c r="D2593" s="29" t="s">
        <v>1472</v>
      </c>
      <c r="E2593" s="92">
        <v>3896544</v>
      </c>
      <c r="F2593" s="89" t="s">
        <v>2087</v>
      </c>
      <c r="G2593" s="29" t="s">
        <v>9259</v>
      </c>
    </row>
    <row r="2594" spans="1:7">
      <c r="A2594" s="33">
        <v>44509</v>
      </c>
      <c r="B2594" s="29" t="s">
        <v>1475</v>
      </c>
      <c r="C2594" s="29" t="s">
        <v>1476</v>
      </c>
      <c r="D2594" s="29" t="s">
        <v>1477</v>
      </c>
      <c r="E2594" s="92">
        <v>3896375</v>
      </c>
      <c r="F2594" s="89" t="s">
        <v>5567</v>
      </c>
      <c r="G2594" s="29" t="s">
        <v>8890</v>
      </c>
    </row>
    <row r="2595" spans="1:7">
      <c r="A2595" s="33">
        <v>44510</v>
      </c>
      <c r="B2595" s="29" t="s">
        <v>1479</v>
      </c>
      <c r="C2595" s="29" t="s">
        <v>1480</v>
      </c>
      <c r="D2595" s="29" t="s">
        <v>1481</v>
      </c>
      <c r="E2595" s="92">
        <v>3894131</v>
      </c>
      <c r="F2595" s="89" t="s">
        <v>483</v>
      </c>
      <c r="G2595" s="29" t="s">
        <v>9209</v>
      </c>
    </row>
    <row r="2596" spans="1:7">
      <c r="A2596" s="33">
        <v>44511</v>
      </c>
      <c r="B2596" s="29" t="s">
        <v>9486</v>
      </c>
      <c r="C2596" s="29" t="s">
        <v>4778</v>
      </c>
      <c r="D2596" s="29" t="s">
        <v>9487</v>
      </c>
      <c r="E2596" s="92">
        <v>3882696</v>
      </c>
      <c r="F2596" s="89" t="s">
        <v>878</v>
      </c>
      <c r="G2596" s="29" t="s">
        <v>9228</v>
      </c>
    </row>
    <row r="2597" spans="1:7">
      <c r="A2597" s="33">
        <v>44512</v>
      </c>
      <c r="B2597" s="29" t="s">
        <v>1483</v>
      </c>
      <c r="C2597" s="29" t="s">
        <v>1484</v>
      </c>
      <c r="D2597" s="29" t="s">
        <v>1485</v>
      </c>
      <c r="E2597" s="92">
        <v>3865953</v>
      </c>
      <c r="F2597" s="89" t="s">
        <v>1940</v>
      </c>
      <c r="G2597" s="29" t="s">
        <v>9479</v>
      </c>
    </row>
    <row r="2598" spans="1:7">
      <c r="A2598" s="33">
        <v>44513</v>
      </c>
      <c r="B2598" s="29" t="s">
        <v>1487</v>
      </c>
      <c r="C2598" s="29" t="s">
        <v>1488</v>
      </c>
      <c r="D2598" s="29" t="s">
        <v>1489</v>
      </c>
      <c r="E2598" s="92">
        <v>3864415</v>
      </c>
      <c r="F2598" s="89" t="s">
        <v>375</v>
      </c>
      <c r="G2598" s="29" t="s">
        <v>9463</v>
      </c>
    </row>
    <row r="2599" spans="1:7">
      <c r="A2599" s="33">
        <v>44514</v>
      </c>
      <c r="B2599" s="29" t="s">
        <v>1491</v>
      </c>
      <c r="C2599" s="29" t="s">
        <v>1492</v>
      </c>
      <c r="D2599" s="29" t="s">
        <v>1493</v>
      </c>
      <c r="E2599" s="92">
        <v>3859584</v>
      </c>
      <c r="F2599" s="89" t="s">
        <v>1900</v>
      </c>
      <c r="G2599" s="29" t="s">
        <v>8464</v>
      </c>
    </row>
    <row r="2600" spans="1:7">
      <c r="A2600" s="33">
        <v>44515</v>
      </c>
      <c r="B2600" s="29" t="s">
        <v>1495</v>
      </c>
      <c r="C2600" s="29" t="s">
        <v>1496</v>
      </c>
      <c r="D2600" s="29" t="s">
        <v>1497</v>
      </c>
      <c r="E2600" s="92">
        <v>3857718</v>
      </c>
      <c r="F2600" s="89" t="s">
        <v>1109</v>
      </c>
      <c r="G2600" s="29" t="s">
        <v>9230</v>
      </c>
    </row>
    <row r="2601" spans="1:7">
      <c r="A2601" s="33">
        <v>44516</v>
      </c>
      <c r="B2601" s="29" t="s">
        <v>1499</v>
      </c>
      <c r="C2601" s="29" t="s">
        <v>1499</v>
      </c>
      <c r="D2601" s="29" t="s">
        <v>1500</v>
      </c>
      <c r="E2601" s="92">
        <v>3857298</v>
      </c>
      <c r="F2601" s="89" t="s">
        <v>1920</v>
      </c>
      <c r="G2601" s="29" t="s">
        <v>8931</v>
      </c>
    </row>
    <row r="2602" spans="1:7">
      <c r="A2602" s="33">
        <v>44517</v>
      </c>
      <c r="B2602" s="29" t="s">
        <v>1502</v>
      </c>
      <c r="C2602" s="29" t="s">
        <v>1503</v>
      </c>
      <c r="D2602" s="29" t="s">
        <v>1504</v>
      </c>
      <c r="E2602" s="92">
        <v>3854785</v>
      </c>
      <c r="F2602" s="89" t="s">
        <v>4222</v>
      </c>
      <c r="G2602" s="29" t="s">
        <v>9418</v>
      </c>
    </row>
    <row r="2603" spans="1:7">
      <c r="A2603" s="33">
        <v>44518</v>
      </c>
      <c r="B2603" s="29" t="s">
        <v>1506</v>
      </c>
      <c r="C2603" s="29" t="s">
        <v>1507</v>
      </c>
      <c r="D2603" s="29" t="s">
        <v>1508</v>
      </c>
      <c r="E2603" s="92">
        <v>3854358</v>
      </c>
      <c r="F2603" s="89" t="s">
        <v>2075</v>
      </c>
      <c r="G2603" s="29" t="s">
        <v>9488</v>
      </c>
    </row>
    <row r="2604" spans="1:7">
      <c r="A2604" s="33">
        <v>44519</v>
      </c>
      <c r="B2604" s="29" t="s">
        <v>1510</v>
      </c>
      <c r="C2604" s="29" t="s">
        <v>1511</v>
      </c>
      <c r="D2604" s="29" t="s">
        <v>1512</v>
      </c>
      <c r="E2604" s="92">
        <v>3851047</v>
      </c>
      <c r="F2604" s="89" t="s">
        <v>4413</v>
      </c>
      <c r="G2604" s="29" t="s">
        <v>8898</v>
      </c>
    </row>
    <row r="2605" spans="1:7">
      <c r="A2605" s="33">
        <v>44520</v>
      </c>
      <c r="B2605" s="29" t="s">
        <v>1514</v>
      </c>
      <c r="C2605" s="29" t="s">
        <v>1515</v>
      </c>
      <c r="D2605" s="29" t="s">
        <v>1516</v>
      </c>
      <c r="E2605" s="92">
        <v>3847176</v>
      </c>
      <c r="F2605" s="89" t="s">
        <v>5562</v>
      </c>
      <c r="G2605" s="29" t="s">
        <v>9230</v>
      </c>
    </row>
    <row r="2606" spans="1:7">
      <c r="A2606" s="33">
        <v>44521</v>
      </c>
      <c r="B2606" s="29" t="s">
        <v>1518</v>
      </c>
      <c r="C2606" s="29" t="s">
        <v>1519</v>
      </c>
      <c r="D2606" s="29" t="s">
        <v>1520</v>
      </c>
      <c r="E2606" s="92">
        <v>3845195</v>
      </c>
      <c r="F2606" s="89" t="s">
        <v>9489</v>
      </c>
      <c r="G2606" s="29" t="s">
        <v>9020</v>
      </c>
    </row>
    <row r="2607" spans="1:7">
      <c r="A2607" s="33">
        <v>44522</v>
      </c>
      <c r="B2607" s="29" t="s">
        <v>1522</v>
      </c>
      <c r="C2607" s="29" t="s">
        <v>1523</v>
      </c>
      <c r="D2607" s="29" t="s">
        <v>1524</v>
      </c>
      <c r="E2607" s="92">
        <v>3836741</v>
      </c>
      <c r="F2607" s="89" t="s">
        <v>1936</v>
      </c>
      <c r="G2607" s="29" t="s">
        <v>9233</v>
      </c>
    </row>
    <row r="2608" spans="1:7">
      <c r="A2608" s="33">
        <v>44523</v>
      </c>
      <c r="B2608" s="29" t="s">
        <v>1526</v>
      </c>
      <c r="C2608" s="29" t="s">
        <v>1527</v>
      </c>
      <c r="D2608" s="29" t="s">
        <v>1528</v>
      </c>
      <c r="E2608" s="92">
        <v>3820409</v>
      </c>
      <c r="F2608" s="89" t="s">
        <v>2111</v>
      </c>
      <c r="G2608" s="29" t="s">
        <v>9451</v>
      </c>
    </row>
    <row r="2609" spans="1:7">
      <c r="A2609" s="33">
        <v>44524</v>
      </c>
      <c r="B2609" s="29" t="s">
        <v>1530</v>
      </c>
      <c r="C2609" s="29" t="s">
        <v>1531</v>
      </c>
      <c r="D2609" s="29" t="s">
        <v>1532</v>
      </c>
      <c r="E2609" s="92">
        <v>3815491</v>
      </c>
      <c r="F2609" s="89" t="s">
        <v>2055</v>
      </c>
      <c r="G2609" s="29" t="s">
        <v>9469</v>
      </c>
    </row>
    <row r="2610" spans="1:7">
      <c r="A2610" s="33">
        <v>44525</v>
      </c>
      <c r="B2610" s="29" t="s">
        <v>1534</v>
      </c>
      <c r="C2610" s="29" t="s">
        <v>1535</v>
      </c>
      <c r="D2610" s="29" t="s">
        <v>1536</v>
      </c>
      <c r="E2610" s="92">
        <v>3810427</v>
      </c>
      <c r="F2610" s="89" t="s">
        <v>2071</v>
      </c>
      <c r="G2610" s="29" t="s">
        <v>9440</v>
      </c>
    </row>
    <row r="2611" spans="1:7">
      <c r="A2611" s="33">
        <v>44526</v>
      </c>
      <c r="B2611" s="29" t="s">
        <v>1538</v>
      </c>
      <c r="C2611" s="29" t="s">
        <v>1539</v>
      </c>
      <c r="D2611" s="29" t="s">
        <v>1540</v>
      </c>
      <c r="E2611" s="92">
        <v>3761557</v>
      </c>
      <c r="F2611" s="89" t="s">
        <v>1137</v>
      </c>
      <c r="G2611" s="29" t="s">
        <v>8960</v>
      </c>
    </row>
    <row r="2612" spans="1:7">
      <c r="A2612" s="33">
        <v>44527</v>
      </c>
      <c r="B2612" s="29" t="s">
        <v>1541</v>
      </c>
      <c r="C2612" s="29" t="s">
        <v>1542</v>
      </c>
      <c r="D2612" s="29" t="s">
        <v>1543</v>
      </c>
      <c r="E2612" s="92">
        <v>3753995</v>
      </c>
      <c r="F2612" s="89" t="s">
        <v>5558</v>
      </c>
      <c r="G2612" s="29" t="s">
        <v>9230</v>
      </c>
    </row>
    <row r="2613" spans="1:7">
      <c r="A2613" s="33">
        <v>44528</v>
      </c>
      <c r="B2613" s="29" t="s">
        <v>1545</v>
      </c>
      <c r="C2613" s="29" t="s">
        <v>1546</v>
      </c>
      <c r="D2613" s="29" t="s">
        <v>1547</v>
      </c>
      <c r="E2613" s="92">
        <v>3745951</v>
      </c>
      <c r="F2613" s="89" t="s">
        <v>4417</v>
      </c>
      <c r="G2613" s="29" t="s">
        <v>8816</v>
      </c>
    </row>
    <row r="2614" spans="1:7">
      <c r="A2614" s="33">
        <v>44529</v>
      </c>
      <c r="B2614" s="29" t="s">
        <v>1549</v>
      </c>
      <c r="C2614" s="29" t="s">
        <v>1550</v>
      </c>
      <c r="D2614" s="29" t="s">
        <v>1551</v>
      </c>
      <c r="E2614" s="92">
        <v>3728568</v>
      </c>
      <c r="F2614" s="89" t="s">
        <v>5556</v>
      </c>
      <c r="G2614" s="29" t="s">
        <v>8837</v>
      </c>
    </row>
    <row r="2615" spans="1:7">
      <c r="A2615" s="33">
        <v>44530</v>
      </c>
      <c r="B2615" s="29" t="s">
        <v>9490</v>
      </c>
      <c r="C2615" s="29" t="s">
        <v>4778</v>
      </c>
      <c r="D2615" s="29" t="s">
        <v>9491</v>
      </c>
      <c r="E2615" s="92">
        <v>3706052</v>
      </c>
      <c r="F2615" s="89" t="s">
        <v>4425</v>
      </c>
      <c r="G2615" s="29" t="s">
        <v>9419</v>
      </c>
    </row>
    <row r="2616" spans="1:7">
      <c r="A2616" s="33">
        <v>44531</v>
      </c>
      <c r="B2616" s="29" t="s">
        <v>9492</v>
      </c>
      <c r="C2616" s="29" t="s">
        <v>9493</v>
      </c>
      <c r="D2616" s="29" t="s">
        <v>9494</v>
      </c>
      <c r="E2616" s="92">
        <v>3696059</v>
      </c>
      <c r="F2616" s="89" t="s">
        <v>2047</v>
      </c>
      <c r="G2616" s="29" t="s">
        <v>9475</v>
      </c>
    </row>
    <row r="2617" spans="1:7">
      <c r="A2617" s="33">
        <v>44532</v>
      </c>
      <c r="B2617" s="29" t="s">
        <v>1553</v>
      </c>
      <c r="C2617" s="29" t="s">
        <v>1554</v>
      </c>
      <c r="D2617" s="29" t="s">
        <v>1555</v>
      </c>
      <c r="E2617" s="92">
        <v>3690188</v>
      </c>
      <c r="F2617" s="89" t="s">
        <v>4226</v>
      </c>
      <c r="G2617" s="29" t="s">
        <v>8837</v>
      </c>
    </row>
    <row r="2618" spans="1:7">
      <c r="A2618" s="33">
        <v>44533</v>
      </c>
      <c r="B2618" s="29" t="s">
        <v>9495</v>
      </c>
      <c r="C2618" s="29" t="s">
        <v>9496</v>
      </c>
      <c r="D2618" s="29" t="s">
        <v>9497</v>
      </c>
      <c r="E2618" s="92">
        <v>3687365</v>
      </c>
      <c r="F2618" s="89" t="s">
        <v>5547</v>
      </c>
      <c r="G2618" s="29" t="s">
        <v>9232</v>
      </c>
    </row>
    <row r="2619" spans="1:7">
      <c r="A2619" s="33">
        <v>44534</v>
      </c>
      <c r="B2619" s="29" t="s">
        <v>1557</v>
      </c>
      <c r="C2619" s="29" t="s">
        <v>1558</v>
      </c>
      <c r="D2619" s="29" t="s">
        <v>1559</v>
      </c>
      <c r="E2619" s="92">
        <v>3678925</v>
      </c>
      <c r="F2619" s="89" t="s">
        <v>1114</v>
      </c>
      <c r="G2619" s="29" t="s">
        <v>9242</v>
      </c>
    </row>
    <row r="2620" spans="1:7">
      <c r="A2620" s="33">
        <v>44535</v>
      </c>
      <c r="B2620" s="29" t="s">
        <v>1561</v>
      </c>
      <c r="C2620" s="29" t="s">
        <v>1562</v>
      </c>
      <c r="D2620" s="29" t="s">
        <v>1563</v>
      </c>
      <c r="E2620" s="92">
        <v>3678564</v>
      </c>
      <c r="F2620" s="89" t="s">
        <v>5541</v>
      </c>
      <c r="G2620" s="29" t="s">
        <v>9445</v>
      </c>
    </row>
    <row r="2621" spans="1:7">
      <c r="A2621" s="33">
        <v>44536</v>
      </c>
      <c r="B2621" s="29" t="s">
        <v>1565</v>
      </c>
      <c r="C2621" s="29" t="s">
        <v>1566</v>
      </c>
      <c r="D2621" s="29" t="s">
        <v>1567</v>
      </c>
      <c r="E2621" s="92">
        <v>3673836</v>
      </c>
      <c r="F2621" s="89" t="s">
        <v>5537</v>
      </c>
      <c r="G2621" s="29" t="s">
        <v>8933</v>
      </c>
    </row>
    <row r="2622" spans="1:7">
      <c r="A2622" s="33">
        <v>44537</v>
      </c>
      <c r="B2622" s="29" t="s">
        <v>1569</v>
      </c>
      <c r="C2622" s="29" t="s">
        <v>1570</v>
      </c>
      <c r="D2622" s="29" t="s">
        <v>1571</v>
      </c>
      <c r="E2622" s="92">
        <v>3671204</v>
      </c>
      <c r="F2622" s="89" t="s">
        <v>1118</v>
      </c>
      <c r="G2622" s="29" t="s">
        <v>9134</v>
      </c>
    </row>
    <row r="2623" spans="1:7">
      <c r="A2623" s="33">
        <v>44538</v>
      </c>
      <c r="B2623" s="29" t="s">
        <v>1573</v>
      </c>
      <c r="C2623" s="29" t="s">
        <v>1574</v>
      </c>
      <c r="D2623" s="29" t="s">
        <v>1575</v>
      </c>
      <c r="E2623" s="92">
        <v>3661301</v>
      </c>
      <c r="F2623" s="89" t="s">
        <v>5533</v>
      </c>
      <c r="G2623" s="29" t="s">
        <v>9498</v>
      </c>
    </row>
    <row r="2624" spans="1:7">
      <c r="A2624" s="33">
        <v>44539</v>
      </c>
      <c r="B2624" s="29" t="s">
        <v>1577</v>
      </c>
      <c r="C2624" s="29" t="s">
        <v>1578</v>
      </c>
      <c r="D2624" s="29" t="s">
        <v>1579</v>
      </c>
      <c r="E2624" s="92">
        <v>3657839</v>
      </c>
      <c r="F2624" s="89" t="s">
        <v>1844</v>
      </c>
      <c r="G2624" s="29" t="s">
        <v>8966</v>
      </c>
    </row>
    <row r="2625" spans="1:7">
      <c r="A2625" s="33">
        <v>44540</v>
      </c>
      <c r="B2625" s="29" t="s">
        <v>1581</v>
      </c>
      <c r="C2625" s="29" t="s">
        <v>1582</v>
      </c>
      <c r="D2625" s="29" t="s">
        <v>1583</v>
      </c>
      <c r="E2625" s="92">
        <v>3655007</v>
      </c>
      <c r="F2625" s="89" t="s">
        <v>4421</v>
      </c>
      <c r="G2625" s="29" t="s">
        <v>8539</v>
      </c>
    </row>
    <row r="2626" spans="1:7">
      <c r="A2626" s="33">
        <v>44541</v>
      </c>
      <c r="B2626" s="29" t="s">
        <v>1585</v>
      </c>
      <c r="C2626" s="29" t="s">
        <v>1586</v>
      </c>
      <c r="D2626" s="29" t="s">
        <v>1587</v>
      </c>
      <c r="E2626" s="92">
        <v>3654833</v>
      </c>
      <c r="F2626" s="89" t="s">
        <v>5530</v>
      </c>
      <c r="G2626" s="29" t="s">
        <v>8831</v>
      </c>
    </row>
    <row r="2627" spans="1:7">
      <c r="A2627" s="33">
        <v>44542</v>
      </c>
      <c r="B2627" s="29" t="s">
        <v>1589</v>
      </c>
      <c r="C2627" s="29" t="s">
        <v>1590</v>
      </c>
      <c r="D2627" s="29" t="s">
        <v>1591</v>
      </c>
      <c r="E2627" s="92">
        <v>3653529</v>
      </c>
      <c r="F2627" s="89" t="s">
        <v>1848</v>
      </c>
      <c r="G2627" s="29" t="s">
        <v>4967</v>
      </c>
    </row>
    <row r="2628" spans="1:7">
      <c r="A2628" s="33">
        <v>44543</v>
      </c>
      <c r="B2628" s="29" t="s">
        <v>1593</v>
      </c>
      <c r="C2628" s="29">
        <v>50205</v>
      </c>
      <c r="D2628" s="29" t="s">
        <v>1595</v>
      </c>
      <c r="E2628" s="92">
        <v>3648431</v>
      </c>
      <c r="F2628" s="89" t="s">
        <v>2039</v>
      </c>
      <c r="G2628" s="29" t="s">
        <v>9444</v>
      </c>
    </row>
    <row r="2629" spans="1:7">
      <c r="A2629" s="33">
        <v>44544</v>
      </c>
      <c r="B2629" s="29" t="s">
        <v>9499</v>
      </c>
      <c r="C2629" s="29" t="s">
        <v>9500</v>
      </c>
      <c r="D2629" s="29" t="s">
        <v>9501</v>
      </c>
      <c r="E2629" s="92">
        <v>3632071</v>
      </c>
      <c r="F2629" s="89" t="s">
        <v>953</v>
      </c>
      <c r="G2629" s="29" t="s">
        <v>8909</v>
      </c>
    </row>
    <row r="2630" spans="1:7">
      <c r="A2630" s="33">
        <v>44545</v>
      </c>
      <c r="B2630" s="29" t="s">
        <v>1597</v>
      </c>
      <c r="C2630" s="29" t="s">
        <v>1598</v>
      </c>
      <c r="D2630" s="29" t="s">
        <v>1599</v>
      </c>
      <c r="E2630" s="92">
        <v>3630675</v>
      </c>
      <c r="F2630" s="89" t="s">
        <v>383</v>
      </c>
      <c r="G2630" s="29" t="s">
        <v>8963</v>
      </c>
    </row>
    <row r="2631" spans="1:7">
      <c r="A2631" s="33">
        <v>44546</v>
      </c>
      <c r="B2631" s="29" t="s">
        <v>1601</v>
      </c>
      <c r="C2631" s="29" t="s">
        <v>1602</v>
      </c>
      <c r="D2631" s="29" t="s">
        <v>1603</v>
      </c>
      <c r="E2631" s="92">
        <v>3629788</v>
      </c>
      <c r="F2631" s="89" t="s">
        <v>2051</v>
      </c>
      <c r="G2631" s="29" t="s">
        <v>8532</v>
      </c>
    </row>
    <row r="2632" spans="1:7">
      <c r="A2632" s="33">
        <v>44547</v>
      </c>
      <c r="B2632" s="29" t="s">
        <v>1605</v>
      </c>
      <c r="C2632" s="29" t="s">
        <v>1606</v>
      </c>
      <c r="D2632" s="29" t="s">
        <v>1607</v>
      </c>
      <c r="E2632" s="92">
        <v>3620811</v>
      </c>
      <c r="F2632" s="89" t="s">
        <v>2079</v>
      </c>
      <c r="G2632" s="29" t="s">
        <v>8936</v>
      </c>
    </row>
    <row r="2633" spans="1:7">
      <c r="A2633" s="33">
        <v>44548</v>
      </c>
      <c r="B2633" s="29" t="s">
        <v>1609</v>
      </c>
      <c r="C2633" s="29" t="s">
        <v>1610</v>
      </c>
      <c r="D2633" s="29" t="s">
        <v>1611</v>
      </c>
      <c r="E2633" s="92">
        <v>3616881</v>
      </c>
      <c r="F2633" s="89" t="s">
        <v>5521</v>
      </c>
      <c r="G2633" s="29" t="s">
        <v>9020</v>
      </c>
    </row>
    <row r="2634" spans="1:7">
      <c r="A2634" s="33">
        <v>44549</v>
      </c>
      <c r="B2634" s="29" t="s">
        <v>1613</v>
      </c>
      <c r="C2634" s="29" t="s">
        <v>1614</v>
      </c>
      <c r="D2634" s="29" t="s">
        <v>1615</v>
      </c>
      <c r="E2634" s="92">
        <v>3614234</v>
      </c>
      <c r="F2634" s="89" t="s">
        <v>1840</v>
      </c>
      <c r="G2634" s="29" t="s">
        <v>8582</v>
      </c>
    </row>
    <row r="2635" spans="1:7">
      <c r="A2635" s="33">
        <v>44550</v>
      </c>
      <c r="B2635" s="29" t="s">
        <v>1617</v>
      </c>
      <c r="C2635" s="29" t="s">
        <v>1618</v>
      </c>
      <c r="D2635" s="29" t="s">
        <v>1619</v>
      </c>
      <c r="E2635" s="92">
        <v>3604577</v>
      </c>
      <c r="F2635" s="89" t="s">
        <v>5519</v>
      </c>
      <c r="G2635" s="29" t="s">
        <v>8539</v>
      </c>
    </row>
    <row r="2636" spans="1:7">
      <c r="A2636" s="33">
        <v>44551</v>
      </c>
      <c r="B2636" s="29" t="s">
        <v>1621</v>
      </c>
      <c r="C2636" s="29" t="s">
        <v>1622</v>
      </c>
      <c r="D2636" s="29" t="s">
        <v>1623</v>
      </c>
      <c r="E2636" s="92">
        <v>3601014</v>
      </c>
      <c r="F2636" s="89" t="s">
        <v>5518</v>
      </c>
      <c r="G2636" s="29" t="s">
        <v>9502</v>
      </c>
    </row>
    <row r="2637" spans="1:7">
      <c r="A2637" s="33">
        <v>44552</v>
      </c>
      <c r="B2637" s="29" t="s">
        <v>1625</v>
      </c>
      <c r="C2637" s="29" t="s">
        <v>1626</v>
      </c>
      <c r="D2637" s="29" t="s">
        <v>1627</v>
      </c>
      <c r="E2637" s="92">
        <v>3600865</v>
      </c>
      <c r="F2637" s="89" t="s">
        <v>1738</v>
      </c>
      <c r="G2637" s="29" t="s">
        <v>8832</v>
      </c>
    </row>
    <row r="2638" spans="1:7">
      <c r="A2638" s="33">
        <v>44553</v>
      </c>
      <c r="B2638" s="29" t="s">
        <v>1629</v>
      </c>
      <c r="C2638" s="29" t="s">
        <v>1630</v>
      </c>
      <c r="D2638" s="29" t="s">
        <v>1631</v>
      </c>
      <c r="E2638" s="92">
        <v>3599766</v>
      </c>
      <c r="F2638" s="89" t="s">
        <v>1305</v>
      </c>
      <c r="G2638" s="29" t="s">
        <v>8559</v>
      </c>
    </row>
    <row r="2639" spans="1:7">
      <c r="A2639" s="33">
        <v>44554</v>
      </c>
      <c r="B2639" s="29" t="s">
        <v>1633</v>
      </c>
      <c r="C2639" s="29" t="s">
        <v>1634</v>
      </c>
      <c r="D2639" s="29" t="s">
        <v>1635</v>
      </c>
      <c r="E2639" s="92">
        <v>3585123</v>
      </c>
      <c r="F2639" s="89" t="s">
        <v>5311</v>
      </c>
      <c r="G2639" s="29" t="s">
        <v>8832</v>
      </c>
    </row>
    <row r="2640" spans="1:7">
      <c r="A2640" s="33">
        <v>44555</v>
      </c>
      <c r="B2640" s="29" t="s">
        <v>1637</v>
      </c>
      <c r="C2640" s="29" t="s">
        <v>1638</v>
      </c>
      <c r="D2640" s="29" t="s">
        <v>1639</v>
      </c>
      <c r="E2640" s="92">
        <v>3583966</v>
      </c>
      <c r="F2640" s="89" t="s">
        <v>5516</v>
      </c>
      <c r="G2640" s="29" t="s">
        <v>8493</v>
      </c>
    </row>
    <row r="2641" spans="1:7">
      <c r="A2641" s="33">
        <v>44556</v>
      </c>
      <c r="B2641" s="29" t="s">
        <v>9503</v>
      </c>
      <c r="C2641" s="29" t="s">
        <v>4778</v>
      </c>
      <c r="D2641" s="29" t="s">
        <v>9504</v>
      </c>
      <c r="E2641" s="92">
        <v>3576032</v>
      </c>
      <c r="F2641" s="89" t="s">
        <v>5514</v>
      </c>
      <c r="G2641" s="29" t="s">
        <v>8508</v>
      </c>
    </row>
    <row r="2642" spans="1:7">
      <c r="A2642" s="33">
        <v>44557</v>
      </c>
      <c r="B2642" s="29" t="s">
        <v>1641</v>
      </c>
      <c r="C2642" s="29" t="s">
        <v>1642</v>
      </c>
      <c r="D2642" s="29" t="s">
        <v>1643</v>
      </c>
      <c r="E2642" s="92">
        <v>3552953</v>
      </c>
      <c r="F2642" s="89" t="s">
        <v>858</v>
      </c>
      <c r="G2642" s="29" t="s">
        <v>8779</v>
      </c>
    </row>
    <row r="2643" spans="1:7">
      <c r="A2643" s="33">
        <v>44558</v>
      </c>
      <c r="B2643" s="29" t="s">
        <v>1645</v>
      </c>
      <c r="C2643" s="29" t="s">
        <v>1645</v>
      </c>
      <c r="D2643" s="29" t="s">
        <v>1646</v>
      </c>
      <c r="E2643" s="92">
        <v>3545865</v>
      </c>
      <c r="F2643" s="89" t="s">
        <v>379</v>
      </c>
      <c r="G2643" s="29" t="s">
        <v>9138</v>
      </c>
    </row>
    <row r="2644" spans="1:7">
      <c r="A2644" s="33">
        <v>44559</v>
      </c>
      <c r="B2644" s="29" t="s">
        <v>1648</v>
      </c>
      <c r="C2644" s="29" t="s">
        <v>1649</v>
      </c>
      <c r="D2644" s="29" t="s">
        <v>1650</v>
      </c>
      <c r="E2644" s="92">
        <v>3521102</v>
      </c>
      <c r="F2644" s="89" t="s">
        <v>2059</v>
      </c>
      <c r="G2644" s="35">
        <v>30000000000</v>
      </c>
    </row>
    <row r="2645" spans="1:7">
      <c r="A2645" s="33">
        <v>44560</v>
      </c>
      <c r="B2645" s="29" t="s">
        <v>1652</v>
      </c>
      <c r="C2645" s="29" t="s">
        <v>1653</v>
      </c>
      <c r="D2645" s="29" t="s">
        <v>1654</v>
      </c>
      <c r="E2645" s="92">
        <v>3521061</v>
      </c>
      <c r="F2645" s="89" t="s">
        <v>1141</v>
      </c>
      <c r="G2645" s="29" t="s">
        <v>8473</v>
      </c>
    </row>
    <row r="2646" spans="1:7">
      <c r="A2646" s="33">
        <v>44561</v>
      </c>
      <c r="B2646" s="29" t="s">
        <v>1656</v>
      </c>
      <c r="C2646" s="29" t="s">
        <v>1657</v>
      </c>
      <c r="D2646" s="29" t="s">
        <v>1658</v>
      </c>
      <c r="E2646" s="92">
        <v>3502656</v>
      </c>
      <c r="F2646" s="89" t="s">
        <v>9505</v>
      </c>
      <c r="G2646" s="29" t="s">
        <v>9238</v>
      </c>
    </row>
    <row r="2647" spans="1:7">
      <c r="A2647" s="33">
        <v>44562</v>
      </c>
      <c r="B2647" s="29" t="s">
        <v>1660</v>
      </c>
      <c r="C2647" s="29" t="s">
        <v>1661</v>
      </c>
      <c r="D2647" s="29" t="s">
        <v>1662</v>
      </c>
      <c r="E2647" s="92">
        <v>3487945</v>
      </c>
      <c r="F2647" s="89" t="s">
        <v>1948</v>
      </c>
      <c r="G2647" s="29" t="s">
        <v>8485</v>
      </c>
    </row>
    <row r="2648" spans="1:7">
      <c r="A2648" s="33">
        <v>44563</v>
      </c>
      <c r="B2648" s="29" t="s">
        <v>1664</v>
      </c>
      <c r="C2648" s="29" t="s">
        <v>1665</v>
      </c>
      <c r="D2648" s="29" t="s">
        <v>1666</v>
      </c>
      <c r="E2648" s="92">
        <v>3486182</v>
      </c>
      <c r="F2648" s="89" t="s">
        <v>5510</v>
      </c>
      <c r="G2648" s="29" t="s">
        <v>9121</v>
      </c>
    </row>
    <row r="2649" spans="1:7">
      <c r="A2649" s="33">
        <v>44564</v>
      </c>
      <c r="B2649" s="29" t="s">
        <v>1668</v>
      </c>
      <c r="C2649" s="29" t="s">
        <v>1669</v>
      </c>
      <c r="D2649" s="29" t="s">
        <v>1670</v>
      </c>
      <c r="E2649" s="92">
        <v>3476115</v>
      </c>
      <c r="F2649" s="89" t="s">
        <v>1333</v>
      </c>
      <c r="G2649" s="29" t="s">
        <v>9410</v>
      </c>
    </row>
    <row r="2650" spans="1:7">
      <c r="A2650" s="33">
        <v>44565</v>
      </c>
      <c r="B2650" s="29" t="s">
        <v>1672</v>
      </c>
      <c r="C2650" s="29" t="s">
        <v>1673</v>
      </c>
      <c r="D2650" s="29" t="s">
        <v>1674</v>
      </c>
      <c r="E2650" s="92">
        <v>3466357</v>
      </c>
      <c r="F2650" s="89" t="s">
        <v>5508</v>
      </c>
      <c r="G2650" s="29" t="s">
        <v>8880</v>
      </c>
    </row>
    <row r="2651" spans="1:7">
      <c r="A2651" s="33">
        <v>44566</v>
      </c>
      <c r="B2651" s="29" t="s">
        <v>1676</v>
      </c>
      <c r="C2651" s="29" t="s">
        <v>1677</v>
      </c>
      <c r="D2651" s="29" t="s">
        <v>1678</v>
      </c>
      <c r="E2651" s="92">
        <v>3464013</v>
      </c>
      <c r="F2651" s="89" t="s">
        <v>1944</v>
      </c>
      <c r="G2651" s="29" t="s">
        <v>9475</v>
      </c>
    </row>
    <row r="2652" spans="1:7">
      <c r="A2652" s="33">
        <v>44567</v>
      </c>
      <c r="B2652" s="29" t="s">
        <v>1680</v>
      </c>
      <c r="C2652" s="29" t="s">
        <v>1681</v>
      </c>
      <c r="D2652" s="29" t="s">
        <v>1682</v>
      </c>
      <c r="E2652" s="92">
        <v>3459154</v>
      </c>
      <c r="F2652" s="89" t="s">
        <v>2043</v>
      </c>
      <c r="G2652" s="29" t="s">
        <v>8980</v>
      </c>
    </row>
    <row r="2653" spans="1:7">
      <c r="A2653" s="33">
        <v>44568</v>
      </c>
      <c r="B2653" s="29" t="s">
        <v>1684</v>
      </c>
      <c r="C2653" s="29" t="s">
        <v>1684</v>
      </c>
      <c r="D2653" s="29" t="s">
        <v>1685</v>
      </c>
      <c r="E2653" s="92">
        <v>3457793</v>
      </c>
      <c r="F2653" s="89" t="s">
        <v>5506</v>
      </c>
      <c r="G2653" s="29" t="s">
        <v>9506</v>
      </c>
    </row>
    <row r="2654" spans="1:7">
      <c r="A2654" s="33">
        <v>44569</v>
      </c>
      <c r="B2654" s="29" t="s">
        <v>1687</v>
      </c>
      <c r="C2654" s="29" t="s">
        <v>1688</v>
      </c>
      <c r="D2654" s="29" t="s">
        <v>1689</v>
      </c>
      <c r="E2654" s="92">
        <v>3448117</v>
      </c>
      <c r="F2654" s="89" t="s">
        <v>4257</v>
      </c>
      <c r="G2654" s="29" t="s">
        <v>8816</v>
      </c>
    </row>
    <row r="2655" spans="1:7">
      <c r="A2655" s="33">
        <v>44570</v>
      </c>
      <c r="B2655" s="29" t="s">
        <v>1691</v>
      </c>
      <c r="C2655" s="29" t="s">
        <v>1692</v>
      </c>
      <c r="D2655" s="29" t="s">
        <v>1693</v>
      </c>
      <c r="E2655" s="92">
        <v>3424588</v>
      </c>
      <c r="F2655" s="89" t="s">
        <v>1956</v>
      </c>
      <c r="G2655" s="29" t="s">
        <v>8397</v>
      </c>
    </row>
    <row r="2656" spans="1:7">
      <c r="A2656" s="33">
        <v>44571</v>
      </c>
      <c r="B2656" s="29" t="s">
        <v>1695</v>
      </c>
      <c r="C2656" s="29" t="s">
        <v>1696</v>
      </c>
      <c r="D2656" s="29" t="s">
        <v>1697</v>
      </c>
      <c r="E2656" s="92">
        <v>3419937</v>
      </c>
      <c r="F2656" s="89" t="s">
        <v>4397</v>
      </c>
      <c r="G2656" s="29" t="s">
        <v>9507</v>
      </c>
    </row>
    <row r="2657" spans="1:7">
      <c r="A2657" s="33">
        <v>44572</v>
      </c>
      <c r="B2657" s="29" t="s">
        <v>1699</v>
      </c>
      <c r="C2657" s="29" t="s">
        <v>1700</v>
      </c>
      <c r="D2657" s="29" t="s">
        <v>1701</v>
      </c>
      <c r="E2657" s="92">
        <v>3413768</v>
      </c>
      <c r="F2657" s="89" t="s">
        <v>5505</v>
      </c>
      <c r="G2657" s="29" t="s">
        <v>9097</v>
      </c>
    </row>
    <row r="2658" spans="1:7">
      <c r="A2658" s="33">
        <v>44573</v>
      </c>
      <c r="B2658" s="29" t="s">
        <v>1703</v>
      </c>
      <c r="C2658" s="29" t="s">
        <v>1704</v>
      </c>
      <c r="D2658" s="29" t="s">
        <v>1705</v>
      </c>
      <c r="E2658" s="92">
        <v>3399472</v>
      </c>
      <c r="F2658" s="89" t="s">
        <v>4273</v>
      </c>
      <c r="G2658" s="29" t="s">
        <v>9439</v>
      </c>
    </row>
    <row r="2659" spans="1:7">
      <c r="A2659" s="33">
        <v>44574</v>
      </c>
      <c r="B2659" s="29" t="s">
        <v>1707</v>
      </c>
      <c r="C2659" s="29" t="s">
        <v>1708</v>
      </c>
      <c r="D2659" s="29" t="s">
        <v>1709</v>
      </c>
      <c r="E2659" s="92">
        <v>3313677</v>
      </c>
      <c r="F2659" s="89" t="s">
        <v>2067</v>
      </c>
      <c r="G2659" s="29" t="s">
        <v>8914</v>
      </c>
    </row>
    <row r="2660" spans="1:7">
      <c r="A2660" s="33">
        <v>44575</v>
      </c>
      <c r="B2660" s="29" t="s">
        <v>1711</v>
      </c>
      <c r="C2660" s="29" t="s">
        <v>1712</v>
      </c>
      <c r="D2660" s="29" t="s">
        <v>1713</v>
      </c>
      <c r="E2660" s="92">
        <v>3252839</v>
      </c>
      <c r="F2660" s="89" t="s">
        <v>5504</v>
      </c>
      <c r="G2660" s="29" t="s">
        <v>8626</v>
      </c>
    </row>
    <row r="2661" spans="1:7">
      <c r="A2661" s="33">
        <v>44576</v>
      </c>
      <c r="B2661" s="29" t="s">
        <v>1715</v>
      </c>
      <c r="C2661" s="29" t="s">
        <v>1716</v>
      </c>
      <c r="D2661" s="29" t="s">
        <v>1717</v>
      </c>
      <c r="E2661" s="92">
        <v>3242485</v>
      </c>
      <c r="F2661" s="89" t="s">
        <v>1797</v>
      </c>
      <c r="G2661" s="29" t="s">
        <v>6787</v>
      </c>
    </row>
    <row r="2662" spans="1:7">
      <c r="A2662" s="33">
        <v>44577</v>
      </c>
      <c r="B2662" s="29" t="s">
        <v>1719</v>
      </c>
      <c r="C2662" s="29" t="s">
        <v>1720</v>
      </c>
      <c r="D2662" s="29" t="s">
        <v>1721</v>
      </c>
      <c r="E2662" s="92">
        <v>999181</v>
      </c>
      <c r="F2662" s="89" t="s">
        <v>4261</v>
      </c>
      <c r="G2662" s="29" t="s">
        <v>8600</v>
      </c>
    </row>
    <row r="2663" spans="1:7">
      <c r="A2663" s="33">
        <v>44578</v>
      </c>
      <c r="B2663" s="29" t="s">
        <v>1723</v>
      </c>
      <c r="C2663" s="29" t="s">
        <v>1724</v>
      </c>
      <c r="D2663" s="29" t="s">
        <v>1725</v>
      </c>
      <c r="E2663" s="92">
        <v>998325</v>
      </c>
      <c r="F2663" s="89" t="s">
        <v>1793</v>
      </c>
      <c r="G2663" s="29" t="s">
        <v>8756</v>
      </c>
    </row>
    <row r="2664" spans="1:7">
      <c r="A2664" s="33">
        <v>44579</v>
      </c>
      <c r="B2664" s="29" t="s">
        <v>1727</v>
      </c>
      <c r="C2664" s="29" t="s">
        <v>1728</v>
      </c>
      <c r="D2664" s="29" t="s">
        <v>1729</v>
      </c>
      <c r="E2664" s="92">
        <v>994383</v>
      </c>
      <c r="F2664" s="89" t="s">
        <v>2063</v>
      </c>
      <c r="G2664" s="29" t="s">
        <v>8805</v>
      </c>
    </row>
    <row r="2665" spans="1:7">
      <c r="A2665" s="33">
        <v>44580</v>
      </c>
      <c r="B2665" s="29" t="s">
        <v>1731</v>
      </c>
      <c r="C2665" s="29" t="s">
        <v>1732</v>
      </c>
      <c r="D2665" s="29" t="s">
        <v>1733</v>
      </c>
      <c r="E2665" s="92">
        <v>990642</v>
      </c>
      <c r="F2665" s="89" t="s">
        <v>5496</v>
      </c>
      <c r="G2665" s="29" t="s">
        <v>8782</v>
      </c>
    </row>
    <row r="2666" spans="1:7">
      <c r="A2666" s="33">
        <v>44581</v>
      </c>
      <c r="B2666" s="29" t="s">
        <v>1735</v>
      </c>
      <c r="C2666" s="29" t="s">
        <v>1736</v>
      </c>
      <c r="D2666" s="29" t="s">
        <v>1737</v>
      </c>
      <c r="E2666" s="92">
        <v>989023</v>
      </c>
      <c r="F2666" s="89" t="s">
        <v>4409</v>
      </c>
      <c r="G2666" s="29" t="s">
        <v>8974</v>
      </c>
    </row>
    <row r="2667" spans="1:7">
      <c r="A2667" s="33">
        <v>44582</v>
      </c>
      <c r="B2667" s="29" t="s">
        <v>1739</v>
      </c>
      <c r="C2667" s="29" t="s">
        <v>1740</v>
      </c>
      <c r="D2667" s="29" t="s">
        <v>1741</v>
      </c>
      <c r="E2667" s="92">
        <v>988674</v>
      </c>
      <c r="F2667" s="89" t="s">
        <v>1686</v>
      </c>
      <c r="G2667" s="29" t="s">
        <v>9508</v>
      </c>
    </row>
    <row r="2668" spans="1:7">
      <c r="A2668" s="33">
        <v>44583</v>
      </c>
      <c r="B2668" s="29" t="s">
        <v>9509</v>
      </c>
      <c r="C2668" s="29" t="s">
        <v>9510</v>
      </c>
      <c r="D2668" s="29" t="s">
        <v>9511</v>
      </c>
      <c r="E2668" s="92">
        <v>975921</v>
      </c>
      <c r="F2668" s="89" t="s">
        <v>1337</v>
      </c>
      <c r="G2668" s="29" t="s">
        <v>8892</v>
      </c>
    </row>
    <row r="2669" spans="1:7">
      <c r="A2669" s="33">
        <v>44584</v>
      </c>
      <c r="B2669" s="29" t="s">
        <v>1743</v>
      </c>
      <c r="C2669" s="29" t="s">
        <v>1744</v>
      </c>
      <c r="D2669" s="29" t="s">
        <v>1745</v>
      </c>
      <c r="E2669" s="92">
        <v>973818</v>
      </c>
      <c r="F2669" s="89" t="s">
        <v>5493</v>
      </c>
      <c r="G2669" s="29" t="s">
        <v>9075</v>
      </c>
    </row>
    <row r="2670" spans="1:7">
      <c r="A2670" s="33">
        <v>44585</v>
      </c>
      <c r="B2670" s="29" t="s">
        <v>1747</v>
      </c>
      <c r="C2670" s="29" t="s">
        <v>1748</v>
      </c>
      <c r="D2670" s="29" t="s">
        <v>1749</v>
      </c>
      <c r="E2670" s="92">
        <v>973497</v>
      </c>
      <c r="F2670" s="89" t="s">
        <v>5491</v>
      </c>
      <c r="G2670" s="29" t="s">
        <v>9512</v>
      </c>
    </row>
    <row r="2671" spans="1:7">
      <c r="A2671" s="33">
        <v>44586</v>
      </c>
      <c r="B2671" s="29" t="s">
        <v>1751</v>
      </c>
      <c r="C2671" s="29" t="s">
        <v>1752</v>
      </c>
      <c r="D2671" s="29" t="s">
        <v>1753</v>
      </c>
      <c r="E2671" s="92">
        <v>972779</v>
      </c>
      <c r="F2671" s="89" t="s">
        <v>5490</v>
      </c>
      <c r="G2671" s="29" t="s">
        <v>8828</v>
      </c>
    </row>
    <row r="2672" spans="1:7">
      <c r="A2672" s="33">
        <v>44587</v>
      </c>
      <c r="B2672" s="29" t="s">
        <v>1755</v>
      </c>
      <c r="C2672" s="29" t="s">
        <v>1756</v>
      </c>
      <c r="D2672" s="29" t="s">
        <v>1757</v>
      </c>
      <c r="E2672" s="92">
        <v>970403</v>
      </c>
      <c r="F2672" s="89" t="s">
        <v>4401</v>
      </c>
      <c r="G2672" s="29" t="s">
        <v>8823</v>
      </c>
    </row>
    <row r="2673" spans="1:7">
      <c r="A2673" s="33">
        <v>44588</v>
      </c>
      <c r="B2673" s="29" t="s">
        <v>1759</v>
      </c>
      <c r="C2673" s="29" t="s">
        <v>1760</v>
      </c>
      <c r="D2673" s="29" t="s">
        <v>1761</v>
      </c>
      <c r="E2673" s="92">
        <v>966725</v>
      </c>
      <c r="F2673" s="89" t="s">
        <v>1125</v>
      </c>
      <c r="G2673" s="29" t="s">
        <v>8755</v>
      </c>
    </row>
    <row r="2674" spans="1:7">
      <c r="A2674" s="33">
        <v>44589</v>
      </c>
      <c r="B2674" s="29" t="s">
        <v>1763</v>
      </c>
      <c r="C2674" s="29" t="s">
        <v>1764</v>
      </c>
      <c r="D2674" s="29" t="s">
        <v>1765</v>
      </c>
      <c r="E2674" s="92">
        <v>963743</v>
      </c>
      <c r="F2674" s="89" t="s">
        <v>5488</v>
      </c>
      <c r="G2674" s="29" t="s">
        <v>6729</v>
      </c>
    </row>
    <row r="2675" spans="1:7">
      <c r="A2675" s="33">
        <v>44590</v>
      </c>
      <c r="B2675" s="29" t="s">
        <v>1767</v>
      </c>
      <c r="C2675" s="29" t="s">
        <v>1768</v>
      </c>
      <c r="D2675" s="29" t="s">
        <v>1769</v>
      </c>
      <c r="E2675" s="92">
        <v>961238</v>
      </c>
      <c r="F2675" s="89" t="s">
        <v>4405</v>
      </c>
      <c r="G2675" s="29" t="s">
        <v>8407</v>
      </c>
    </row>
    <row r="2676" spans="1:7">
      <c r="A2676" s="33">
        <v>44591</v>
      </c>
      <c r="B2676" s="29" t="s">
        <v>1771</v>
      </c>
      <c r="C2676" s="29" t="s">
        <v>1772</v>
      </c>
      <c r="D2676" s="29" t="s">
        <v>1773</v>
      </c>
      <c r="E2676" s="92">
        <v>933198</v>
      </c>
      <c r="F2676" s="89" t="s">
        <v>5485</v>
      </c>
      <c r="G2676" s="29" t="s">
        <v>6696</v>
      </c>
    </row>
    <row r="2677" spans="1:7">
      <c r="A2677" s="33">
        <v>44592</v>
      </c>
      <c r="B2677" s="29" t="s">
        <v>1775</v>
      </c>
      <c r="C2677" s="29" t="s">
        <v>1776</v>
      </c>
      <c r="D2677" s="29" t="s">
        <v>1777</v>
      </c>
      <c r="E2677" s="92">
        <v>924673</v>
      </c>
      <c r="F2677" s="89" t="s">
        <v>1690</v>
      </c>
      <c r="G2677" s="29" t="s">
        <v>8586</v>
      </c>
    </row>
    <row r="2678" spans="1:7">
      <c r="A2678" s="33">
        <v>44593</v>
      </c>
      <c r="B2678" s="29" t="s">
        <v>1779</v>
      </c>
      <c r="C2678" s="29" t="s">
        <v>1780</v>
      </c>
      <c r="D2678" s="29" t="s">
        <v>1781</v>
      </c>
      <c r="E2678" s="92">
        <v>921984</v>
      </c>
      <c r="F2678" s="89" t="s">
        <v>5483</v>
      </c>
      <c r="G2678" s="29" t="s">
        <v>8481</v>
      </c>
    </row>
    <row r="2679" spans="1:7">
      <c r="A2679" s="33">
        <v>44594</v>
      </c>
      <c r="B2679" s="29" t="s">
        <v>1783</v>
      </c>
      <c r="C2679" s="29" t="s">
        <v>1784</v>
      </c>
      <c r="D2679" s="29" t="s">
        <v>1785</v>
      </c>
      <c r="E2679" s="92">
        <v>921789</v>
      </c>
      <c r="F2679" s="89" t="s">
        <v>1734</v>
      </c>
      <c r="G2679" s="29" t="s">
        <v>9513</v>
      </c>
    </row>
    <row r="2680" spans="1:7">
      <c r="A2680" s="33">
        <v>44595</v>
      </c>
      <c r="B2680" s="29" t="s">
        <v>1787</v>
      </c>
      <c r="C2680" s="29" t="s">
        <v>1788</v>
      </c>
      <c r="D2680" s="29" t="s">
        <v>1789</v>
      </c>
      <c r="E2680" s="92">
        <v>921012</v>
      </c>
      <c r="F2680" s="89" t="s">
        <v>4381</v>
      </c>
      <c r="G2680" s="29" t="s">
        <v>8814</v>
      </c>
    </row>
    <row r="2681" spans="1:7">
      <c r="A2681" s="33">
        <v>44596</v>
      </c>
      <c r="B2681" s="29" t="s">
        <v>1790</v>
      </c>
      <c r="C2681" s="29" t="s">
        <v>1791</v>
      </c>
      <c r="D2681" s="29" t="s">
        <v>1792</v>
      </c>
      <c r="E2681" s="92">
        <v>920382</v>
      </c>
      <c r="F2681" s="89" t="s">
        <v>5477</v>
      </c>
      <c r="G2681" s="29" t="s">
        <v>4778</v>
      </c>
    </row>
    <row r="2682" spans="1:7">
      <c r="A2682" s="33">
        <v>44597</v>
      </c>
      <c r="B2682" s="29" t="s">
        <v>1794</v>
      </c>
      <c r="C2682" s="29" t="s">
        <v>1795</v>
      </c>
      <c r="D2682" s="29" t="s">
        <v>1796</v>
      </c>
      <c r="E2682" s="92">
        <v>919496</v>
      </c>
      <c r="F2682" s="89" t="s">
        <v>4429</v>
      </c>
      <c r="G2682" s="29" t="s">
        <v>8799</v>
      </c>
    </row>
    <row r="2683" spans="1:7">
      <c r="A2683" s="33">
        <v>44598</v>
      </c>
      <c r="B2683" s="29" t="s">
        <v>1798</v>
      </c>
      <c r="C2683" s="29" t="s">
        <v>1799</v>
      </c>
      <c r="D2683" s="29" t="s">
        <v>1800</v>
      </c>
      <c r="E2683" s="92">
        <v>917586</v>
      </c>
      <c r="F2683" s="89" t="s">
        <v>1698</v>
      </c>
      <c r="G2683" s="29" t="s">
        <v>8768</v>
      </c>
    </row>
    <row r="2684" spans="1:7">
      <c r="A2684" s="33">
        <v>44599</v>
      </c>
      <c r="B2684" s="29" t="s">
        <v>1802</v>
      </c>
      <c r="C2684" s="29" t="s">
        <v>1803</v>
      </c>
      <c r="D2684" s="29" t="s">
        <v>1804</v>
      </c>
      <c r="E2684" s="92">
        <v>911199</v>
      </c>
      <c r="F2684" s="89" t="s">
        <v>1694</v>
      </c>
      <c r="G2684" s="29" t="s">
        <v>8567</v>
      </c>
    </row>
    <row r="2685" spans="1:7">
      <c r="A2685" s="33">
        <v>44600</v>
      </c>
      <c r="B2685" s="29" t="s">
        <v>1806</v>
      </c>
      <c r="C2685" s="29" t="s">
        <v>1807</v>
      </c>
      <c r="D2685" s="29" t="s">
        <v>1808</v>
      </c>
      <c r="E2685" s="92">
        <v>908585</v>
      </c>
      <c r="F2685" s="89" t="s">
        <v>5474</v>
      </c>
      <c r="G2685" s="29" t="s">
        <v>9410</v>
      </c>
    </row>
    <row r="2686" spans="1:7">
      <c r="A2686" s="33">
        <v>44601</v>
      </c>
      <c r="B2686" s="29" t="s">
        <v>1810</v>
      </c>
      <c r="C2686" s="29" t="s">
        <v>1811</v>
      </c>
      <c r="D2686" s="29" t="s">
        <v>1812</v>
      </c>
      <c r="E2686" s="92">
        <v>907679</v>
      </c>
      <c r="F2686" s="89" t="s">
        <v>5473</v>
      </c>
      <c r="G2686" s="29" t="s">
        <v>9016</v>
      </c>
    </row>
    <row r="2687" spans="1:7">
      <c r="A2687" s="33">
        <v>44602</v>
      </c>
      <c r="B2687" s="29" t="s">
        <v>9514</v>
      </c>
      <c r="C2687" s="29" t="s">
        <v>9515</v>
      </c>
      <c r="D2687" s="29" t="s">
        <v>9516</v>
      </c>
      <c r="E2687" s="92">
        <v>902828</v>
      </c>
      <c r="F2687" s="89" t="s">
        <v>4229</v>
      </c>
      <c r="G2687" s="29" t="s">
        <v>9507</v>
      </c>
    </row>
    <row r="2688" spans="1:7">
      <c r="A2688" s="33">
        <v>44603</v>
      </c>
      <c r="B2688" s="29" t="s">
        <v>1814</v>
      </c>
      <c r="C2688" s="29" t="s">
        <v>1815</v>
      </c>
      <c r="D2688" s="29" t="s">
        <v>1816</v>
      </c>
      <c r="E2688" s="92">
        <v>902201</v>
      </c>
      <c r="F2688" s="89" t="s">
        <v>1916</v>
      </c>
      <c r="G2688" s="29" t="s">
        <v>9053</v>
      </c>
    </row>
    <row r="2689" spans="1:7">
      <c r="A2689" s="33">
        <v>44604</v>
      </c>
      <c r="B2689" s="29" t="s">
        <v>1818</v>
      </c>
      <c r="C2689" s="29" t="s">
        <v>1819</v>
      </c>
      <c r="D2689" s="29" t="s">
        <v>1820</v>
      </c>
      <c r="E2689" s="92">
        <v>901542</v>
      </c>
      <c r="F2689" s="89" t="s">
        <v>5471</v>
      </c>
      <c r="G2689" s="29" t="s">
        <v>8802</v>
      </c>
    </row>
    <row r="2690" spans="1:7">
      <c r="A2690" s="33">
        <v>44605</v>
      </c>
      <c r="B2690" s="29" t="s">
        <v>1822</v>
      </c>
      <c r="C2690" s="29" t="s">
        <v>1823</v>
      </c>
      <c r="D2690" s="29" t="s">
        <v>1824</v>
      </c>
      <c r="E2690" s="92">
        <v>899073</v>
      </c>
      <c r="F2690" s="89" t="s">
        <v>5470</v>
      </c>
      <c r="G2690" s="29" t="s">
        <v>4955</v>
      </c>
    </row>
    <row r="2691" spans="1:7">
      <c r="A2691" s="33">
        <v>44606</v>
      </c>
      <c r="B2691" s="29" t="s">
        <v>1826</v>
      </c>
      <c r="C2691" s="29" t="s">
        <v>1827</v>
      </c>
      <c r="D2691" s="29" t="s">
        <v>1828</v>
      </c>
      <c r="E2691" s="92">
        <v>898822</v>
      </c>
      <c r="F2691" s="89" t="s">
        <v>4437</v>
      </c>
      <c r="G2691" s="29" t="s">
        <v>8791</v>
      </c>
    </row>
    <row r="2692" spans="1:7">
      <c r="A2692" s="33">
        <v>44607</v>
      </c>
      <c r="B2692" s="29" t="s">
        <v>1830</v>
      </c>
      <c r="C2692" s="29" t="s">
        <v>1831</v>
      </c>
      <c r="D2692" s="29" t="s">
        <v>1832</v>
      </c>
      <c r="E2692" s="92">
        <v>895026</v>
      </c>
      <c r="F2692" s="89" t="s">
        <v>4317</v>
      </c>
      <c r="G2692" s="29" t="s">
        <v>8783</v>
      </c>
    </row>
    <row r="2693" spans="1:7">
      <c r="A2693" s="33">
        <v>44608</v>
      </c>
      <c r="B2693" s="29" t="s">
        <v>1834</v>
      </c>
      <c r="C2693" s="29" t="s">
        <v>1834</v>
      </c>
      <c r="D2693" s="29" t="s">
        <v>1835</v>
      </c>
      <c r="E2693" s="92">
        <v>892687</v>
      </c>
      <c r="F2693" s="89" t="s">
        <v>5468</v>
      </c>
      <c r="G2693" s="29" t="s">
        <v>8494</v>
      </c>
    </row>
    <row r="2694" spans="1:7">
      <c r="A2694" s="33">
        <v>44609</v>
      </c>
      <c r="B2694" s="29" t="s">
        <v>1837</v>
      </c>
      <c r="C2694" s="29" t="s">
        <v>1838</v>
      </c>
      <c r="D2694" s="29" t="s">
        <v>1839</v>
      </c>
      <c r="E2694" s="92">
        <v>886618</v>
      </c>
      <c r="F2694" s="89" t="s">
        <v>4433</v>
      </c>
      <c r="G2694" s="29" t="s">
        <v>8781</v>
      </c>
    </row>
    <row r="2695" spans="1:7">
      <c r="A2695" s="33">
        <v>44610</v>
      </c>
      <c r="B2695" s="29" t="s">
        <v>1841</v>
      </c>
      <c r="C2695" s="29" t="s">
        <v>1842</v>
      </c>
      <c r="D2695" s="29" t="s">
        <v>1843</v>
      </c>
      <c r="E2695" s="92">
        <v>834281</v>
      </c>
      <c r="F2695" s="89" t="s">
        <v>4321</v>
      </c>
      <c r="G2695" s="29" t="s">
        <v>8496</v>
      </c>
    </row>
    <row r="2696" spans="1:7">
      <c r="A2696" s="33">
        <v>44611</v>
      </c>
      <c r="B2696" s="29" t="s">
        <v>1845</v>
      </c>
      <c r="C2696" s="29" t="s">
        <v>1846</v>
      </c>
      <c r="D2696" s="29" t="s">
        <v>1847</v>
      </c>
      <c r="E2696" s="92">
        <v>831534</v>
      </c>
      <c r="F2696" s="89" t="s">
        <v>1952</v>
      </c>
      <c r="G2696" s="29" t="s">
        <v>8415</v>
      </c>
    </row>
    <row r="2697" spans="1:7">
      <c r="A2697" s="33">
        <v>44612</v>
      </c>
      <c r="B2697" s="29" t="s">
        <v>1849</v>
      </c>
      <c r="C2697" s="29" t="s">
        <v>1850</v>
      </c>
      <c r="D2697" s="29" t="s">
        <v>1851</v>
      </c>
      <c r="E2697" s="92">
        <v>823984</v>
      </c>
      <c r="F2697" s="89" t="s">
        <v>1825</v>
      </c>
      <c r="G2697" s="29" t="s">
        <v>6779</v>
      </c>
    </row>
    <row r="2698" spans="1:7">
      <c r="A2698" s="33">
        <v>44613</v>
      </c>
      <c r="B2698" s="29" t="s">
        <v>1853</v>
      </c>
      <c r="C2698" s="29" t="s">
        <v>1854</v>
      </c>
      <c r="D2698" s="29" t="s">
        <v>1855</v>
      </c>
      <c r="E2698" s="92">
        <v>821798</v>
      </c>
      <c r="F2698" s="89" t="s">
        <v>2035</v>
      </c>
      <c r="G2698" s="29" t="s">
        <v>9517</v>
      </c>
    </row>
    <row r="2699" spans="1:7">
      <c r="A2699" s="33">
        <v>44614</v>
      </c>
      <c r="B2699" s="29" t="s">
        <v>1857</v>
      </c>
      <c r="C2699" s="29" t="s">
        <v>1858</v>
      </c>
      <c r="D2699" s="29" t="s">
        <v>1859</v>
      </c>
      <c r="E2699" s="92">
        <v>818412</v>
      </c>
      <c r="F2699" s="89" t="s">
        <v>1120</v>
      </c>
      <c r="G2699" s="29" t="s">
        <v>8820</v>
      </c>
    </row>
    <row r="2700" spans="1:7">
      <c r="A2700" s="33">
        <v>44615</v>
      </c>
      <c r="B2700" s="29" t="s">
        <v>1861</v>
      </c>
      <c r="C2700" s="29" t="s">
        <v>1862</v>
      </c>
      <c r="D2700" s="29" t="s">
        <v>1863</v>
      </c>
      <c r="E2700" s="92">
        <v>804834</v>
      </c>
      <c r="F2700" s="89" t="s">
        <v>1329</v>
      </c>
      <c r="G2700" s="29" t="s">
        <v>6771</v>
      </c>
    </row>
    <row r="2701" spans="1:7">
      <c r="A2701" s="33">
        <v>44616</v>
      </c>
      <c r="B2701" s="29" t="s">
        <v>1865</v>
      </c>
      <c r="C2701" s="29" t="s">
        <v>1866</v>
      </c>
      <c r="D2701" s="29" t="s">
        <v>1867</v>
      </c>
      <c r="E2701" s="92">
        <v>792714</v>
      </c>
      <c r="F2701" s="89" t="s">
        <v>4269</v>
      </c>
      <c r="G2701" s="29" t="s">
        <v>9417</v>
      </c>
    </row>
    <row r="2702" spans="1:7">
      <c r="A2702" s="33">
        <v>44617</v>
      </c>
      <c r="B2702" s="29" t="s">
        <v>1869</v>
      </c>
      <c r="C2702" s="29" t="s">
        <v>1870</v>
      </c>
      <c r="D2702" s="29" t="s">
        <v>1871</v>
      </c>
      <c r="E2702" s="92">
        <v>790829</v>
      </c>
      <c r="F2702" s="89" t="s">
        <v>1821</v>
      </c>
      <c r="G2702" s="29" t="s">
        <v>9425</v>
      </c>
    </row>
    <row r="2703" spans="1:7">
      <c r="A2703" s="33">
        <v>44618</v>
      </c>
      <c r="B2703" s="29" t="s">
        <v>1873</v>
      </c>
      <c r="C2703" s="29" t="s">
        <v>1874</v>
      </c>
      <c r="D2703" s="29" t="s">
        <v>1875</v>
      </c>
      <c r="E2703" s="92">
        <v>784907</v>
      </c>
      <c r="F2703" s="89" t="s">
        <v>1726</v>
      </c>
      <c r="G2703" s="29" t="s">
        <v>8612</v>
      </c>
    </row>
    <row r="2704" spans="1:7">
      <c r="A2704" s="33">
        <v>44619</v>
      </c>
      <c r="B2704" s="29" t="s">
        <v>1877</v>
      </c>
      <c r="C2704" s="29" t="s">
        <v>1878</v>
      </c>
      <c r="D2704" s="29" t="s">
        <v>1879</v>
      </c>
      <c r="E2704" s="92">
        <v>780087</v>
      </c>
      <c r="F2704" s="89" t="s">
        <v>5462</v>
      </c>
      <c r="G2704" s="29" t="s">
        <v>8476</v>
      </c>
    </row>
    <row r="2705" spans="1:7">
      <c r="A2705" s="33">
        <v>44620</v>
      </c>
      <c r="B2705" s="29">
        <v>37706</v>
      </c>
      <c r="C2705" s="29" t="s">
        <v>1882</v>
      </c>
      <c r="D2705" s="29" t="s">
        <v>1883</v>
      </c>
      <c r="E2705" s="92">
        <v>778088</v>
      </c>
      <c r="F2705" s="89" t="s">
        <v>4325</v>
      </c>
      <c r="G2705" s="29" t="s">
        <v>9518</v>
      </c>
    </row>
    <row r="2706" spans="1:7">
      <c r="A2706" s="33">
        <v>44621</v>
      </c>
      <c r="B2706" s="29" t="s">
        <v>1885</v>
      </c>
      <c r="C2706" s="29" t="s">
        <v>1886</v>
      </c>
      <c r="D2706" s="29" t="s">
        <v>1887</v>
      </c>
      <c r="E2706" s="92">
        <v>777944</v>
      </c>
      <c r="F2706" s="89" t="s">
        <v>4281</v>
      </c>
      <c r="G2706" s="29" t="s">
        <v>8932</v>
      </c>
    </row>
    <row r="2707" spans="1:7">
      <c r="A2707" s="33">
        <v>44622</v>
      </c>
      <c r="B2707" s="29" t="s">
        <v>1889</v>
      </c>
      <c r="C2707" s="29" t="s">
        <v>1890</v>
      </c>
      <c r="D2707" s="29" t="s">
        <v>1891</v>
      </c>
      <c r="E2707" s="92">
        <v>777757</v>
      </c>
      <c r="F2707" s="89" t="s">
        <v>5461</v>
      </c>
      <c r="G2707" s="29" t="s">
        <v>8477</v>
      </c>
    </row>
    <row r="2708" spans="1:7">
      <c r="A2708" s="33">
        <v>44623</v>
      </c>
      <c r="B2708" s="29" t="s">
        <v>9519</v>
      </c>
      <c r="C2708" s="29" t="s">
        <v>4778</v>
      </c>
      <c r="D2708" s="29" t="s">
        <v>9520</v>
      </c>
      <c r="E2708" s="92">
        <v>773872</v>
      </c>
      <c r="F2708" s="89" t="s">
        <v>2027</v>
      </c>
      <c r="G2708" s="29" t="s">
        <v>8755</v>
      </c>
    </row>
    <row r="2709" spans="1:7">
      <c r="A2709" s="33">
        <v>44624</v>
      </c>
      <c r="B2709" s="29" t="s">
        <v>1893</v>
      </c>
      <c r="C2709" s="29" t="s">
        <v>1894</v>
      </c>
      <c r="D2709" s="29" t="s">
        <v>1895</v>
      </c>
      <c r="E2709" s="92">
        <v>772794</v>
      </c>
      <c r="F2709" s="89" t="s">
        <v>5459</v>
      </c>
      <c r="G2709" s="29" t="s">
        <v>9498</v>
      </c>
    </row>
    <row r="2710" spans="1:7">
      <c r="A2710" s="33">
        <v>44625</v>
      </c>
      <c r="B2710" s="29" t="s">
        <v>1897</v>
      </c>
      <c r="C2710" s="29" t="s">
        <v>1898</v>
      </c>
      <c r="D2710" s="29" t="s">
        <v>1899</v>
      </c>
      <c r="E2710" s="92">
        <v>771155</v>
      </c>
      <c r="F2710" s="89" t="s">
        <v>1964</v>
      </c>
      <c r="G2710" s="29" t="s">
        <v>8430</v>
      </c>
    </row>
    <row r="2711" spans="1:7">
      <c r="A2711" s="33">
        <v>44626</v>
      </c>
      <c r="B2711" s="29" t="s">
        <v>1901</v>
      </c>
      <c r="C2711" s="29" t="s">
        <v>1902</v>
      </c>
      <c r="D2711" s="29" t="s">
        <v>1903</v>
      </c>
      <c r="E2711" s="92">
        <v>769731</v>
      </c>
      <c r="F2711" s="89" t="s">
        <v>5458</v>
      </c>
      <c r="G2711" s="29" t="s">
        <v>8799</v>
      </c>
    </row>
    <row r="2712" spans="1:7">
      <c r="A2712" s="33">
        <v>44627</v>
      </c>
      <c r="B2712" s="29" t="s">
        <v>1905</v>
      </c>
      <c r="C2712" s="29" t="s">
        <v>1906</v>
      </c>
      <c r="D2712" s="29" t="s">
        <v>1907</v>
      </c>
      <c r="E2712" s="92">
        <v>768132</v>
      </c>
      <c r="F2712" s="89" t="s">
        <v>1730</v>
      </c>
      <c r="G2712" s="29" t="s">
        <v>9498</v>
      </c>
    </row>
    <row r="2713" spans="1:7">
      <c r="A2713" s="33">
        <v>44628</v>
      </c>
      <c r="B2713" s="29" t="s">
        <v>1909</v>
      </c>
      <c r="C2713" s="29" t="s">
        <v>1910</v>
      </c>
      <c r="D2713" s="29" t="s">
        <v>1911</v>
      </c>
      <c r="E2713" s="92">
        <v>766308</v>
      </c>
      <c r="F2713" s="89" t="s">
        <v>5457</v>
      </c>
      <c r="G2713" s="29" t="s">
        <v>8831</v>
      </c>
    </row>
    <row r="2714" spans="1:7">
      <c r="A2714" s="33">
        <v>44629</v>
      </c>
      <c r="B2714" s="29" t="s">
        <v>1913</v>
      </c>
      <c r="C2714" s="29" t="s">
        <v>1914</v>
      </c>
      <c r="D2714" s="29" t="s">
        <v>1915</v>
      </c>
      <c r="E2714" s="92">
        <v>764224</v>
      </c>
      <c r="F2714" s="89" t="s">
        <v>5456</v>
      </c>
      <c r="G2714" s="29" t="s">
        <v>8826</v>
      </c>
    </row>
    <row r="2715" spans="1:7">
      <c r="A2715" s="33">
        <v>44630</v>
      </c>
      <c r="B2715" s="29" t="s">
        <v>1917</v>
      </c>
      <c r="C2715" s="29" t="s">
        <v>1918</v>
      </c>
      <c r="D2715" s="29" t="s">
        <v>1919</v>
      </c>
      <c r="E2715" s="92">
        <v>763781</v>
      </c>
      <c r="F2715" s="89" t="s">
        <v>1817</v>
      </c>
      <c r="G2715" s="29" t="s">
        <v>4778</v>
      </c>
    </row>
    <row r="2716" spans="1:7">
      <c r="A2716" s="33">
        <v>44631</v>
      </c>
      <c r="B2716" s="29" t="s">
        <v>1921</v>
      </c>
      <c r="C2716" s="29" t="s">
        <v>1922</v>
      </c>
      <c r="D2716" s="29" t="s">
        <v>1923</v>
      </c>
      <c r="E2716" s="92">
        <v>756774</v>
      </c>
      <c r="F2716" s="89" t="s">
        <v>1801</v>
      </c>
      <c r="G2716" s="29" t="s">
        <v>8828</v>
      </c>
    </row>
    <row r="2717" spans="1:7">
      <c r="A2717" s="33">
        <v>44632</v>
      </c>
      <c r="B2717" s="29" t="s">
        <v>1925</v>
      </c>
      <c r="C2717" s="29" t="s">
        <v>1926</v>
      </c>
      <c r="D2717" s="29" t="s">
        <v>1927</v>
      </c>
      <c r="E2717" s="92">
        <v>756227</v>
      </c>
      <c r="F2717" s="89" t="s">
        <v>5455</v>
      </c>
      <c r="G2717" s="29" t="s">
        <v>6696</v>
      </c>
    </row>
    <row r="2718" spans="1:7">
      <c r="A2718" s="33">
        <v>44633</v>
      </c>
      <c r="B2718" s="29" t="s">
        <v>1929</v>
      </c>
      <c r="C2718" s="29" t="s">
        <v>1930</v>
      </c>
      <c r="D2718" s="29" t="s">
        <v>1931</v>
      </c>
      <c r="E2718" s="92">
        <v>751616</v>
      </c>
      <c r="F2718" s="89" t="s">
        <v>5453</v>
      </c>
      <c r="G2718" s="29" t="s">
        <v>8988</v>
      </c>
    </row>
    <row r="2719" spans="1:7">
      <c r="A2719" s="33">
        <v>44634</v>
      </c>
      <c r="B2719" s="29" t="s">
        <v>1933</v>
      </c>
      <c r="C2719" s="29" t="s">
        <v>1934</v>
      </c>
      <c r="D2719" s="29" t="s">
        <v>1935</v>
      </c>
      <c r="E2719" s="92">
        <v>751585</v>
      </c>
      <c r="F2719" s="89" t="s">
        <v>4385</v>
      </c>
      <c r="G2719" s="29" t="s">
        <v>8779</v>
      </c>
    </row>
    <row r="2720" spans="1:7">
      <c r="A2720" s="33">
        <v>44635</v>
      </c>
      <c r="B2720" s="29" t="s">
        <v>1937</v>
      </c>
      <c r="C2720" s="29" t="s">
        <v>1938</v>
      </c>
      <c r="D2720" s="29" t="s">
        <v>1939</v>
      </c>
      <c r="E2720" s="92">
        <v>751347</v>
      </c>
      <c r="F2720" s="89" t="s">
        <v>4309</v>
      </c>
      <c r="G2720" s="29" t="s">
        <v>8622</v>
      </c>
    </row>
    <row r="2721" spans="1:7">
      <c r="A2721" s="33">
        <v>44636</v>
      </c>
      <c r="B2721" s="29" t="s">
        <v>1941</v>
      </c>
      <c r="C2721" s="29" t="s">
        <v>1942</v>
      </c>
      <c r="D2721" s="29" t="s">
        <v>1943</v>
      </c>
      <c r="E2721" s="92">
        <v>748909</v>
      </c>
      <c r="F2721" s="89" t="s">
        <v>5451</v>
      </c>
      <c r="G2721" s="29" t="s">
        <v>9521</v>
      </c>
    </row>
    <row r="2722" spans="1:7">
      <c r="A2722" s="33">
        <v>44637</v>
      </c>
      <c r="B2722" s="29" t="s">
        <v>1945</v>
      </c>
      <c r="C2722" s="29" t="s">
        <v>1946</v>
      </c>
      <c r="D2722" s="29" t="s">
        <v>1947</v>
      </c>
      <c r="E2722" s="92">
        <v>745691</v>
      </c>
      <c r="F2722" s="89" t="s">
        <v>4445</v>
      </c>
      <c r="G2722" s="29" t="s">
        <v>8483</v>
      </c>
    </row>
    <row r="2723" spans="1:7">
      <c r="A2723" s="33">
        <v>44638</v>
      </c>
      <c r="B2723" s="29" t="s">
        <v>9522</v>
      </c>
      <c r="C2723" s="29" t="s">
        <v>9523</v>
      </c>
      <c r="D2723" s="29" t="s">
        <v>9524</v>
      </c>
      <c r="E2723" s="92">
        <v>744594</v>
      </c>
      <c r="F2723" s="89" t="s">
        <v>4461</v>
      </c>
      <c r="G2723" s="29" t="s">
        <v>8834</v>
      </c>
    </row>
    <row r="2724" spans="1:7">
      <c r="A2724" s="33">
        <v>44639</v>
      </c>
      <c r="B2724" s="29" t="s">
        <v>1949</v>
      </c>
      <c r="C2724" s="29" t="s">
        <v>1950</v>
      </c>
      <c r="D2724" s="29" t="s">
        <v>1951</v>
      </c>
      <c r="E2724" s="92">
        <v>744198</v>
      </c>
      <c r="F2724" s="89" t="s">
        <v>1829</v>
      </c>
      <c r="G2724" s="29" t="s">
        <v>8799</v>
      </c>
    </row>
    <row r="2725" spans="1:7">
      <c r="A2725" s="33">
        <v>44640</v>
      </c>
      <c r="B2725" s="29" t="s">
        <v>1953</v>
      </c>
      <c r="C2725" s="29" t="s">
        <v>1954</v>
      </c>
      <c r="D2725" s="29" t="s">
        <v>1955</v>
      </c>
      <c r="E2725" s="92">
        <v>741649</v>
      </c>
      <c r="F2725" s="89" t="s">
        <v>1710</v>
      </c>
      <c r="G2725" s="29" t="s">
        <v>9427</v>
      </c>
    </row>
    <row r="2726" spans="1:7">
      <c r="A2726" s="33">
        <v>44641</v>
      </c>
      <c r="B2726" s="29" t="s">
        <v>1957</v>
      </c>
      <c r="C2726" s="29" t="s">
        <v>1958</v>
      </c>
      <c r="D2726" s="29" t="s">
        <v>1959</v>
      </c>
      <c r="E2726" s="92">
        <v>740977</v>
      </c>
      <c r="F2726" s="89" t="s">
        <v>5449</v>
      </c>
      <c r="G2726" s="29" t="s">
        <v>8485</v>
      </c>
    </row>
    <row r="2727" spans="1:7">
      <c r="A2727" s="33">
        <v>44642</v>
      </c>
      <c r="B2727" s="29" t="s">
        <v>1961</v>
      </c>
      <c r="C2727" s="29" t="s">
        <v>1962</v>
      </c>
      <c r="D2727" s="29" t="s">
        <v>1963</v>
      </c>
      <c r="E2727" s="92">
        <v>740829</v>
      </c>
      <c r="F2727" s="89" t="s">
        <v>4277</v>
      </c>
      <c r="G2727" s="29" t="s">
        <v>8453</v>
      </c>
    </row>
    <row r="2728" spans="1:7">
      <c r="A2728" s="33">
        <v>44643</v>
      </c>
      <c r="B2728" s="29" t="s">
        <v>1965</v>
      </c>
      <c r="C2728" s="29" t="s">
        <v>1966</v>
      </c>
      <c r="D2728" s="29" t="s">
        <v>1967</v>
      </c>
      <c r="E2728" s="92">
        <v>740289</v>
      </c>
      <c r="F2728" s="89" t="s">
        <v>5447</v>
      </c>
      <c r="G2728" s="29" t="s">
        <v>8582</v>
      </c>
    </row>
    <row r="2729" spans="1:7">
      <c r="A2729" s="33">
        <v>44644</v>
      </c>
      <c r="B2729" s="29" t="s">
        <v>1969</v>
      </c>
      <c r="C2729" s="29" t="s">
        <v>1970</v>
      </c>
      <c r="D2729" s="29" t="s">
        <v>1971</v>
      </c>
      <c r="E2729" s="92">
        <v>739248</v>
      </c>
      <c r="F2729" s="89" t="s">
        <v>4465</v>
      </c>
      <c r="G2729" s="29" t="s">
        <v>8539</v>
      </c>
    </row>
    <row r="2730" spans="1:7">
      <c r="A2730" s="33">
        <v>44645</v>
      </c>
      <c r="B2730" s="29" t="s">
        <v>1973</v>
      </c>
      <c r="C2730" s="29" t="s">
        <v>1974</v>
      </c>
      <c r="D2730" s="29" t="s">
        <v>1975</v>
      </c>
      <c r="E2730" s="92">
        <v>737226</v>
      </c>
      <c r="F2730" s="89" t="s">
        <v>1321</v>
      </c>
      <c r="G2730" s="29" t="s">
        <v>9230</v>
      </c>
    </row>
    <row r="2731" spans="1:7">
      <c r="A2731" s="33">
        <v>44646</v>
      </c>
      <c r="B2731" s="29" t="s">
        <v>1977</v>
      </c>
      <c r="C2731" s="29">
        <v>44736</v>
      </c>
      <c r="D2731" s="29" t="s">
        <v>1979</v>
      </c>
      <c r="E2731" s="92">
        <v>735813</v>
      </c>
      <c r="F2731" s="89" t="s">
        <v>1702</v>
      </c>
      <c r="G2731" s="29" t="s">
        <v>8430</v>
      </c>
    </row>
    <row r="2732" spans="1:7">
      <c r="A2732" s="33">
        <v>44647</v>
      </c>
      <c r="B2732" s="29" t="s">
        <v>1981</v>
      </c>
      <c r="C2732" s="29" t="s">
        <v>1982</v>
      </c>
      <c r="D2732" s="29" t="s">
        <v>1983</v>
      </c>
      <c r="E2732" s="92">
        <v>735604</v>
      </c>
      <c r="F2732" s="89" t="s">
        <v>4393</v>
      </c>
      <c r="G2732" s="29" t="s">
        <v>8559</v>
      </c>
    </row>
    <row r="2733" spans="1:7">
      <c r="A2733" s="33">
        <v>44648</v>
      </c>
      <c r="B2733" s="29" t="s">
        <v>1985</v>
      </c>
      <c r="C2733" s="29" t="s">
        <v>1986</v>
      </c>
      <c r="D2733" s="29" t="s">
        <v>1987</v>
      </c>
      <c r="E2733" s="92">
        <v>735382</v>
      </c>
      <c r="F2733" s="89" t="s">
        <v>2031</v>
      </c>
      <c r="G2733" s="29" t="s">
        <v>8825</v>
      </c>
    </row>
    <row r="2734" spans="1:7">
      <c r="A2734" s="33">
        <v>44649</v>
      </c>
      <c r="B2734" s="29" t="s">
        <v>9525</v>
      </c>
      <c r="C2734" s="29" t="s">
        <v>9526</v>
      </c>
      <c r="D2734" s="29" t="s">
        <v>9525</v>
      </c>
      <c r="E2734" s="92">
        <v>732035</v>
      </c>
      <c r="F2734" s="89" t="s">
        <v>1145</v>
      </c>
      <c r="G2734" s="29" t="s">
        <v>9527</v>
      </c>
    </row>
    <row r="2735" spans="1:7">
      <c r="A2735" s="33">
        <v>44650</v>
      </c>
      <c r="B2735" s="29" t="s">
        <v>1989</v>
      </c>
      <c r="C2735" s="29" t="s">
        <v>1990</v>
      </c>
      <c r="D2735" s="29" t="s">
        <v>1991</v>
      </c>
      <c r="E2735" s="92">
        <v>731026</v>
      </c>
      <c r="F2735" s="89" t="s">
        <v>1317</v>
      </c>
      <c r="G2735" s="29" t="s">
        <v>9517</v>
      </c>
    </row>
    <row r="2736" spans="1:7">
      <c r="A2736" s="33">
        <v>44651</v>
      </c>
      <c r="B2736" s="29" t="s">
        <v>1993</v>
      </c>
      <c r="C2736" s="29" t="s">
        <v>1994</v>
      </c>
      <c r="D2736" s="29" t="s">
        <v>1995</v>
      </c>
      <c r="E2736" s="92">
        <v>729793</v>
      </c>
      <c r="F2736" s="89" t="s">
        <v>4377</v>
      </c>
      <c r="G2736" s="29" t="s">
        <v>9528</v>
      </c>
    </row>
    <row r="2737" spans="1:7">
      <c r="A2737" s="33">
        <v>44652</v>
      </c>
      <c r="B2737" s="29" t="s">
        <v>1997</v>
      </c>
      <c r="C2737" s="29" t="s">
        <v>1998</v>
      </c>
      <c r="D2737" s="29" t="s">
        <v>1999</v>
      </c>
      <c r="E2737" s="92">
        <v>723273</v>
      </c>
      <c r="F2737" s="89" t="s">
        <v>1301</v>
      </c>
      <c r="G2737" s="29" t="s">
        <v>9169</v>
      </c>
    </row>
    <row r="2738" spans="1:7">
      <c r="A2738" s="33">
        <v>44653</v>
      </c>
      <c r="B2738" s="29" t="s">
        <v>2001</v>
      </c>
      <c r="C2738" s="29" t="s">
        <v>2002</v>
      </c>
      <c r="D2738" s="29" t="s">
        <v>2003</v>
      </c>
      <c r="E2738" s="92">
        <v>715534</v>
      </c>
      <c r="F2738" s="89" t="s">
        <v>4337</v>
      </c>
      <c r="G2738" s="29" t="s">
        <v>9517</v>
      </c>
    </row>
    <row r="2739" spans="1:7">
      <c r="A2739" s="33">
        <v>44654</v>
      </c>
      <c r="B2739" s="29" t="s">
        <v>2005</v>
      </c>
      <c r="C2739" s="29" t="s">
        <v>2006</v>
      </c>
      <c r="D2739" s="29" t="s">
        <v>2007</v>
      </c>
      <c r="E2739" s="92">
        <v>714479</v>
      </c>
      <c r="F2739" s="89" t="s">
        <v>4373</v>
      </c>
      <c r="G2739" s="29" t="s">
        <v>8478</v>
      </c>
    </row>
    <row r="2740" spans="1:7">
      <c r="A2740" s="33">
        <v>44655</v>
      </c>
      <c r="B2740" s="29" t="s">
        <v>2009</v>
      </c>
      <c r="C2740" s="29" t="s">
        <v>2010</v>
      </c>
      <c r="D2740" s="29" t="s">
        <v>2011</v>
      </c>
      <c r="E2740" s="92">
        <v>711619</v>
      </c>
      <c r="F2740" s="89" t="s">
        <v>4265</v>
      </c>
      <c r="G2740" s="29" t="s">
        <v>8932</v>
      </c>
    </row>
    <row r="2741" spans="1:7">
      <c r="A2741" s="33">
        <v>44656</v>
      </c>
      <c r="B2741" s="29" t="s">
        <v>2013</v>
      </c>
      <c r="C2741" s="29" t="s">
        <v>2014</v>
      </c>
      <c r="D2741" s="29" t="s">
        <v>2015</v>
      </c>
      <c r="E2741" s="92">
        <v>711522</v>
      </c>
      <c r="F2741" s="89" t="s">
        <v>1968</v>
      </c>
      <c r="G2741" s="29" t="s">
        <v>4778</v>
      </c>
    </row>
    <row r="2742" spans="1:7">
      <c r="A2742" s="33">
        <v>44657</v>
      </c>
      <c r="B2742" s="29" t="s">
        <v>2017</v>
      </c>
      <c r="C2742" s="29" t="s">
        <v>2017</v>
      </c>
      <c r="D2742" s="29" t="s">
        <v>2018</v>
      </c>
      <c r="E2742" s="92">
        <v>709848</v>
      </c>
      <c r="F2742" s="89" t="s">
        <v>854</v>
      </c>
      <c r="G2742" s="29" t="s">
        <v>8851</v>
      </c>
    </row>
    <row r="2743" spans="1:7">
      <c r="A2743" s="33">
        <v>44658</v>
      </c>
      <c r="B2743" s="29" t="s">
        <v>2020</v>
      </c>
      <c r="C2743" s="29" t="s">
        <v>2021</v>
      </c>
      <c r="D2743" s="29" t="s">
        <v>2022</v>
      </c>
      <c r="E2743" s="92">
        <v>705054</v>
      </c>
      <c r="F2743" s="89" t="s">
        <v>5437</v>
      </c>
      <c r="G2743" s="29" t="s">
        <v>9020</v>
      </c>
    </row>
    <row r="2744" spans="1:7">
      <c r="A2744" s="33">
        <v>44659</v>
      </c>
      <c r="B2744" s="29" t="s">
        <v>2024</v>
      </c>
      <c r="C2744" s="29" t="s">
        <v>2025</v>
      </c>
      <c r="D2744" s="29" t="s">
        <v>2026</v>
      </c>
      <c r="E2744" s="92">
        <v>705021</v>
      </c>
      <c r="F2744" s="89" t="s">
        <v>4457</v>
      </c>
      <c r="G2744" s="29" t="s">
        <v>9249</v>
      </c>
    </row>
    <row r="2745" spans="1:7">
      <c r="A2745" s="33">
        <v>44660</v>
      </c>
      <c r="B2745" s="29" t="s">
        <v>2028</v>
      </c>
      <c r="C2745" s="29" t="s">
        <v>2029</v>
      </c>
      <c r="D2745" s="29" t="s">
        <v>2030</v>
      </c>
      <c r="E2745" s="92">
        <v>704376</v>
      </c>
      <c r="F2745" s="89" t="s">
        <v>4301</v>
      </c>
      <c r="G2745" s="29" t="s">
        <v>8768</v>
      </c>
    </row>
    <row r="2746" spans="1:7">
      <c r="A2746" s="33">
        <v>44661</v>
      </c>
      <c r="B2746" s="29" t="s">
        <v>2032</v>
      </c>
      <c r="C2746" s="29" t="s">
        <v>2033</v>
      </c>
      <c r="D2746" s="29" t="s">
        <v>2034</v>
      </c>
      <c r="E2746" s="92">
        <v>703702</v>
      </c>
      <c r="F2746" s="89" t="s">
        <v>9529</v>
      </c>
      <c r="G2746" s="29" t="s">
        <v>9530</v>
      </c>
    </row>
    <row r="2747" spans="1:7">
      <c r="A2747" s="33">
        <v>44662</v>
      </c>
      <c r="B2747" s="29" t="s">
        <v>9531</v>
      </c>
      <c r="C2747" s="29" t="s">
        <v>9532</v>
      </c>
      <c r="D2747" s="29" t="s">
        <v>9533</v>
      </c>
      <c r="E2747" s="92">
        <v>703418</v>
      </c>
      <c r="F2747" s="89" t="s">
        <v>4449</v>
      </c>
      <c r="G2747" s="29" t="s">
        <v>9247</v>
      </c>
    </row>
    <row r="2748" spans="1:7">
      <c r="A2748" s="33">
        <v>44663</v>
      </c>
      <c r="B2748" s="29" t="s">
        <v>2036</v>
      </c>
      <c r="C2748" s="29" t="s">
        <v>2037</v>
      </c>
      <c r="D2748" s="29" t="s">
        <v>2038</v>
      </c>
      <c r="E2748" s="92">
        <v>703235</v>
      </c>
      <c r="F2748" s="89" t="s">
        <v>4469</v>
      </c>
      <c r="G2748" s="29" t="s">
        <v>8539</v>
      </c>
    </row>
    <row r="2749" spans="1:7">
      <c r="A2749" s="33">
        <v>44664</v>
      </c>
      <c r="B2749" s="29" t="s">
        <v>2040</v>
      </c>
      <c r="C2749" s="29" t="s">
        <v>2041</v>
      </c>
      <c r="D2749" s="29" t="s">
        <v>2042</v>
      </c>
      <c r="E2749" s="92">
        <v>703131</v>
      </c>
      <c r="F2749" s="89" t="s">
        <v>1714</v>
      </c>
      <c r="G2749" s="29" t="s">
        <v>8777</v>
      </c>
    </row>
    <row r="2750" spans="1:7">
      <c r="A2750" s="33">
        <v>44665</v>
      </c>
      <c r="B2750" s="29" t="s">
        <v>2044</v>
      </c>
      <c r="C2750" s="29" t="s">
        <v>2045</v>
      </c>
      <c r="D2750" s="29" t="s">
        <v>2046</v>
      </c>
      <c r="E2750" s="92">
        <v>702031</v>
      </c>
      <c r="F2750" s="89" t="s">
        <v>5432</v>
      </c>
      <c r="G2750" s="29" t="s">
        <v>8779</v>
      </c>
    </row>
    <row r="2751" spans="1:7">
      <c r="A2751" s="33">
        <v>44666</v>
      </c>
      <c r="B2751" s="29" t="s">
        <v>9534</v>
      </c>
      <c r="C2751" s="29" t="s">
        <v>4778</v>
      </c>
      <c r="D2751" s="29" t="s">
        <v>9535</v>
      </c>
      <c r="E2751" s="92">
        <v>701864</v>
      </c>
      <c r="F2751" s="89" t="s">
        <v>1722</v>
      </c>
      <c r="G2751" s="29" t="s">
        <v>6771</v>
      </c>
    </row>
    <row r="2752" spans="1:7">
      <c r="A2752" s="33">
        <v>44667</v>
      </c>
      <c r="B2752" s="29" t="s">
        <v>2048</v>
      </c>
      <c r="C2752" s="29" t="s">
        <v>2049</v>
      </c>
      <c r="D2752" s="29" t="s">
        <v>2050</v>
      </c>
      <c r="E2752" s="92">
        <v>700972</v>
      </c>
      <c r="F2752" s="89" t="s">
        <v>4389</v>
      </c>
      <c r="G2752" s="29" t="s">
        <v>6763</v>
      </c>
    </row>
    <row r="2753" spans="1:7">
      <c r="A2753" s="33">
        <v>44668</v>
      </c>
      <c r="B2753" s="29" t="s">
        <v>2052</v>
      </c>
      <c r="C2753" s="29" t="s">
        <v>2053</v>
      </c>
      <c r="D2753" s="29" t="s">
        <v>2054</v>
      </c>
      <c r="E2753" s="92">
        <v>694469</v>
      </c>
      <c r="F2753" s="89" t="s">
        <v>1683</v>
      </c>
      <c r="G2753" s="29" t="s">
        <v>8787</v>
      </c>
    </row>
    <row r="2754" spans="1:7">
      <c r="A2754" s="33">
        <v>44669</v>
      </c>
      <c r="B2754" s="29" t="s">
        <v>2056</v>
      </c>
      <c r="C2754" s="29" t="s">
        <v>2057</v>
      </c>
      <c r="D2754" s="29" t="s">
        <v>2058</v>
      </c>
      <c r="E2754" s="92">
        <v>689651</v>
      </c>
      <c r="F2754" s="89" t="s">
        <v>5429</v>
      </c>
      <c r="G2754" s="29" t="s">
        <v>9134</v>
      </c>
    </row>
    <row r="2755" spans="1:7">
      <c r="A2755" s="33">
        <v>44670</v>
      </c>
      <c r="B2755" s="29" t="s">
        <v>2060</v>
      </c>
      <c r="C2755" s="29" t="s">
        <v>2061</v>
      </c>
      <c r="D2755" s="29" t="s">
        <v>2062</v>
      </c>
      <c r="E2755" s="92">
        <v>688313</v>
      </c>
      <c r="F2755" s="89" t="s">
        <v>1718</v>
      </c>
      <c r="G2755" s="29" t="s">
        <v>9536</v>
      </c>
    </row>
    <row r="2756" spans="1:7">
      <c r="A2756" s="33">
        <v>44671</v>
      </c>
      <c r="B2756" s="29" t="s">
        <v>2064</v>
      </c>
      <c r="C2756" s="29" t="s">
        <v>2065</v>
      </c>
      <c r="D2756" s="29" t="s">
        <v>2066</v>
      </c>
      <c r="E2756" s="92">
        <v>685559</v>
      </c>
      <c r="F2756" s="89" t="s">
        <v>4453</v>
      </c>
      <c r="G2756" s="29" t="s">
        <v>8450</v>
      </c>
    </row>
    <row r="2757" spans="1:7">
      <c r="A2757" s="33">
        <v>44672</v>
      </c>
      <c r="B2757" s="29" t="s">
        <v>9537</v>
      </c>
      <c r="C2757" s="29" t="s">
        <v>4778</v>
      </c>
      <c r="D2757" s="29" t="s">
        <v>9538</v>
      </c>
      <c r="E2757" s="92">
        <v>679459</v>
      </c>
      <c r="F2757" s="89" t="s">
        <v>1884</v>
      </c>
      <c r="G2757" s="29" t="s">
        <v>4778</v>
      </c>
    </row>
    <row r="2758" spans="1:7">
      <c r="A2758" s="33">
        <v>44673</v>
      </c>
      <c r="B2758" s="29" t="s">
        <v>2068</v>
      </c>
      <c r="C2758" s="29" t="s">
        <v>2069</v>
      </c>
      <c r="D2758" s="29" t="s">
        <v>2070</v>
      </c>
      <c r="E2758" s="92">
        <v>678304</v>
      </c>
      <c r="F2758" s="89" t="s">
        <v>2019</v>
      </c>
      <c r="G2758" s="29" t="s">
        <v>9121</v>
      </c>
    </row>
    <row r="2759" spans="1:7">
      <c r="A2759" s="33">
        <v>44674</v>
      </c>
      <c r="B2759" s="29" t="s">
        <v>2072</v>
      </c>
      <c r="C2759" s="29" t="s">
        <v>2073</v>
      </c>
      <c r="D2759" s="29" t="s">
        <v>2074</v>
      </c>
      <c r="E2759" s="92">
        <v>677331</v>
      </c>
      <c r="F2759" s="89" t="s">
        <v>1325</v>
      </c>
      <c r="G2759" s="29" t="s">
        <v>8768</v>
      </c>
    </row>
    <row r="2760" spans="1:7">
      <c r="A2760" s="33">
        <v>44675</v>
      </c>
      <c r="B2760" s="29" t="s">
        <v>9539</v>
      </c>
      <c r="C2760" s="29" t="s">
        <v>9540</v>
      </c>
      <c r="D2760" s="29" t="s">
        <v>9541</v>
      </c>
      <c r="E2760" s="92">
        <v>676296</v>
      </c>
      <c r="F2760" s="89" t="s">
        <v>5426</v>
      </c>
      <c r="G2760" s="29" t="s">
        <v>6678</v>
      </c>
    </row>
    <row r="2761" spans="1:7">
      <c r="A2761" s="33">
        <v>44676</v>
      </c>
      <c r="B2761" s="29" t="s">
        <v>2076</v>
      </c>
      <c r="C2761" s="29" t="s">
        <v>2077</v>
      </c>
      <c r="D2761" s="29" t="s">
        <v>2078</v>
      </c>
      <c r="E2761" s="92">
        <v>673337</v>
      </c>
      <c r="F2761" s="89" t="s">
        <v>5425</v>
      </c>
      <c r="G2761" s="29" t="s">
        <v>9003</v>
      </c>
    </row>
    <row r="2762" spans="1:7">
      <c r="A2762" s="33">
        <v>44677</v>
      </c>
      <c r="B2762" s="29" t="s">
        <v>2080</v>
      </c>
      <c r="C2762" s="29" t="s">
        <v>2081</v>
      </c>
      <c r="D2762" s="29" t="s">
        <v>2082</v>
      </c>
      <c r="E2762" s="92">
        <v>673106</v>
      </c>
      <c r="F2762" s="89" t="s">
        <v>4441</v>
      </c>
      <c r="G2762" s="29" t="s">
        <v>8909</v>
      </c>
    </row>
    <row r="2763" spans="1:7">
      <c r="A2763" s="33">
        <v>44678</v>
      </c>
      <c r="B2763" s="29" t="s">
        <v>2084</v>
      </c>
      <c r="C2763" s="29" t="s">
        <v>2085</v>
      </c>
      <c r="D2763" s="29" t="s">
        <v>2086</v>
      </c>
      <c r="E2763" s="92">
        <v>672864</v>
      </c>
      <c r="F2763" s="89" t="s">
        <v>4241</v>
      </c>
      <c r="G2763" s="29" t="s">
        <v>8539</v>
      </c>
    </row>
    <row r="2764" spans="1:7">
      <c r="A2764" s="33">
        <v>44679</v>
      </c>
      <c r="B2764" s="29" t="s">
        <v>9542</v>
      </c>
      <c r="C2764" s="29" t="s">
        <v>4778</v>
      </c>
      <c r="D2764" s="29" t="s">
        <v>9543</v>
      </c>
      <c r="E2764" s="92">
        <v>672784</v>
      </c>
      <c r="F2764" s="89" t="s">
        <v>5422</v>
      </c>
      <c r="G2764" s="29" t="s">
        <v>9247</v>
      </c>
    </row>
    <row r="2765" spans="1:7">
      <c r="A2765" s="33">
        <v>44680</v>
      </c>
      <c r="B2765" s="29" t="s">
        <v>2088</v>
      </c>
      <c r="C2765" s="29" t="s">
        <v>2089</v>
      </c>
      <c r="D2765" s="29" t="s">
        <v>2090</v>
      </c>
      <c r="E2765" s="92">
        <v>670627</v>
      </c>
      <c r="F2765" s="89" t="s">
        <v>5420</v>
      </c>
      <c r="G2765" s="29" t="s">
        <v>8773</v>
      </c>
    </row>
    <row r="2766" spans="1:7">
      <c r="A2766" s="33">
        <v>44681</v>
      </c>
      <c r="B2766" s="29" t="s">
        <v>2092</v>
      </c>
      <c r="C2766" s="29" t="s">
        <v>2093</v>
      </c>
      <c r="D2766" s="29" t="s">
        <v>2094</v>
      </c>
      <c r="E2766" s="92">
        <v>666652</v>
      </c>
      <c r="F2766" s="89" t="s">
        <v>5419</v>
      </c>
      <c r="G2766" s="29" t="s">
        <v>8622</v>
      </c>
    </row>
    <row r="2767" spans="1:7">
      <c r="A2767" s="33">
        <v>44682</v>
      </c>
      <c r="B2767" s="29" t="s">
        <v>2096</v>
      </c>
      <c r="C2767" s="29" t="s">
        <v>2097</v>
      </c>
      <c r="D2767" s="29" t="s">
        <v>2098</v>
      </c>
      <c r="E2767" s="92">
        <v>666523</v>
      </c>
      <c r="F2767" s="89" t="s">
        <v>4313</v>
      </c>
      <c r="G2767" s="29" t="s">
        <v>9053</v>
      </c>
    </row>
    <row r="2768" spans="1:7">
      <c r="A2768" s="33">
        <v>44683</v>
      </c>
      <c r="B2768" s="29" t="s">
        <v>2100</v>
      </c>
      <c r="C2768" s="29" t="s">
        <v>2101</v>
      </c>
      <c r="D2768" s="29" t="s">
        <v>2102</v>
      </c>
      <c r="E2768" s="92">
        <v>665685</v>
      </c>
      <c r="F2768" s="89" t="s">
        <v>5418</v>
      </c>
      <c r="G2768" s="29" t="s">
        <v>8936</v>
      </c>
    </row>
    <row r="2769" spans="1:7">
      <c r="A2769" s="33">
        <v>44684</v>
      </c>
      <c r="B2769" s="29" t="s">
        <v>2104</v>
      </c>
      <c r="C2769" s="29">
        <v>38630</v>
      </c>
      <c r="D2769" s="29" t="s">
        <v>2106</v>
      </c>
      <c r="E2769" s="92">
        <v>665299</v>
      </c>
      <c r="F2769" s="89" t="s">
        <v>5290</v>
      </c>
      <c r="G2769" s="29" t="s">
        <v>4778</v>
      </c>
    </row>
    <row r="2770" spans="1:7">
      <c r="A2770" s="33">
        <v>44685</v>
      </c>
      <c r="B2770" s="29" t="s">
        <v>2108</v>
      </c>
      <c r="C2770" s="29" t="s">
        <v>2109</v>
      </c>
      <c r="D2770" s="29" t="s">
        <v>2110</v>
      </c>
      <c r="E2770" s="92">
        <v>665123</v>
      </c>
      <c r="F2770" s="89" t="s">
        <v>2023</v>
      </c>
      <c r="G2770" s="29" t="s">
        <v>9152</v>
      </c>
    </row>
    <row r="2771" spans="1:7">
      <c r="A2771" s="33">
        <v>44686</v>
      </c>
      <c r="B2771" s="29" t="s">
        <v>2046</v>
      </c>
      <c r="C2771" s="29" t="s">
        <v>2112</v>
      </c>
      <c r="D2771" s="29" t="s">
        <v>2113</v>
      </c>
      <c r="E2771" s="92">
        <v>665012</v>
      </c>
      <c r="F2771" s="89" t="s">
        <v>5416</v>
      </c>
      <c r="G2771" s="29" t="s">
        <v>8945</v>
      </c>
    </row>
    <row r="2772" spans="1:7">
      <c r="A2772" s="33">
        <v>44687</v>
      </c>
      <c r="B2772" s="29" t="s">
        <v>2115</v>
      </c>
      <c r="C2772" s="29" t="s">
        <v>2116</v>
      </c>
      <c r="D2772" s="29" t="s">
        <v>2117</v>
      </c>
      <c r="E2772" s="92">
        <v>664551</v>
      </c>
      <c r="F2772" s="89" t="s">
        <v>850</v>
      </c>
      <c r="G2772" s="29" t="s">
        <v>9214</v>
      </c>
    </row>
    <row r="2773" spans="1:7">
      <c r="A2773" s="33">
        <v>44688</v>
      </c>
      <c r="B2773" s="29" t="s">
        <v>2119</v>
      </c>
      <c r="C2773" s="29" t="s">
        <v>2120</v>
      </c>
      <c r="D2773" s="29" t="s">
        <v>2121</v>
      </c>
      <c r="E2773" s="92">
        <v>663255</v>
      </c>
      <c r="F2773" s="89" t="s">
        <v>9544</v>
      </c>
      <c r="G2773" s="29" t="s">
        <v>8832</v>
      </c>
    </row>
    <row r="2774" spans="1:7">
      <c r="A2774" s="33">
        <v>44689</v>
      </c>
      <c r="B2774" s="29" t="s">
        <v>2123</v>
      </c>
      <c r="C2774" s="29" t="s">
        <v>2123</v>
      </c>
      <c r="D2774" s="29" t="s">
        <v>2124</v>
      </c>
      <c r="E2774" s="92">
        <v>661285</v>
      </c>
      <c r="F2774" s="89" t="s">
        <v>1309</v>
      </c>
      <c r="G2774" s="29" t="s">
        <v>9152</v>
      </c>
    </row>
    <row r="2775" spans="1:7">
      <c r="A2775" s="33">
        <v>44690</v>
      </c>
      <c r="B2775" s="29" t="s">
        <v>2126</v>
      </c>
      <c r="C2775" s="29" t="s">
        <v>2127</v>
      </c>
      <c r="D2775" s="29" t="s">
        <v>2128</v>
      </c>
      <c r="E2775" s="92">
        <v>660767</v>
      </c>
      <c r="F2775" s="89" t="s">
        <v>4305</v>
      </c>
      <c r="G2775" s="29" t="s">
        <v>9545</v>
      </c>
    </row>
    <row r="2776" spans="1:7">
      <c r="A2776" s="33">
        <v>44691</v>
      </c>
      <c r="B2776" s="29" t="s">
        <v>2129</v>
      </c>
      <c r="C2776" s="29" t="s">
        <v>2130</v>
      </c>
      <c r="D2776" s="29" t="s">
        <v>2131</v>
      </c>
      <c r="E2776" s="92">
        <v>658664</v>
      </c>
      <c r="F2776" s="89" t="s">
        <v>5411</v>
      </c>
      <c r="G2776" s="29" t="s">
        <v>9546</v>
      </c>
    </row>
    <row r="2777" spans="1:7">
      <c r="A2777" s="33">
        <v>44692</v>
      </c>
      <c r="B2777" s="29" t="s">
        <v>9547</v>
      </c>
      <c r="C2777" s="29" t="s">
        <v>9548</v>
      </c>
      <c r="D2777" s="29" t="s">
        <v>9549</v>
      </c>
      <c r="E2777" s="92">
        <v>658078</v>
      </c>
      <c r="F2777" s="89" t="s">
        <v>4285</v>
      </c>
      <c r="G2777" s="29" t="s">
        <v>9550</v>
      </c>
    </row>
    <row r="2778" spans="1:7">
      <c r="A2778" s="33">
        <v>44693</v>
      </c>
      <c r="B2778" s="29" t="s">
        <v>2133</v>
      </c>
      <c r="C2778" s="29" t="s">
        <v>2134</v>
      </c>
      <c r="D2778" s="29" t="s">
        <v>2135</v>
      </c>
      <c r="E2778" s="92">
        <v>657588</v>
      </c>
      <c r="F2778" s="89" t="s">
        <v>5409</v>
      </c>
      <c r="G2778" s="29" t="s">
        <v>8942</v>
      </c>
    </row>
    <row r="2779" spans="1:7">
      <c r="A2779" s="33">
        <v>44694</v>
      </c>
      <c r="B2779" s="29" t="s">
        <v>2137</v>
      </c>
      <c r="C2779" s="29" t="s">
        <v>2138</v>
      </c>
      <c r="D2779" s="29" t="s">
        <v>2139</v>
      </c>
      <c r="E2779" s="92">
        <v>657294</v>
      </c>
      <c r="F2779" s="89" t="s">
        <v>5408</v>
      </c>
      <c r="G2779" s="29" t="s">
        <v>9382</v>
      </c>
    </row>
    <row r="2780" spans="1:7">
      <c r="A2780" s="33">
        <v>44695</v>
      </c>
      <c r="B2780" s="29" t="s">
        <v>2141</v>
      </c>
      <c r="C2780" s="29" t="s">
        <v>2142</v>
      </c>
      <c r="D2780" s="29" t="s">
        <v>2143</v>
      </c>
      <c r="E2780" s="92">
        <v>657071</v>
      </c>
      <c r="F2780" s="89" t="s">
        <v>4249</v>
      </c>
      <c r="G2780" s="29" t="s">
        <v>8567</v>
      </c>
    </row>
    <row r="2781" spans="1:7">
      <c r="A2781" s="33">
        <v>44696</v>
      </c>
      <c r="B2781" s="29" t="s">
        <v>2145</v>
      </c>
      <c r="C2781" s="29" t="s">
        <v>2146</v>
      </c>
      <c r="D2781" s="29" t="s">
        <v>2147</v>
      </c>
      <c r="E2781" s="92">
        <v>656992</v>
      </c>
      <c r="F2781" s="89" t="s">
        <v>4297</v>
      </c>
      <c r="G2781" s="29" t="s">
        <v>4778</v>
      </c>
    </row>
    <row r="2782" spans="1:7">
      <c r="A2782" s="33">
        <v>44697</v>
      </c>
      <c r="B2782" s="29" t="s">
        <v>2149</v>
      </c>
      <c r="C2782" s="29" t="s">
        <v>2150</v>
      </c>
      <c r="D2782" s="29" t="s">
        <v>2151</v>
      </c>
      <c r="E2782" s="92">
        <v>655556</v>
      </c>
      <c r="F2782" s="89" t="s">
        <v>4237</v>
      </c>
      <c r="G2782" s="29" t="s">
        <v>8772</v>
      </c>
    </row>
    <row r="2783" spans="1:7">
      <c r="A2783" s="33">
        <v>44698</v>
      </c>
      <c r="B2783" s="29" t="s">
        <v>9551</v>
      </c>
      <c r="C2783" s="29" t="s">
        <v>9552</v>
      </c>
      <c r="D2783" s="29" t="s">
        <v>9553</v>
      </c>
      <c r="E2783" s="92">
        <v>655275</v>
      </c>
      <c r="F2783" s="89" t="s">
        <v>5405</v>
      </c>
      <c r="G2783" s="29" t="s">
        <v>9485</v>
      </c>
    </row>
    <row r="2784" spans="1:7">
      <c r="A2784" s="33">
        <v>44699</v>
      </c>
      <c r="B2784" s="29" t="s">
        <v>2153</v>
      </c>
      <c r="C2784" s="29" t="s">
        <v>2154</v>
      </c>
      <c r="D2784" s="29" t="s">
        <v>2155</v>
      </c>
      <c r="E2784" s="92">
        <v>655047</v>
      </c>
      <c r="F2784" s="89" t="s">
        <v>5403</v>
      </c>
      <c r="G2784" s="29" t="s">
        <v>8823</v>
      </c>
    </row>
    <row r="2785" spans="1:7">
      <c r="A2785" s="33">
        <v>44700</v>
      </c>
      <c r="B2785" s="29" t="s">
        <v>2156</v>
      </c>
      <c r="C2785" s="29" t="s">
        <v>2157</v>
      </c>
      <c r="D2785" s="29" t="s">
        <v>2158</v>
      </c>
      <c r="E2785" s="92">
        <v>655035</v>
      </c>
      <c r="F2785" s="89" t="s">
        <v>4253</v>
      </c>
      <c r="G2785" s="29" t="s">
        <v>9554</v>
      </c>
    </row>
    <row r="2786" spans="1:7">
      <c r="A2786" s="33">
        <v>44701</v>
      </c>
      <c r="B2786" s="29" t="s">
        <v>2160</v>
      </c>
      <c r="C2786" s="29" t="s">
        <v>2161</v>
      </c>
      <c r="D2786" s="29" t="s">
        <v>2162</v>
      </c>
      <c r="E2786" s="92">
        <v>654468</v>
      </c>
      <c r="F2786" s="89" t="s">
        <v>1341</v>
      </c>
      <c r="G2786" s="29" t="s">
        <v>8835</v>
      </c>
    </row>
    <row r="2787" spans="1:7">
      <c r="A2787" s="33">
        <v>44702</v>
      </c>
      <c r="B2787" s="29" t="s">
        <v>2164</v>
      </c>
      <c r="C2787" s="29" t="s">
        <v>2165</v>
      </c>
      <c r="D2787" s="29" t="s">
        <v>2166</v>
      </c>
      <c r="E2787" s="92">
        <v>654352</v>
      </c>
      <c r="F2787" s="89" t="s">
        <v>9555</v>
      </c>
      <c r="G2787" s="29" t="s">
        <v>8988</v>
      </c>
    </row>
    <row r="2788" spans="1:7">
      <c r="A2788" s="33">
        <v>44703</v>
      </c>
      <c r="B2788" s="29" t="s">
        <v>2168</v>
      </c>
      <c r="C2788" s="29" t="s">
        <v>2169</v>
      </c>
      <c r="D2788" s="29" t="s">
        <v>2170</v>
      </c>
      <c r="E2788" s="92">
        <v>654097</v>
      </c>
      <c r="F2788" s="89" t="s">
        <v>5400</v>
      </c>
      <c r="G2788" s="29" t="s">
        <v>8789</v>
      </c>
    </row>
    <row r="2789" spans="1:7">
      <c r="A2789" s="33">
        <v>44704</v>
      </c>
      <c r="B2789" s="29" t="s">
        <v>2172</v>
      </c>
      <c r="C2789" s="29" t="s">
        <v>2173</v>
      </c>
      <c r="D2789" s="29" t="s">
        <v>2174</v>
      </c>
      <c r="E2789" s="92">
        <v>653761</v>
      </c>
      <c r="F2789" s="89" t="s">
        <v>5399</v>
      </c>
      <c r="G2789" s="29" t="s">
        <v>9236</v>
      </c>
    </row>
    <row r="2790" spans="1:7">
      <c r="A2790" s="33">
        <v>44705</v>
      </c>
      <c r="B2790" s="29" t="s">
        <v>2176</v>
      </c>
      <c r="C2790" s="29" t="s">
        <v>2177</v>
      </c>
      <c r="D2790" s="29" t="s">
        <v>2178</v>
      </c>
      <c r="E2790" s="92">
        <v>651784</v>
      </c>
      <c r="F2790" s="89" t="s">
        <v>1805</v>
      </c>
      <c r="G2790" s="29" t="s">
        <v>8778</v>
      </c>
    </row>
    <row r="2791" spans="1:7">
      <c r="A2791" s="33">
        <v>44706</v>
      </c>
      <c r="B2791" s="29" t="s">
        <v>2180</v>
      </c>
      <c r="C2791" s="29" t="s">
        <v>2181</v>
      </c>
      <c r="D2791" s="29" t="s">
        <v>2182</v>
      </c>
      <c r="E2791" s="92">
        <v>650619</v>
      </c>
      <c r="F2791" s="89" t="s">
        <v>4289</v>
      </c>
      <c r="G2791" s="29" t="s">
        <v>9060</v>
      </c>
    </row>
    <row r="2792" spans="1:7">
      <c r="A2792" s="33">
        <v>44707</v>
      </c>
      <c r="B2792" s="29" t="s">
        <v>2184</v>
      </c>
      <c r="C2792" s="29" t="s">
        <v>2185</v>
      </c>
      <c r="D2792" s="29" t="s">
        <v>2186</v>
      </c>
      <c r="E2792" s="92">
        <v>647659</v>
      </c>
      <c r="F2792" s="89" t="s">
        <v>1892</v>
      </c>
      <c r="G2792" s="29" t="s">
        <v>9152</v>
      </c>
    </row>
    <row r="2793" spans="1:7">
      <c r="A2793" s="33">
        <v>44708</v>
      </c>
      <c r="B2793" s="29" t="s">
        <v>2188</v>
      </c>
      <c r="C2793" s="29" t="s">
        <v>2189</v>
      </c>
      <c r="D2793" s="29" t="s">
        <v>2190</v>
      </c>
      <c r="E2793" s="92">
        <v>647001</v>
      </c>
      <c r="F2793" s="89" t="s">
        <v>4353</v>
      </c>
      <c r="G2793" s="29" t="s">
        <v>9469</v>
      </c>
    </row>
    <row r="2794" spans="1:7">
      <c r="A2794" s="33">
        <v>44709</v>
      </c>
      <c r="B2794" s="29" t="s">
        <v>2192</v>
      </c>
      <c r="C2794" s="29" t="s">
        <v>2193</v>
      </c>
      <c r="D2794" s="29" t="s">
        <v>2194</v>
      </c>
      <c r="E2794" s="92">
        <v>641631</v>
      </c>
      <c r="F2794" s="89" t="s">
        <v>1706</v>
      </c>
      <c r="G2794" s="29" t="s">
        <v>4778</v>
      </c>
    </row>
    <row r="2795" spans="1:7">
      <c r="A2795" s="33">
        <v>44710</v>
      </c>
      <c r="B2795" s="29" t="s">
        <v>2195</v>
      </c>
      <c r="C2795" s="29" t="s">
        <v>2196</v>
      </c>
      <c r="D2795" s="29" t="s">
        <v>2197</v>
      </c>
      <c r="E2795" s="92">
        <v>641072</v>
      </c>
      <c r="F2795" s="89" t="s">
        <v>1972</v>
      </c>
      <c r="G2795" s="29" t="s">
        <v>4778</v>
      </c>
    </row>
    <row r="2796" spans="1:7">
      <c r="A2796" s="33">
        <v>44711</v>
      </c>
      <c r="B2796" s="29" t="s">
        <v>2199</v>
      </c>
      <c r="C2796" s="29" t="s">
        <v>2200</v>
      </c>
      <c r="D2796" s="29" t="s">
        <v>2201</v>
      </c>
      <c r="E2796" s="92">
        <v>640562</v>
      </c>
      <c r="F2796" s="89" t="s">
        <v>1836</v>
      </c>
      <c r="G2796" s="29" t="s">
        <v>4778</v>
      </c>
    </row>
    <row r="2797" spans="1:7">
      <c r="A2797" s="33">
        <v>44712</v>
      </c>
      <c r="B2797" s="29" t="s">
        <v>2203</v>
      </c>
      <c r="C2797" s="29" t="s">
        <v>2204</v>
      </c>
      <c r="D2797" s="29" t="s">
        <v>2205</v>
      </c>
      <c r="E2797" s="92">
        <v>640378</v>
      </c>
      <c r="F2797" s="89" t="s">
        <v>4349</v>
      </c>
      <c r="G2797" s="29" t="s">
        <v>9439</v>
      </c>
    </row>
    <row r="2798" spans="1:7">
      <c r="A2798" s="33">
        <v>44713</v>
      </c>
      <c r="B2798" s="29" t="s">
        <v>2207</v>
      </c>
      <c r="C2798" s="29" t="s">
        <v>2208</v>
      </c>
      <c r="D2798" s="29" t="s">
        <v>2209</v>
      </c>
      <c r="E2798" s="92">
        <v>639193</v>
      </c>
      <c r="F2798" s="89" t="s">
        <v>4293</v>
      </c>
      <c r="G2798" s="29" t="s">
        <v>4778</v>
      </c>
    </row>
    <row r="2799" spans="1:7">
      <c r="A2799" s="33">
        <v>44714</v>
      </c>
      <c r="B2799" s="29" t="s">
        <v>2211</v>
      </c>
      <c r="C2799" s="29" t="s">
        <v>2212</v>
      </c>
      <c r="D2799" s="29" t="s">
        <v>2213</v>
      </c>
      <c r="E2799" s="92">
        <v>638646</v>
      </c>
      <c r="F2799" s="89" t="s">
        <v>5391</v>
      </c>
      <c r="G2799" s="29" t="s">
        <v>9485</v>
      </c>
    </row>
    <row r="2800" spans="1:7">
      <c r="A2800" s="33">
        <v>44715</v>
      </c>
      <c r="B2800" s="29" t="s">
        <v>2215</v>
      </c>
      <c r="C2800" s="29" t="s">
        <v>2216</v>
      </c>
      <c r="D2800" s="29" t="s">
        <v>2217</v>
      </c>
      <c r="E2800" s="92">
        <v>636786</v>
      </c>
      <c r="F2800" s="89" t="s">
        <v>4233</v>
      </c>
      <c r="G2800" s="29" t="s">
        <v>8781</v>
      </c>
    </row>
    <row r="2801" spans="1:7">
      <c r="A2801" s="33">
        <v>44716</v>
      </c>
      <c r="B2801" s="29" t="s">
        <v>2219</v>
      </c>
      <c r="C2801" s="29" t="s">
        <v>2220</v>
      </c>
      <c r="D2801" s="29" t="s">
        <v>2221</v>
      </c>
      <c r="E2801" s="92">
        <v>636192</v>
      </c>
      <c r="F2801" s="89" t="s">
        <v>5390</v>
      </c>
      <c r="G2801" s="29" t="s">
        <v>8413</v>
      </c>
    </row>
    <row r="2802" spans="1:7">
      <c r="A2802" s="33">
        <v>44717</v>
      </c>
      <c r="B2802" s="29" t="s">
        <v>9556</v>
      </c>
      <c r="C2802" s="29" t="s">
        <v>9557</v>
      </c>
      <c r="D2802" s="29" t="s">
        <v>9558</v>
      </c>
      <c r="E2802" s="92">
        <v>632828</v>
      </c>
      <c r="F2802" s="89" t="s">
        <v>1809</v>
      </c>
      <c r="G2802" s="29" t="s">
        <v>8988</v>
      </c>
    </row>
    <row r="2803" spans="1:7">
      <c r="A2803" s="33">
        <v>44718</v>
      </c>
      <c r="B2803" s="29" t="s">
        <v>2223</v>
      </c>
      <c r="C2803" s="29" t="s">
        <v>2224</v>
      </c>
      <c r="D2803" s="29" t="s">
        <v>2225</v>
      </c>
      <c r="E2803" s="92">
        <v>630857</v>
      </c>
      <c r="F2803" s="89" t="s">
        <v>4345</v>
      </c>
      <c r="G2803" s="29" t="s">
        <v>9125</v>
      </c>
    </row>
    <row r="2804" spans="1:7">
      <c r="A2804" s="33">
        <v>44719</v>
      </c>
      <c r="B2804" s="29" t="s">
        <v>2227</v>
      </c>
      <c r="C2804" s="29" t="s">
        <v>2228</v>
      </c>
      <c r="D2804" s="29" t="s">
        <v>2229</v>
      </c>
      <c r="E2804" s="92">
        <v>629367</v>
      </c>
      <c r="F2804" s="89" t="s">
        <v>4245</v>
      </c>
      <c r="G2804" s="29" t="s">
        <v>8893</v>
      </c>
    </row>
    <row r="2805" spans="1:7">
      <c r="A2805" s="33">
        <v>44720</v>
      </c>
      <c r="B2805" s="29" t="s">
        <v>2231</v>
      </c>
      <c r="C2805" s="29" t="s">
        <v>2232</v>
      </c>
      <c r="D2805" s="29" t="s">
        <v>2233</v>
      </c>
      <c r="E2805" s="92">
        <v>626316</v>
      </c>
      <c r="F2805" s="89" t="s">
        <v>4329</v>
      </c>
      <c r="G2805" s="29" t="s">
        <v>8980</v>
      </c>
    </row>
    <row r="2806" spans="1:7">
      <c r="A2806" s="33">
        <v>44721</v>
      </c>
      <c r="B2806" s="29" t="s">
        <v>2235</v>
      </c>
      <c r="C2806" s="29" t="s">
        <v>2236</v>
      </c>
      <c r="D2806" s="29" t="s">
        <v>2237</v>
      </c>
      <c r="E2806" s="92">
        <v>624681</v>
      </c>
      <c r="F2806" s="89" t="s">
        <v>4341</v>
      </c>
      <c r="G2806" s="29" t="s">
        <v>8756</v>
      </c>
    </row>
    <row r="2807" spans="1:7">
      <c r="A2807" s="33">
        <v>44722</v>
      </c>
      <c r="B2807" s="29" t="s">
        <v>2239</v>
      </c>
      <c r="C2807" s="29" t="s">
        <v>2240</v>
      </c>
      <c r="D2807" s="29" t="s">
        <v>2241</v>
      </c>
      <c r="E2807" s="92">
        <v>623977</v>
      </c>
      <c r="F2807" s="89" t="s">
        <v>5386</v>
      </c>
      <c r="G2807" s="29" t="s">
        <v>8839</v>
      </c>
    </row>
    <row r="2808" spans="1:7">
      <c r="A2808" s="33">
        <v>44723</v>
      </c>
      <c r="B2808" s="29" t="s">
        <v>2243</v>
      </c>
      <c r="C2808" s="29" t="s">
        <v>2244</v>
      </c>
      <c r="D2808" s="29" t="s">
        <v>2245</v>
      </c>
      <c r="E2808" s="92">
        <v>623509</v>
      </c>
      <c r="F2808" s="89" t="s">
        <v>4473</v>
      </c>
      <c r="G2808" s="29" t="s">
        <v>9249</v>
      </c>
    </row>
    <row r="2809" spans="1:7">
      <c r="A2809" s="33">
        <v>44724</v>
      </c>
      <c r="B2809" s="29" t="s">
        <v>2247</v>
      </c>
      <c r="C2809" s="29" t="s">
        <v>2248</v>
      </c>
      <c r="D2809" s="29" t="s">
        <v>2249</v>
      </c>
      <c r="E2809" s="92">
        <v>622861</v>
      </c>
      <c r="F2809" s="89" t="s">
        <v>1813</v>
      </c>
      <c r="G2809" s="29" t="s">
        <v>8792</v>
      </c>
    </row>
    <row r="2810" spans="1:7">
      <c r="A2810" s="33">
        <v>44725</v>
      </c>
      <c r="B2810" s="29" t="s">
        <v>2250</v>
      </c>
      <c r="C2810" s="29" t="s">
        <v>2251</v>
      </c>
      <c r="D2810" s="29" t="s">
        <v>2252</v>
      </c>
      <c r="E2810" s="92">
        <v>619108</v>
      </c>
      <c r="F2810" s="89" t="s">
        <v>1976</v>
      </c>
      <c r="G2810" s="29" t="s">
        <v>9559</v>
      </c>
    </row>
    <row r="2811" spans="1:7">
      <c r="A2811" s="33">
        <v>44726</v>
      </c>
      <c r="B2811" s="29" t="s">
        <v>9560</v>
      </c>
      <c r="C2811" s="29" t="s">
        <v>4778</v>
      </c>
      <c r="D2811" s="29" t="s">
        <v>9561</v>
      </c>
      <c r="E2811" s="92">
        <v>618994</v>
      </c>
      <c r="F2811" s="89" t="s">
        <v>1888</v>
      </c>
      <c r="G2811" s="29" t="s">
        <v>9337</v>
      </c>
    </row>
    <row r="2812" spans="1:7">
      <c r="A2812" s="33">
        <v>44727</v>
      </c>
      <c r="B2812" s="29" t="s">
        <v>2254</v>
      </c>
      <c r="C2812" s="29" t="s">
        <v>2255</v>
      </c>
      <c r="D2812" s="29" t="s">
        <v>2256</v>
      </c>
      <c r="E2812" s="92">
        <v>617121</v>
      </c>
      <c r="F2812" s="89" t="s">
        <v>1165</v>
      </c>
      <c r="G2812" s="29" t="s">
        <v>9373</v>
      </c>
    </row>
    <row r="2813" spans="1:7">
      <c r="A2813" s="33">
        <v>44728</v>
      </c>
      <c r="B2813" s="29" t="s">
        <v>2258</v>
      </c>
      <c r="C2813" s="29" t="s">
        <v>2259</v>
      </c>
      <c r="D2813" s="29" t="s">
        <v>2260</v>
      </c>
      <c r="E2813" s="92">
        <v>616752</v>
      </c>
      <c r="F2813" s="89" t="s">
        <v>1980</v>
      </c>
      <c r="G2813" s="29" t="s">
        <v>8927</v>
      </c>
    </row>
    <row r="2814" spans="1:7">
      <c r="A2814" s="33">
        <v>44729</v>
      </c>
      <c r="B2814" s="29" t="s">
        <v>2262</v>
      </c>
      <c r="C2814" s="29" t="s">
        <v>2263</v>
      </c>
      <c r="D2814" s="29" t="s">
        <v>2264</v>
      </c>
      <c r="E2814" s="92">
        <v>614544</v>
      </c>
      <c r="F2814" s="89" t="s">
        <v>5379</v>
      </c>
      <c r="G2814" s="29" t="s">
        <v>9502</v>
      </c>
    </row>
    <row r="2815" spans="1:7">
      <c r="A2815" s="33">
        <v>44730</v>
      </c>
      <c r="B2815" s="29" t="s">
        <v>9562</v>
      </c>
      <c r="C2815" s="29" t="s">
        <v>4778</v>
      </c>
      <c r="D2815" s="29" t="s">
        <v>9563</v>
      </c>
      <c r="E2815" s="92">
        <v>613983</v>
      </c>
      <c r="F2815" s="89" t="s">
        <v>1149</v>
      </c>
      <c r="G2815" s="29" t="s">
        <v>9564</v>
      </c>
    </row>
    <row r="2816" spans="1:7">
      <c r="A2816" s="33">
        <v>44731</v>
      </c>
      <c r="B2816" s="29" t="s">
        <v>2266</v>
      </c>
      <c r="C2816" s="29" t="s">
        <v>2267</v>
      </c>
      <c r="D2816" s="29" t="s">
        <v>2268</v>
      </c>
      <c r="E2816" s="92">
        <v>613021</v>
      </c>
      <c r="F2816" s="89" t="s">
        <v>1833</v>
      </c>
      <c r="G2816" s="29" t="s">
        <v>8885</v>
      </c>
    </row>
    <row r="2817" spans="1:7">
      <c r="A2817" s="33">
        <v>44732</v>
      </c>
      <c r="B2817" s="29" t="s">
        <v>9565</v>
      </c>
      <c r="C2817" s="29" t="s">
        <v>9566</v>
      </c>
      <c r="D2817" s="29" t="s">
        <v>9567</v>
      </c>
      <c r="E2817" s="92">
        <v>612511</v>
      </c>
      <c r="F2817" s="89" t="s">
        <v>1185</v>
      </c>
      <c r="G2817" s="29" t="s">
        <v>8542</v>
      </c>
    </row>
    <row r="2818" spans="1:7">
      <c r="A2818" s="33">
        <v>44733</v>
      </c>
      <c r="B2818" s="29" t="s">
        <v>2270</v>
      </c>
      <c r="C2818" s="29" t="s">
        <v>2271</v>
      </c>
      <c r="D2818" s="29" t="s">
        <v>2272</v>
      </c>
      <c r="E2818" s="92">
        <v>612133</v>
      </c>
      <c r="F2818" s="89" t="s">
        <v>9568</v>
      </c>
      <c r="G2818" s="29" t="s">
        <v>4778</v>
      </c>
    </row>
    <row r="2819" spans="1:7">
      <c r="A2819" s="33">
        <v>44734</v>
      </c>
      <c r="B2819" s="29" t="s">
        <v>2274</v>
      </c>
      <c r="C2819" s="29" t="s">
        <v>2275</v>
      </c>
      <c r="D2819" s="29" t="s">
        <v>2276</v>
      </c>
      <c r="E2819" s="92">
        <v>610892</v>
      </c>
      <c r="F2819" s="89" t="s">
        <v>1265</v>
      </c>
      <c r="G2819" s="29" t="s">
        <v>8567</v>
      </c>
    </row>
    <row r="2820" spans="1:7">
      <c r="A2820" s="33">
        <v>44735</v>
      </c>
      <c r="B2820" s="29" t="s">
        <v>2278</v>
      </c>
      <c r="C2820" s="29" t="s">
        <v>2279</v>
      </c>
      <c r="D2820" s="29" t="s">
        <v>2280</v>
      </c>
      <c r="E2820" s="92">
        <v>610436</v>
      </c>
      <c r="F2820" s="89" t="s">
        <v>1313</v>
      </c>
      <c r="G2820" s="29" t="s">
        <v>8781</v>
      </c>
    </row>
    <row r="2821" spans="1:7">
      <c r="A2821" s="33">
        <v>44736</v>
      </c>
      <c r="B2821" s="29" t="s">
        <v>2282</v>
      </c>
      <c r="C2821" s="29" t="s">
        <v>2283</v>
      </c>
      <c r="D2821" s="29" t="s">
        <v>2284</v>
      </c>
      <c r="E2821" s="92">
        <v>610204</v>
      </c>
      <c r="F2821" s="89" t="s">
        <v>499</v>
      </c>
      <c r="G2821" s="29" t="s">
        <v>8755</v>
      </c>
    </row>
    <row r="2822" spans="1:7">
      <c r="A2822" s="33">
        <v>44737</v>
      </c>
      <c r="B2822" s="29" t="s">
        <v>2286</v>
      </c>
      <c r="C2822" s="29" t="s">
        <v>2287</v>
      </c>
      <c r="D2822" s="29" t="s">
        <v>2288</v>
      </c>
      <c r="E2822" s="92">
        <v>609874</v>
      </c>
      <c r="F2822" s="89" t="s">
        <v>4333</v>
      </c>
      <c r="G2822" s="29" t="s">
        <v>6787</v>
      </c>
    </row>
    <row r="2823" spans="1:7">
      <c r="A2823" s="33">
        <v>44738</v>
      </c>
      <c r="B2823" s="29" t="s">
        <v>2290</v>
      </c>
      <c r="C2823" s="29" t="s">
        <v>2291</v>
      </c>
      <c r="D2823" s="29" t="s">
        <v>2292</v>
      </c>
      <c r="E2823" s="92">
        <v>609735</v>
      </c>
      <c r="F2823" s="89" t="s">
        <v>1273</v>
      </c>
      <c r="G2823" s="29" t="s">
        <v>6678</v>
      </c>
    </row>
    <row r="2824" spans="1:7">
      <c r="A2824" s="33">
        <v>44739</v>
      </c>
      <c r="B2824" s="29" t="s">
        <v>2294</v>
      </c>
      <c r="C2824" s="29" t="s">
        <v>2295</v>
      </c>
      <c r="D2824" s="29" t="s">
        <v>2296</v>
      </c>
      <c r="E2824" s="92">
        <v>609241</v>
      </c>
      <c r="F2824" s="89" t="s">
        <v>564</v>
      </c>
      <c r="G2824" s="29" t="s">
        <v>8508</v>
      </c>
    </row>
    <row r="2825" spans="1:7">
      <c r="A2825" s="33">
        <v>44740</v>
      </c>
      <c r="B2825" s="29" t="s">
        <v>2298</v>
      </c>
      <c r="C2825" s="29" t="s">
        <v>2299</v>
      </c>
      <c r="D2825" s="29" t="s">
        <v>2300</v>
      </c>
      <c r="E2825" s="92">
        <v>609227</v>
      </c>
      <c r="F2825" s="89" t="s">
        <v>9569</v>
      </c>
      <c r="G2825" s="29" t="s">
        <v>8812</v>
      </c>
    </row>
    <row r="2826" spans="1:7">
      <c r="A2826" s="33">
        <v>44741</v>
      </c>
      <c r="B2826" s="29" t="s">
        <v>2302</v>
      </c>
      <c r="C2826" s="29" t="s">
        <v>2303</v>
      </c>
      <c r="D2826" s="29" t="s">
        <v>2304</v>
      </c>
      <c r="E2826" s="92">
        <v>608634</v>
      </c>
      <c r="F2826" s="89" t="s">
        <v>5367</v>
      </c>
      <c r="G2826" s="29" t="s">
        <v>8626</v>
      </c>
    </row>
    <row r="2827" spans="1:7">
      <c r="A2827" s="33">
        <v>44742</v>
      </c>
      <c r="B2827" s="29" t="s">
        <v>2306</v>
      </c>
      <c r="C2827" s="29" t="s">
        <v>2307</v>
      </c>
      <c r="D2827" s="29" t="s">
        <v>2308</v>
      </c>
      <c r="E2827" s="92">
        <v>608312</v>
      </c>
      <c r="F2827" s="89" t="s">
        <v>5365</v>
      </c>
      <c r="G2827" s="29" t="s">
        <v>9097</v>
      </c>
    </row>
    <row r="2828" spans="1:7">
      <c r="A2828" s="33">
        <v>44743</v>
      </c>
      <c r="B2828" s="29" t="s">
        <v>2310</v>
      </c>
      <c r="C2828" s="29" t="s">
        <v>2311</v>
      </c>
      <c r="D2828" s="29" t="s">
        <v>2312</v>
      </c>
      <c r="E2828" s="92">
        <v>608243</v>
      </c>
      <c r="F2828" s="89" t="s">
        <v>5363</v>
      </c>
      <c r="G2828" s="29" t="s">
        <v>8542</v>
      </c>
    </row>
    <row r="2829" spans="1:7">
      <c r="A2829" s="33">
        <v>44744</v>
      </c>
      <c r="B2829" s="29" t="s">
        <v>2314</v>
      </c>
      <c r="C2829" s="29" t="s">
        <v>2315</v>
      </c>
      <c r="D2829" s="29" t="s">
        <v>2316</v>
      </c>
      <c r="E2829" s="92">
        <v>608043</v>
      </c>
      <c r="F2829" s="89" t="s">
        <v>1996</v>
      </c>
      <c r="G2829" s="29" t="s">
        <v>8638</v>
      </c>
    </row>
    <row r="2830" spans="1:7">
      <c r="A2830" s="33">
        <v>44745</v>
      </c>
      <c r="B2830" s="29" t="s">
        <v>2318</v>
      </c>
      <c r="C2830" s="29" t="s">
        <v>2319</v>
      </c>
      <c r="D2830" s="29" t="s">
        <v>2320</v>
      </c>
      <c r="E2830" s="92">
        <v>607155</v>
      </c>
      <c r="F2830" s="89" t="s">
        <v>2016</v>
      </c>
      <c r="G2830" s="29" t="s">
        <v>8758</v>
      </c>
    </row>
    <row r="2831" spans="1:7">
      <c r="A2831" s="33">
        <v>44746</v>
      </c>
      <c r="B2831" s="29" t="s">
        <v>9570</v>
      </c>
      <c r="C2831" s="29" t="s">
        <v>4778</v>
      </c>
      <c r="D2831" s="29" t="s">
        <v>9571</v>
      </c>
      <c r="E2831" s="92">
        <v>606973</v>
      </c>
      <c r="F2831" s="89" t="s">
        <v>1157</v>
      </c>
      <c r="G2831" s="29" t="s">
        <v>8789</v>
      </c>
    </row>
    <row r="2832" spans="1:7">
      <c r="A2832" s="33">
        <v>44747</v>
      </c>
      <c r="B2832" s="29" t="s">
        <v>9572</v>
      </c>
      <c r="C2832" s="29" t="s">
        <v>9573</v>
      </c>
      <c r="D2832" s="29" t="s">
        <v>9574</v>
      </c>
      <c r="E2832" s="92">
        <v>606727</v>
      </c>
      <c r="F2832" s="89" t="s">
        <v>1161</v>
      </c>
      <c r="G2832" s="29" t="s">
        <v>8473</v>
      </c>
    </row>
    <row r="2833" spans="1:7">
      <c r="A2833" s="33">
        <v>44748</v>
      </c>
      <c r="B2833" s="29" t="s">
        <v>2322</v>
      </c>
      <c r="C2833" s="29" t="s">
        <v>2323</v>
      </c>
      <c r="D2833" s="29" t="s">
        <v>2324</v>
      </c>
      <c r="E2833" s="92">
        <v>606719</v>
      </c>
      <c r="F2833" s="89" t="s">
        <v>5361</v>
      </c>
      <c r="G2833" s="29" t="s">
        <v>8485</v>
      </c>
    </row>
    <row r="2834" spans="1:7">
      <c r="A2834" s="33">
        <v>44749</v>
      </c>
      <c r="B2834" s="29" t="s">
        <v>2326</v>
      </c>
      <c r="C2834" s="29" t="s">
        <v>2327</v>
      </c>
      <c r="D2834" s="29" t="s">
        <v>2328</v>
      </c>
      <c r="E2834" s="92">
        <v>606272</v>
      </c>
      <c r="F2834" s="89" t="s">
        <v>5359</v>
      </c>
      <c r="G2834" s="29" t="s">
        <v>8831</v>
      </c>
    </row>
    <row r="2835" spans="1:7">
      <c r="A2835" s="33">
        <v>44750</v>
      </c>
      <c r="B2835" s="29" t="s">
        <v>2330</v>
      </c>
      <c r="C2835" s="29" t="s">
        <v>2331</v>
      </c>
      <c r="D2835" s="29" t="s">
        <v>2332</v>
      </c>
      <c r="E2835" s="92">
        <v>606166</v>
      </c>
      <c r="F2835" s="89" t="s">
        <v>5358</v>
      </c>
      <c r="G2835" s="29" t="s">
        <v>9412</v>
      </c>
    </row>
    <row r="2836" spans="1:7">
      <c r="A2836" s="33">
        <v>44751</v>
      </c>
      <c r="B2836" s="29" t="s">
        <v>2334</v>
      </c>
      <c r="C2836" s="29" t="s">
        <v>2335</v>
      </c>
      <c r="D2836" s="29" t="s">
        <v>2336</v>
      </c>
      <c r="E2836" s="92">
        <v>605984</v>
      </c>
      <c r="F2836" s="89" t="s">
        <v>5356</v>
      </c>
      <c r="G2836" s="29" t="s">
        <v>8966</v>
      </c>
    </row>
    <row r="2837" spans="1:7">
      <c r="A2837" s="33">
        <v>44752</v>
      </c>
      <c r="B2837" s="29" t="s">
        <v>2338</v>
      </c>
      <c r="C2837" s="29" t="s">
        <v>2338</v>
      </c>
      <c r="D2837" s="29" t="s">
        <v>2339</v>
      </c>
      <c r="E2837" s="92">
        <v>605693</v>
      </c>
      <c r="F2837" s="89" t="s">
        <v>2004</v>
      </c>
      <c r="G2837" s="29" t="s">
        <v>8452</v>
      </c>
    </row>
    <row r="2838" spans="1:7">
      <c r="A2838" s="33">
        <v>44753</v>
      </c>
      <c r="B2838" s="29" t="s">
        <v>2341</v>
      </c>
      <c r="C2838" s="29" t="s">
        <v>2341</v>
      </c>
      <c r="D2838" s="29" t="s">
        <v>2342</v>
      </c>
      <c r="E2838" s="92">
        <v>604728</v>
      </c>
      <c r="F2838" s="89" t="s">
        <v>1675</v>
      </c>
      <c r="G2838" s="29" t="s">
        <v>8474</v>
      </c>
    </row>
    <row r="2839" spans="1:7">
      <c r="A2839" s="33">
        <v>44754</v>
      </c>
      <c r="B2839" s="29" t="s">
        <v>2344</v>
      </c>
      <c r="C2839" s="29" t="s">
        <v>2345</v>
      </c>
      <c r="D2839" s="29" t="s">
        <v>2346</v>
      </c>
      <c r="E2839" s="92">
        <v>602842</v>
      </c>
      <c r="F2839" s="89" t="s">
        <v>5355</v>
      </c>
      <c r="G2839" s="29" t="s">
        <v>4778</v>
      </c>
    </row>
    <row r="2840" spans="1:7">
      <c r="A2840" s="33">
        <v>44755</v>
      </c>
      <c r="B2840" s="29" t="s">
        <v>9575</v>
      </c>
      <c r="C2840" s="29" t="s">
        <v>9576</v>
      </c>
      <c r="D2840" s="29" t="s">
        <v>9577</v>
      </c>
      <c r="E2840" s="92">
        <v>602625</v>
      </c>
      <c r="F2840" s="89" t="s">
        <v>9578</v>
      </c>
      <c r="G2840" s="29" t="s">
        <v>9579</v>
      </c>
    </row>
    <row r="2841" spans="1:7">
      <c r="A2841" s="33">
        <v>44756</v>
      </c>
      <c r="B2841" s="29" t="s">
        <v>2348</v>
      </c>
      <c r="C2841" s="29" t="s">
        <v>2349</v>
      </c>
      <c r="D2841" s="29" t="s">
        <v>2350</v>
      </c>
      <c r="E2841" s="92">
        <v>600826</v>
      </c>
      <c r="F2841" s="89" t="s">
        <v>1181</v>
      </c>
      <c r="G2841" s="29" t="s">
        <v>8927</v>
      </c>
    </row>
    <row r="2842" spans="1:7">
      <c r="A2842" s="33">
        <v>44757</v>
      </c>
      <c r="B2842" s="29" t="s">
        <v>2352</v>
      </c>
      <c r="C2842" s="29" t="s">
        <v>2353</v>
      </c>
      <c r="D2842" s="29">
        <v>20397</v>
      </c>
      <c r="E2842" s="92">
        <v>598212</v>
      </c>
      <c r="F2842" s="89" t="s">
        <v>5352</v>
      </c>
      <c r="G2842" s="29" t="s">
        <v>8460</v>
      </c>
    </row>
    <row r="2843" spans="1:7">
      <c r="A2843" s="33">
        <v>44758</v>
      </c>
      <c r="B2843" s="29" t="s">
        <v>2356</v>
      </c>
      <c r="C2843" s="29" t="s">
        <v>2357</v>
      </c>
      <c r="D2843" s="29" t="s">
        <v>2358</v>
      </c>
      <c r="E2843" s="92">
        <v>597149</v>
      </c>
      <c r="F2843" s="89" t="s">
        <v>1269</v>
      </c>
      <c r="G2843" s="29" t="s">
        <v>4778</v>
      </c>
    </row>
    <row r="2844" spans="1:7">
      <c r="A2844" s="33">
        <v>44759</v>
      </c>
      <c r="B2844" s="29" t="s">
        <v>2360</v>
      </c>
      <c r="C2844" s="29" t="s">
        <v>2361</v>
      </c>
      <c r="D2844" s="29" t="s">
        <v>2362</v>
      </c>
      <c r="E2844" s="92">
        <v>596298</v>
      </c>
      <c r="F2844" s="89" t="s">
        <v>1257</v>
      </c>
      <c r="G2844" s="29" t="s">
        <v>8400</v>
      </c>
    </row>
    <row r="2845" spans="1:7">
      <c r="A2845" s="33">
        <v>44760</v>
      </c>
      <c r="B2845" s="29" t="s">
        <v>2364</v>
      </c>
      <c r="C2845" s="29" t="s">
        <v>2365</v>
      </c>
      <c r="D2845" s="29" t="s">
        <v>2364</v>
      </c>
      <c r="E2845" s="92">
        <v>596116</v>
      </c>
      <c r="F2845" s="89" t="s">
        <v>5348</v>
      </c>
      <c r="G2845" s="35">
        <v>40000000000</v>
      </c>
    </row>
    <row r="2846" spans="1:7">
      <c r="A2846" s="33">
        <v>44761</v>
      </c>
      <c r="B2846" s="29" t="s">
        <v>2367</v>
      </c>
      <c r="C2846" s="29" t="s">
        <v>2368</v>
      </c>
      <c r="D2846" s="29" t="s">
        <v>2369</v>
      </c>
      <c r="E2846" s="92">
        <v>592103</v>
      </c>
      <c r="F2846" s="89" t="s">
        <v>4361</v>
      </c>
      <c r="G2846" s="29" t="s">
        <v>9580</v>
      </c>
    </row>
    <row r="2847" spans="1:7">
      <c r="A2847" s="33">
        <v>44762</v>
      </c>
      <c r="B2847" s="29" t="s">
        <v>2371</v>
      </c>
      <c r="C2847" s="29" t="s">
        <v>2372</v>
      </c>
      <c r="D2847" s="29" t="s">
        <v>2373</v>
      </c>
      <c r="E2847" s="92">
        <v>591054</v>
      </c>
      <c r="F2847" s="89" t="s">
        <v>560</v>
      </c>
      <c r="G2847" s="29" t="s">
        <v>8887</v>
      </c>
    </row>
    <row r="2848" spans="1:7">
      <c r="A2848" s="33">
        <v>44763</v>
      </c>
      <c r="B2848" s="29" t="s">
        <v>2375</v>
      </c>
      <c r="C2848" s="29" t="s">
        <v>2376</v>
      </c>
      <c r="D2848" s="29" t="s">
        <v>2377</v>
      </c>
      <c r="E2848" s="92">
        <v>587801</v>
      </c>
      <c r="F2848" s="89" t="s">
        <v>491</v>
      </c>
      <c r="G2848" s="29" t="s">
        <v>8563</v>
      </c>
    </row>
    <row r="2849" spans="1:7">
      <c r="A2849" s="33">
        <v>44764</v>
      </c>
      <c r="B2849" s="29" t="s">
        <v>2379</v>
      </c>
      <c r="C2849" s="29" t="s">
        <v>2380</v>
      </c>
      <c r="D2849" s="29" t="s">
        <v>2381</v>
      </c>
      <c r="E2849" s="92">
        <v>587778</v>
      </c>
      <c r="F2849" s="89" t="s">
        <v>1608</v>
      </c>
      <c r="G2849" s="29" t="s">
        <v>9527</v>
      </c>
    </row>
    <row r="2850" spans="1:7">
      <c r="A2850" s="33">
        <v>44765</v>
      </c>
      <c r="B2850" s="29" t="s">
        <v>2383</v>
      </c>
      <c r="C2850" s="29" t="s">
        <v>2384</v>
      </c>
      <c r="D2850" s="29" t="s">
        <v>2385</v>
      </c>
      <c r="E2850" s="92">
        <v>587559</v>
      </c>
      <c r="F2850" s="89" t="s">
        <v>2000</v>
      </c>
      <c r="G2850" s="29" t="s">
        <v>8796</v>
      </c>
    </row>
    <row r="2851" spans="1:7">
      <c r="A2851" s="33">
        <v>44766</v>
      </c>
      <c r="B2851" s="29" t="s">
        <v>2387</v>
      </c>
      <c r="C2851" s="29">
        <v>22974</v>
      </c>
      <c r="D2851" s="29" t="s">
        <v>2389</v>
      </c>
      <c r="E2851" s="92">
        <v>586753</v>
      </c>
      <c r="F2851" s="89" t="s">
        <v>1659</v>
      </c>
      <c r="G2851" s="29" t="s">
        <v>8626</v>
      </c>
    </row>
    <row r="2852" spans="1:7">
      <c r="A2852" s="33">
        <v>44767</v>
      </c>
      <c r="B2852" s="29" t="s">
        <v>2391</v>
      </c>
      <c r="C2852" s="29" t="s">
        <v>2392</v>
      </c>
      <c r="D2852" s="29" t="s">
        <v>2393</v>
      </c>
      <c r="E2852" s="92">
        <v>585537</v>
      </c>
      <c r="F2852" s="89" t="s">
        <v>556</v>
      </c>
      <c r="G2852" s="29" t="s">
        <v>9581</v>
      </c>
    </row>
    <row r="2853" spans="1:7">
      <c r="A2853" s="33">
        <v>44768</v>
      </c>
      <c r="B2853" s="29" t="s">
        <v>9582</v>
      </c>
      <c r="C2853" s="29" t="s">
        <v>9582</v>
      </c>
      <c r="D2853" s="29" t="s">
        <v>9583</v>
      </c>
      <c r="E2853" s="92">
        <v>581697</v>
      </c>
      <c r="F2853" s="89" t="s">
        <v>1153</v>
      </c>
      <c r="G2853" s="29" t="s">
        <v>8567</v>
      </c>
    </row>
    <row r="2854" spans="1:7">
      <c r="A2854" s="33">
        <v>44769</v>
      </c>
      <c r="B2854" s="29" t="s">
        <v>2395</v>
      </c>
      <c r="C2854" s="29" t="s">
        <v>2396</v>
      </c>
      <c r="D2854" s="29" t="s">
        <v>2397</v>
      </c>
      <c r="E2854" s="92">
        <v>581645</v>
      </c>
      <c r="F2854" s="89" t="s">
        <v>4369</v>
      </c>
      <c r="G2854" s="29" t="s">
        <v>8806</v>
      </c>
    </row>
    <row r="2855" spans="1:7">
      <c r="A2855" s="33">
        <v>44770</v>
      </c>
      <c r="B2855" s="29" t="s">
        <v>2399</v>
      </c>
      <c r="C2855" s="29" t="s">
        <v>2400</v>
      </c>
      <c r="D2855" s="29" t="s">
        <v>2401</v>
      </c>
      <c r="E2855" s="92">
        <v>581308</v>
      </c>
      <c r="F2855" s="89" t="s">
        <v>1261</v>
      </c>
      <c r="G2855" s="29" t="s">
        <v>9421</v>
      </c>
    </row>
    <row r="2856" spans="1:7">
      <c r="A2856" s="33">
        <v>44771</v>
      </c>
      <c r="B2856" s="29" t="s">
        <v>2403</v>
      </c>
      <c r="C2856" s="29" t="s">
        <v>2404</v>
      </c>
      <c r="D2856" s="29" t="s">
        <v>2405</v>
      </c>
      <c r="E2856" s="92">
        <v>580182</v>
      </c>
      <c r="F2856" s="89" t="s">
        <v>1651</v>
      </c>
      <c r="G2856" s="29" t="s">
        <v>9228</v>
      </c>
    </row>
    <row r="2857" spans="1:7">
      <c r="A2857" s="33">
        <v>44772</v>
      </c>
      <c r="B2857" s="29" t="s">
        <v>2407</v>
      </c>
      <c r="C2857" s="29" t="s">
        <v>2408</v>
      </c>
      <c r="D2857" s="29" t="s">
        <v>2409</v>
      </c>
      <c r="E2857" s="92">
        <v>579651</v>
      </c>
      <c r="F2857" s="89" t="s">
        <v>2008</v>
      </c>
      <c r="G2857" s="29" t="s">
        <v>8816</v>
      </c>
    </row>
    <row r="2858" spans="1:7">
      <c r="A2858" s="33">
        <v>44773</v>
      </c>
      <c r="B2858" s="29" t="s">
        <v>2411</v>
      </c>
      <c r="C2858" s="29" t="s">
        <v>2412</v>
      </c>
      <c r="D2858" s="29" t="s">
        <v>2413</v>
      </c>
      <c r="E2858" s="92">
        <v>578289</v>
      </c>
      <c r="F2858" s="89" t="s">
        <v>846</v>
      </c>
      <c r="G2858" s="29" t="s">
        <v>8626</v>
      </c>
    </row>
    <row r="2859" spans="1:7">
      <c r="A2859" s="33">
        <v>44774</v>
      </c>
      <c r="B2859" s="29" t="s">
        <v>2415</v>
      </c>
      <c r="C2859" s="29" t="s">
        <v>2416</v>
      </c>
      <c r="D2859" s="29" t="s">
        <v>2417</v>
      </c>
      <c r="E2859" s="92">
        <v>577761</v>
      </c>
      <c r="F2859" s="89" t="s">
        <v>1671</v>
      </c>
      <c r="G2859" s="29" t="s">
        <v>8831</v>
      </c>
    </row>
    <row r="2860" spans="1:7">
      <c r="A2860" s="33">
        <v>44775</v>
      </c>
      <c r="B2860" s="29" t="s">
        <v>2419</v>
      </c>
      <c r="C2860" s="29" t="s">
        <v>2420</v>
      </c>
      <c r="D2860" s="29" t="s">
        <v>2421</v>
      </c>
      <c r="E2860" s="92">
        <v>577503</v>
      </c>
      <c r="F2860" s="89" t="s">
        <v>495</v>
      </c>
      <c r="G2860" s="29" t="s">
        <v>8775</v>
      </c>
    </row>
    <row r="2861" spans="1:7">
      <c r="A2861" s="33">
        <v>44776</v>
      </c>
      <c r="B2861" s="29" t="s">
        <v>2423</v>
      </c>
      <c r="C2861" s="29" t="s">
        <v>2424</v>
      </c>
      <c r="D2861" s="29" t="s">
        <v>2425</v>
      </c>
      <c r="E2861" s="92">
        <v>577439</v>
      </c>
      <c r="F2861" s="89" t="s">
        <v>9584</v>
      </c>
      <c r="G2861" s="29" t="s">
        <v>9097</v>
      </c>
    </row>
    <row r="2862" spans="1:7">
      <c r="A2862" s="33">
        <v>44777</v>
      </c>
      <c r="B2862" s="29" t="s">
        <v>2427</v>
      </c>
      <c r="C2862" s="29" t="s">
        <v>2428</v>
      </c>
      <c r="D2862" s="29" t="s">
        <v>2429</v>
      </c>
      <c r="E2862" s="92">
        <v>576597</v>
      </c>
      <c r="F2862" s="89" t="s">
        <v>2012</v>
      </c>
      <c r="G2862" s="29" t="s">
        <v>8464</v>
      </c>
    </row>
    <row r="2863" spans="1:7">
      <c r="A2863" s="33">
        <v>44778</v>
      </c>
      <c r="B2863" s="29" t="s">
        <v>9585</v>
      </c>
      <c r="C2863" s="29" t="s">
        <v>4778</v>
      </c>
      <c r="D2863" s="29" t="s">
        <v>9586</v>
      </c>
      <c r="E2863" s="92">
        <v>575537</v>
      </c>
      <c r="F2863" s="89" t="s">
        <v>4365</v>
      </c>
      <c r="G2863" s="29" t="s">
        <v>8449</v>
      </c>
    </row>
    <row r="2864" spans="1:7">
      <c r="A2864" s="33">
        <v>44779</v>
      </c>
      <c r="B2864" s="29" t="s">
        <v>2431</v>
      </c>
      <c r="C2864" s="29" t="s">
        <v>2432</v>
      </c>
      <c r="D2864" s="29" t="s">
        <v>2433</v>
      </c>
      <c r="E2864" s="92">
        <v>575472</v>
      </c>
      <c r="F2864" s="89" t="s">
        <v>1616</v>
      </c>
      <c r="G2864" s="29" t="s">
        <v>8662</v>
      </c>
    </row>
    <row r="2865" spans="1:7">
      <c r="A2865" s="33">
        <v>44780</v>
      </c>
      <c r="B2865" s="29" t="s">
        <v>2434</v>
      </c>
      <c r="C2865" s="29" t="s">
        <v>2435</v>
      </c>
      <c r="D2865" s="29" t="s">
        <v>2436</v>
      </c>
      <c r="E2865" s="92">
        <v>575043</v>
      </c>
      <c r="F2865" s="89" t="s">
        <v>1189</v>
      </c>
      <c r="G2865" s="29" t="s">
        <v>6783</v>
      </c>
    </row>
    <row r="2866" spans="1:7">
      <c r="A2866" s="33">
        <v>44781</v>
      </c>
      <c r="B2866" s="29" t="s">
        <v>2438</v>
      </c>
      <c r="C2866" s="29" t="s">
        <v>2439</v>
      </c>
      <c r="D2866" s="29" t="s">
        <v>2440</v>
      </c>
      <c r="E2866" s="92">
        <v>574977</v>
      </c>
      <c r="F2866" s="89" t="s">
        <v>1596</v>
      </c>
      <c r="G2866" s="29" t="s">
        <v>8567</v>
      </c>
    </row>
    <row r="2867" spans="1:7">
      <c r="A2867" s="33">
        <v>44782</v>
      </c>
      <c r="B2867" s="29" t="s">
        <v>2442</v>
      </c>
      <c r="C2867" s="29" t="s">
        <v>2443</v>
      </c>
      <c r="D2867" s="29">
        <v>22982</v>
      </c>
      <c r="E2867" s="92">
        <v>574318</v>
      </c>
      <c r="F2867" s="89" t="s">
        <v>842</v>
      </c>
      <c r="G2867" s="29" t="s">
        <v>8626</v>
      </c>
    </row>
    <row r="2868" spans="1:7">
      <c r="A2868" s="33">
        <v>44783</v>
      </c>
      <c r="B2868" s="29" t="s">
        <v>2446</v>
      </c>
      <c r="C2868" s="29" t="s">
        <v>2447</v>
      </c>
      <c r="D2868" s="29" t="s">
        <v>2448</v>
      </c>
      <c r="E2868" s="92">
        <v>574107</v>
      </c>
      <c r="F2868" s="89" t="s">
        <v>9587</v>
      </c>
      <c r="G2868" s="29" t="s">
        <v>8912</v>
      </c>
    </row>
    <row r="2869" spans="1:7">
      <c r="A2869" s="33">
        <v>44784</v>
      </c>
      <c r="B2869" s="29" t="s">
        <v>2450</v>
      </c>
      <c r="C2869" s="29" t="s">
        <v>2451</v>
      </c>
      <c r="D2869" s="29">
        <v>23901</v>
      </c>
      <c r="E2869" s="92">
        <v>573912</v>
      </c>
      <c r="F2869" s="89" t="s">
        <v>1984</v>
      </c>
      <c r="G2869" s="29" t="s">
        <v>8911</v>
      </c>
    </row>
    <row r="2870" spans="1:7">
      <c r="A2870" s="33">
        <v>44785</v>
      </c>
      <c r="B2870" s="29" t="s">
        <v>2454</v>
      </c>
      <c r="C2870" s="29" t="s">
        <v>2455</v>
      </c>
      <c r="D2870" s="29" t="s">
        <v>2456</v>
      </c>
      <c r="E2870" s="92">
        <v>573216</v>
      </c>
      <c r="F2870" s="89" t="s">
        <v>1612</v>
      </c>
      <c r="G2870" s="29" t="s">
        <v>8532</v>
      </c>
    </row>
    <row r="2871" spans="1:7">
      <c r="A2871" s="33">
        <v>44786</v>
      </c>
      <c r="B2871" s="29" t="s">
        <v>2458</v>
      </c>
      <c r="C2871" s="29" t="s">
        <v>2459</v>
      </c>
      <c r="D2871" s="29" t="s">
        <v>2460</v>
      </c>
      <c r="E2871" s="92">
        <v>572727</v>
      </c>
      <c r="F2871" s="89" t="s">
        <v>1620</v>
      </c>
      <c r="G2871" s="29" t="s">
        <v>8808</v>
      </c>
    </row>
    <row r="2872" spans="1:7">
      <c r="A2872" s="33">
        <v>44787</v>
      </c>
      <c r="B2872" s="29" t="s">
        <v>2462</v>
      </c>
      <c r="C2872" s="29" t="s">
        <v>2463</v>
      </c>
      <c r="D2872" s="29" t="s">
        <v>2464</v>
      </c>
      <c r="E2872" s="92">
        <v>572303</v>
      </c>
      <c r="F2872" s="89" t="s">
        <v>1213</v>
      </c>
      <c r="G2872" s="29" t="s">
        <v>8808</v>
      </c>
    </row>
    <row r="2873" spans="1:7">
      <c r="A2873" s="33">
        <v>44788</v>
      </c>
      <c r="B2873" s="29" t="s">
        <v>2466</v>
      </c>
      <c r="C2873" s="29" t="s">
        <v>2467</v>
      </c>
      <c r="D2873" s="29" t="s">
        <v>2468</v>
      </c>
      <c r="E2873" s="92">
        <v>570473</v>
      </c>
      <c r="F2873" s="89" t="s">
        <v>4357</v>
      </c>
      <c r="G2873" s="29" t="s">
        <v>8525</v>
      </c>
    </row>
    <row r="2874" spans="1:7">
      <c r="A2874" s="33">
        <v>44789</v>
      </c>
      <c r="B2874" s="29" t="s">
        <v>2470</v>
      </c>
      <c r="C2874" s="29" t="s">
        <v>2471</v>
      </c>
      <c r="D2874" s="29" t="s">
        <v>2472</v>
      </c>
      <c r="E2874" s="92">
        <v>569947</v>
      </c>
      <c r="F2874" s="89" t="s">
        <v>5340</v>
      </c>
      <c r="G2874" s="29" t="s">
        <v>8450</v>
      </c>
    </row>
    <row r="2875" spans="1:7">
      <c r="A2875" s="33">
        <v>44790</v>
      </c>
      <c r="B2875" s="29" t="s">
        <v>2474</v>
      </c>
      <c r="C2875" s="29" t="s">
        <v>2475</v>
      </c>
      <c r="D2875" s="29" t="s">
        <v>2476</v>
      </c>
      <c r="E2875" s="92">
        <v>569194</v>
      </c>
      <c r="F2875" s="89" t="s">
        <v>1229</v>
      </c>
      <c r="G2875" s="29" t="s">
        <v>8773</v>
      </c>
    </row>
    <row r="2876" spans="1:7">
      <c r="A2876" s="33">
        <v>44791</v>
      </c>
      <c r="B2876" s="29" t="s">
        <v>2478</v>
      </c>
      <c r="C2876" s="29" t="s">
        <v>2479</v>
      </c>
      <c r="D2876" s="29" t="s">
        <v>2480</v>
      </c>
      <c r="E2876" s="92">
        <v>566355</v>
      </c>
      <c r="F2876" s="89" t="s">
        <v>1992</v>
      </c>
      <c r="G2876" s="29" t="s">
        <v>8978</v>
      </c>
    </row>
    <row r="2877" spans="1:7">
      <c r="A2877" s="33">
        <v>44792</v>
      </c>
      <c r="B2877" s="29" t="s">
        <v>2482</v>
      </c>
      <c r="C2877" s="29" t="s">
        <v>2482</v>
      </c>
      <c r="D2877" s="29" t="s">
        <v>2483</v>
      </c>
      <c r="E2877" s="92">
        <v>547465</v>
      </c>
      <c r="F2877" s="89" t="s">
        <v>1277</v>
      </c>
      <c r="G2877" s="29" t="s">
        <v>9470</v>
      </c>
    </row>
    <row r="2878" spans="1:7">
      <c r="A2878" s="33">
        <v>44793</v>
      </c>
      <c r="B2878" s="29" t="s">
        <v>2485</v>
      </c>
      <c r="C2878" s="29" t="s">
        <v>2486</v>
      </c>
      <c r="D2878" s="29" t="s">
        <v>2487</v>
      </c>
      <c r="E2878" s="92">
        <v>537972</v>
      </c>
      <c r="F2878" s="89" t="s">
        <v>552</v>
      </c>
      <c r="G2878" s="29" t="s">
        <v>9588</v>
      </c>
    </row>
    <row r="2879" spans="1:7">
      <c r="A2879" s="33">
        <v>44794</v>
      </c>
      <c r="B2879" s="29" t="s">
        <v>2489</v>
      </c>
      <c r="C2879" s="29" t="s">
        <v>2490</v>
      </c>
      <c r="D2879" s="29" t="s">
        <v>2491</v>
      </c>
      <c r="E2879" s="92">
        <v>533864</v>
      </c>
      <c r="F2879" s="89" t="s">
        <v>1173</v>
      </c>
      <c r="G2879" s="29" t="s">
        <v>8782</v>
      </c>
    </row>
    <row r="2880" spans="1:7">
      <c r="A2880" s="33">
        <v>44795</v>
      </c>
      <c r="B2880" s="29" t="s">
        <v>2493</v>
      </c>
      <c r="C2880" s="29" t="s">
        <v>2493</v>
      </c>
      <c r="D2880" s="29" t="s">
        <v>2494</v>
      </c>
      <c r="E2880" s="92">
        <v>531386</v>
      </c>
      <c r="F2880" s="89" t="s">
        <v>9589</v>
      </c>
      <c r="G2880" s="29" t="s">
        <v>8819</v>
      </c>
    </row>
    <row r="2881" spans="1:7">
      <c r="A2881" s="33">
        <v>44796</v>
      </c>
      <c r="B2881" s="29" t="s">
        <v>2496</v>
      </c>
      <c r="C2881" s="29" t="s">
        <v>2497</v>
      </c>
      <c r="D2881" s="29" t="s">
        <v>2498</v>
      </c>
      <c r="E2881" s="92">
        <v>526233</v>
      </c>
      <c r="F2881" s="89" t="s">
        <v>4477</v>
      </c>
      <c r="G2881" s="29" t="s">
        <v>9125</v>
      </c>
    </row>
    <row r="2882" spans="1:7">
      <c r="A2882" s="33">
        <v>44797</v>
      </c>
      <c r="B2882" s="29" t="s">
        <v>2500</v>
      </c>
      <c r="C2882" s="29" t="s">
        <v>2501</v>
      </c>
      <c r="D2882" s="29" t="s">
        <v>2502</v>
      </c>
      <c r="E2882" s="92">
        <v>473464</v>
      </c>
      <c r="F2882" s="89" t="s">
        <v>1233</v>
      </c>
      <c r="G2882" s="29" t="s">
        <v>8453</v>
      </c>
    </row>
    <row r="2883" spans="1:7">
      <c r="A2883" s="33">
        <v>44798</v>
      </c>
      <c r="B2883" s="29" t="s">
        <v>2504</v>
      </c>
      <c r="C2883" s="29" t="s">
        <v>2505</v>
      </c>
      <c r="D2883" s="29" t="s">
        <v>2506</v>
      </c>
      <c r="E2883" s="92">
        <v>466089</v>
      </c>
      <c r="F2883" s="89" t="s">
        <v>1655</v>
      </c>
      <c r="G2883" s="29" t="s">
        <v>4778</v>
      </c>
    </row>
    <row r="2884" spans="1:7">
      <c r="A2884" s="33">
        <v>44799</v>
      </c>
      <c r="B2884" s="29" t="s">
        <v>2508</v>
      </c>
      <c r="C2884" s="29" t="s">
        <v>2509</v>
      </c>
      <c r="D2884" s="29" t="s">
        <v>2510</v>
      </c>
      <c r="E2884" s="92">
        <v>465321</v>
      </c>
      <c r="F2884" s="89" t="s">
        <v>1584</v>
      </c>
      <c r="G2884" s="29" t="s">
        <v>9590</v>
      </c>
    </row>
    <row r="2885" spans="1:7">
      <c r="A2885" s="33">
        <v>44800</v>
      </c>
      <c r="B2885" s="29" t="s">
        <v>2512</v>
      </c>
      <c r="C2885" s="29" t="s">
        <v>2513</v>
      </c>
      <c r="D2885" s="29" t="s">
        <v>2514</v>
      </c>
      <c r="E2885" s="92">
        <v>463616</v>
      </c>
      <c r="F2885" s="89" t="s">
        <v>1297</v>
      </c>
      <c r="G2885" s="29" t="s">
        <v>8457</v>
      </c>
    </row>
    <row r="2886" spans="1:7">
      <c r="A2886" s="33">
        <v>44801</v>
      </c>
      <c r="B2886" s="29" t="s">
        <v>9591</v>
      </c>
      <c r="C2886" s="29" t="s">
        <v>9592</v>
      </c>
      <c r="D2886" s="29" t="s">
        <v>8766</v>
      </c>
      <c r="E2886" s="92">
        <v>462322</v>
      </c>
      <c r="F2886" s="89" t="s">
        <v>1289</v>
      </c>
      <c r="G2886" s="29" t="s">
        <v>8832</v>
      </c>
    </row>
    <row r="2887" spans="1:7">
      <c r="A2887" s="33">
        <v>44802</v>
      </c>
      <c r="B2887" s="29" t="s">
        <v>2516</v>
      </c>
      <c r="C2887" s="29" t="s">
        <v>2517</v>
      </c>
      <c r="D2887" s="29" t="s">
        <v>2518</v>
      </c>
      <c r="E2887" s="92">
        <v>461426</v>
      </c>
      <c r="F2887" s="89" t="s">
        <v>1667</v>
      </c>
      <c r="G2887" s="29" t="s">
        <v>8772</v>
      </c>
    </row>
    <row r="2888" spans="1:7">
      <c r="A2888" s="33">
        <v>44803</v>
      </c>
      <c r="B2888" s="29" t="s">
        <v>2520</v>
      </c>
      <c r="C2888" s="29" t="s">
        <v>2521</v>
      </c>
      <c r="D2888" s="29" t="s">
        <v>2522</v>
      </c>
      <c r="E2888" s="92">
        <v>460483</v>
      </c>
      <c r="F2888" s="89" t="s">
        <v>507</v>
      </c>
      <c r="G2888" s="29" t="s">
        <v>8844</v>
      </c>
    </row>
    <row r="2889" spans="1:7">
      <c r="A2889" s="33">
        <v>44804</v>
      </c>
      <c r="B2889" s="29" t="s">
        <v>2524</v>
      </c>
      <c r="C2889" s="29" t="s">
        <v>2525</v>
      </c>
      <c r="D2889" s="29" t="s">
        <v>2524</v>
      </c>
      <c r="E2889" s="92">
        <v>459603</v>
      </c>
      <c r="F2889" s="89" t="s">
        <v>1647</v>
      </c>
      <c r="G2889" s="29" t="s">
        <v>8916</v>
      </c>
    </row>
    <row r="2890" spans="1:7">
      <c r="A2890" s="33">
        <v>44805</v>
      </c>
      <c r="B2890" s="29" t="s">
        <v>2527</v>
      </c>
      <c r="C2890" s="29" t="s">
        <v>2528</v>
      </c>
      <c r="D2890" s="29" t="s">
        <v>2529</v>
      </c>
      <c r="E2890" s="92">
        <v>458555</v>
      </c>
      <c r="F2890" s="89" t="s">
        <v>1604</v>
      </c>
      <c r="G2890" s="29" t="s">
        <v>8980</v>
      </c>
    </row>
    <row r="2891" spans="1:7">
      <c r="A2891" s="33">
        <v>44806</v>
      </c>
      <c r="B2891" s="29" t="s">
        <v>2531</v>
      </c>
      <c r="C2891" s="29" t="s">
        <v>2532</v>
      </c>
      <c r="D2891" s="29" t="s">
        <v>2533</v>
      </c>
      <c r="E2891" s="92">
        <v>458548</v>
      </c>
      <c r="F2891" s="89" t="s">
        <v>1580</v>
      </c>
      <c r="G2891" s="29" t="s">
        <v>9485</v>
      </c>
    </row>
    <row r="2892" spans="1:7">
      <c r="A2892" s="33">
        <v>44807</v>
      </c>
      <c r="B2892" s="29" t="s">
        <v>2535</v>
      </c>
      <c r="C2892" s="29" t="s">
        <v>2536</v>
      </c>
      <c r="D2892" s="29" t="s">
        <v>2537</v>
      </c>
      <c r="E2892" s="92">
        <v>458536</v>
      </c>
      <c r="F2892" s="89" t="s">
        <v>1663</v>
      </c>
      <c r="G2892" s="29" t="s">
        <v>8626</v>
      </c>
    </row>
    <row r="2893" spans="1:7">
      <c r="A2893" s="33">
        <v>44808</v>
      </c>
      <c r="B2893" s="29" t="s">
        <v>2539</v>
      </c>
      <c r="C2893" s="29" t="s">
        <v>2540</v>
      </c>
      <c r="D2893" s="29" t="s">
        <v>2541</v>
      </c>
      <c r="E2893" s="92">
        <v>458048</v>
      </c>
      <c r="F2893" s="89" t="s">
        <v>1205</v>
      </c>
      <c r="G2893" s="29" t="s">
        <v>8582</v>
      </c>
    </row>
    <row r="2894" spans="1:7">
      <c r="A2894" s="33">
        <v>44809</v>
      </c>
      <c r="B2894" s="29" t="s">
        <v>2543</v>
      </c>
      <c r="C2894" s="29" t="s">
        <v>2544</v>
      </c>
      <c r="D2894" s="29" t="s">
        <v>2545</v>
      </c>
      <c r="E2894" s="92">
        <v>457568</v>
      </c>
      <c r="F2894" s="89" t="s">
        <v>1349</v>
      </c>
      <c r="G2894" s="29" t="s">
        <v>4778</v>
      </c>
    </row>
    <row r="2895" spans="1:7">
      <c r="A2895" s="33">
        <v>44810</v>
      </c>
      <c r="B2895" s="29" t="s">
        <v>2547</v>
      </c>
      <c r="C2895" s="29" t="s">
        <v>2548</v>
      </c>
      <c r="D2895" s="29" t="s">
        <v>2549</v>
      </c>
      <c r="E2895" s="92">
        <v>457334</v>
      </c>
      <c r="F2895" s="89" t="s">
        <v>5332</v>
      </c>
      <c r="G2895" s="29" t="s">
        <v>8855</v>
      </c>
    </row>
    <row r="2896" spans="1:7">
      <c r="A2896" s="33">
        <v>44811</v>
      </c>
      <c r="B2896" s="29" t="s">
        <v>2551</v>
      </c>
      <c r="C2896" s="29" t="s">
        <v>2552</v>
      </c>
      <c r="D2896" s="29" t="s">
        <v>2553</v>
      </c>
      <c r="E2896" s="92">
        <v>456078</v>
      </c>
      <c r="F2896" s="89" t="s">
        <v>1285</v>
      </c>
      <c r="G2896" s="29" t="s">
        <v>8841</v>
      </c>
    </row>
    <row r="2897" spans="1:7">
      <c r="A2897" s="33">
        <v>44812</v>
      </c>
      <c r="B2897" s="29" t="s">
        <v>9593</v>
      </c>
      <c r="C2897" s="29" t="s">
        <v>9594</v>
      </c>
      <c r="D2897" s="29" t="s">
        <v>9595</v>
      </c>
      <c r="E2897" s="92">
        <v>455671</v>
      </c>
      <c r="F2897" s="89" t="s">
        <v>1169</v>
      </c>
      <c r="G2897" s="29" t="s">
        <v>9444</v>
      </c>
    </row>
    <row r="2898" spans="1:7">
      <c r="A2898" s="33">
        <v>44813</v>
      </c>
      <c r="B2898" s="29" t="s">
        <v>2555</v>
      </c>
      <c r="C2898" s="29" t="s">
        <v>2556</v>
      </c>
      <c r="D2898" s="29" t="s">
        <v>2557</v>
      </c>
      <c r="E2898" s="92">
        <v>455653</v>
      </c>
      <c r="F2898" s="89" t="s">
        <v>5329</v>
      </c>
      <c r="G2898" s="29" t="s">
        <v>9596</v>
      </c>
    </row>
    <row r="2899" spans="1:7">
      <c r="A2899" s="33">
        <v>44814</v>
      </c>
      <c r="B2899" s="29" t="s">
        <v>2559</v>
      </c>
      <c r="C2899" s="29" t="s">
        <v>2560</v>
      </c>
      <c r="D2899" s="29" t="s">
        <v>2561</v>
      </c>
      <c r="E2899" s="92">
        <v>455097</v>
      </c>
      <c r="F2899" s="89" t="s">
        <v>503</v>
      </c>
      <c r="G2899" s="29" t="s">
        <v>9475</v>
      </c>
    </row>
    <row r="2900" spans="1:7">
      <c r="A2900" s="33">
        <v>44815</v>
      </c>
      <c r="B2900" s="29" t="s">
        <v>2563</v>
      </c>
      <c r="C2900" s="29" t="s">
        <v>2564</v>
      </c>
      <c r="D2900" s="29" t="s">
        <v>2565</v>
      </c>
      <c r="E2900" s="92">
        <v>454985</v>
      </c>
      <c r="F2900" s="89" t="s">
        <v>514</v>
      </c>
      <c r="G2900" s="29" t="s">
        <v>8844</v>
      </c>
    </row>
    <row r="2901" spans="1:7">
      <c r="A2901" s="33">
        <v>44816</v>
      </c>
      <c r="B2901" s="29" t="s">
        <v>2567</v>
      </c>
      <c r="C2901" s="29" t="s">
        <v>2568</v>
      </c>
      <c r="D2901" s="29" t="s">
        <v>2569</v>
      </c>
      <c r="E2901" s="92">
        <v>454934</v>
      </c>
      <c r="F2901" s="89" t="s">
        <v>1345</v>
      </c>
      <c r="G2901" s="29" t="s">
        <v>9597</v>
      </c>
    </row>
    <row r="2902" spans="1:7">
      <c r="A2902" s="33">
        <v>44817</v>
      </c>
      <c r="B2902" s="29" t="s">
        <v>9598</v>
      </c>
      <c r="C2902" s="29" t="s">
        <v>4778</v>
      </c>
      <c r="D2902" s="29" t="s">
        <v>9599</v>
      </c>
      <c r="E2902" s="92">
        <v>454766</v>
      </c>
      <c r="F2902" s="89" t="s">
        <v>1281</v>
      </c>
      <c r="G2902" s="29" t="s">
        <v>9258</v>
      </c>
    </row>
    <row r="2903" spans="1:7">
      <c r="A2903" s="33">
        <v>44818</v>
      </c>
      <c r="B2903" s="29" t="s">
        <v>2571</v>
      </c>
      <c r="C2903" s="29" t="s">
        <v>2572</v>
      </c>
      <c r="D2903" s="29" t="s">
        <v>2573</v>
      </c>
      <c r="E2903" s="92">
        <v>454619</v>
      </c>
      <c r="F2903" s="89" t="s">
        <v>1353</v>
      </c>
      <c r="G2903" s="29" t="s">
        <v>8903</v>
      </c>
    </row>
    <row r="2904" spans="1:7">
      <c r="A2904" s="33">
        <v>44819</v>
      </c>
      <c r="B2904" s="29" t="s">
        <v>2575</v>
      </c>
      <c r="C2904" s="29" t="s">
        <v>2576</v>
      </c>
      <c r="D2904" s="29" t="s">
        <v>2577</v>
      </c>
      <c r="E2904" s="92">
        <v>454163</v>
      </c>
      <c r="F2904" s="89" t="s">
        <v>5326</v>
      </c>
      <c r="G2904" s="29" t="s">
        <v>4778</v>
      </c>
    </row>
    <row r="2905" spans="1:7">
      <c r="A2905" s="33">
        <v>44820</v>
      </c>
      <c r="B2905" s="29" t="s">
        <v>2579</v>
      </c>
      <c r="C2905" s="29" t="s">
        <v>2580</v>
      </c>
      <c r="D2905" s="29" t="s">
        <v>2581</v>
      </c>
      <c r="E2905" s="92">
        <v>453783</v>
      </c>
      <c r="F2905" s="89" t="s">
        <v>1293</v>
      </c>
      <c r="G2905" s="29" t="s">
        <v>8457</v>
      </c>
    </row>
    <row r="2906" spans="1:7">
      <c r="A2906" s="33">
        <v>44821</v>
      </c>
      <c r="B2906" s="29" t="s">
        <v>2583</v>
      </c>
      <c r="C2906" s="29" t="s">
        <v>2584</v>
      </c>
      <c r="D2906" s="29" t="s">
        <v>2583</v>
      </c>
      <c r="E2906" s="92">
        <v>453384</v>
      </c>
      <c r="F2906" s="89" t="s">
        <v>4481</v>
      </c>
      <c r="G2906" s="29" t="s">
        <v>8755</v>
      </c>
    </row>
    <row r="2907" spans="1:7">
      <c r="A2907" s="33">
        <v>44822</v>
      </c>
      <c r="B2907" s="29" t="s">
        <v>2586</v>
      </c>
      <c r="C2907" s="29" t="s">
        <v>2586</v>
      </c>
      <c r="D2907" s="29" t="s">
        <v>2587</v>
      </c>
      <c r="E2907" s="92">
        <v>452728</v>
      </c>
      <c r="F2907" s="89" t="s">
        <v>572</v>
      </c>
      <c r="G2907" s="29" t="s">
        <v>8823</v>
      </c>
    </row>
    <row r="2908" spans="1:7">
      <c r="A2908" s="33">
        <v>44823</v>
      </c>
      <c r="B2908" s="29" t="s">
        <v>2589</v>
      </c>
      <c r="C2908" s="29" t="s">
        <v>2590</v>
      </c>
      <c r="D2908" s="29" t="s">
        <v>2591</v>
      </c>
      <c r="E2908" s="92">
        <v>451938</v>
      </c>
      <c r="F2908" s="89" t="s">
        <v>580</v>
      </c>
      <c r="G2908" s="29" t="s">
        <v>9421</v>
      </c>
    </row>
    <row r="2909" spans="1:7">
      <c r="A2909" s="33">
        <v>44824</v>
      </c>
      <c r="B2909" s="29" t="s">
        <v>2593</v>
      </c>
      <c r="C2909" s="29" t="s">
        <v>2594</v>
      </c>
      <c r="D2909" s="29" t="s">
        <v>2595</v>
      </c>
      <c r="E2909" s="92">
        <v>451875</v>
      </c>
      <c r="F2909" s="89" t="s">
        <v>1628</v>
      </c>
      <c r="G2909" s="29" t="s">
        <v>9152</v>
      </c>
    </row>
    <row r="2910" spans="1:7">
      <c r="A2910" s="33">
        <v>44825</v>
      </c>
      <c r="B2910" s="29" t="s">
        <v>2597</v>
      </c>
      <c r="C2910" s="29" t="s">
        <v>2598</v>
      </c>
      <c r="D2910" s="29" t="s">
        <v>2599</v>
      </c>
      <c r="E2910" s="92">
        <v>450895</v>
      </c>
      <c r="F2910" s="89" t="s">
        <v>5324</v>
      </c>
      <c r="G2910" s="29" t="s">
        <v>4778</v>
      </c>
    </row>
    <row r="2911" spans="1:7">
      <c r="A2911" s="33">
        <v>44826</v>
      </c>
      <c r="B2911" s="29" t="s">
        <v>2601</v>
      </c>
      <c r="C2911" s="29" t="s">
        <v>2602</v>
      </c>
      <c r="D2911" s="29" t="s">
        <v>2603</v>
      </c>
      <c r="E2911" s="92">
        <v>450304</v>
      </c>
      <c r="F2911" s="89" t="s">
        <v>510</v>
      </c>
      <c r="G2911" s="29" t="s">
        <v>9259</v>
      </c>
    </row>
    <row r="2912" spans="1:7">
      <c r="A2912" s="33">
        <v>44827</v>
      </c>
      <c r="B2912" s="29" t="s">
        <v>2605</v>
      </c>
      <c r="C2912" s="29" t="s">
        <v>2606</v>
      </c>
      <c r="D2912" s="29" t="s">
        <v>2607</v>
      </c>
      <c r="E2912" s="92">
        <v>450282</v>
      </c>
      <c r="F2912" s="89" t="s">
        <v>545</v>
      </c>
      <c r="G2912" s="29" t="s">
        <v>9243</v>
      </c>
    </row>
    <row r="2913" spans="1:7">
      <c r="A2913" s="33">
        <v>44828</v>
      </c>
      <c r="B2913" s="29" t="s">
        <v>2609</v>
      </c>
      <c r="C2913" s="29" t="s">
        <v>2610</v>
      </c>
      <c r="D2913" s="29" t="s">
        <v>2611</v>
      </c>
      <c r="E2913" s="92">
        <v>449599</v>
      </c>
      <c r="F2913" s="89" t="s">
        <v>1225</v>
      </c>
      <c r="G2913" s="29" t="s">
        <v>9020</v>
      </c>
    </row>
    <row r="2914" spans="1:7">
      <c r="A2914" s="33">
        <v>44829</v>
      </c>
      <c r="B2914" s="29" t="s">
        <v>2613</v>
      </c>
      <c r="C2914" s="29" t="s">
        <v>2614</v>
      </c>
      <c r="D2914" s="29" t="s">
        <v>2615</v>
      </c>
      <c r="E2914" s="92">
        <v>449425</v>
      </c>
      <c r="F2914" s="89" t="s">
        <v>1237</v>
      </c>
      <c r="G2914" s="29" t="s">
        <v>9037</v>
      </c>
    </row>
    <row r="2915" spans="1:7">
      <c r="A2915" s="33">
        <v>44830</v>
      </c>
      <c r="B2915" s="29" t="s">
        <v>2617</v>
      </c>
      <c r="C2915" s="29" t="s">
        <v>2618</v>
      </c>
      <c r="D2915" s="29" t="s">
        <v>2619</v>
      </c>
      <c r="E2915" s="92">
        <v>449011</v>
      </c>
      <c r="F2915" s="89" t="s">
        <v>1600</v>
      </c>
      <c r="G2915" s="29" t="s">
        <v>8943</v>
      </c>
    </row>
    <row r="2916" spans="1:7">
      <c r="A2916" s="33">
        <v>44831</v>
      </c>
      <c r="B2916" s="29" t="s">
        <v>2621</v>
      </c>
      <c r="C2916" s="29" t="s">
        <v>2622</v>
      </c>
      <c r="D2916" s="29" t="s">
        <v>2623</v>
      </c>
      <c r="E2916" s="92">
        <v>448428</v>
      </c>
      <c r="F2916" s="89" t="s">
        <v>1221</v>
      </c>
      <c r="G2916" s="29" t="s">
        <v>9309</v>
      </c>
    </row>
    <row r="2917" spans="1:7">
      <c r="A2917" s="33">
        <v>44832</v>
      </c>
      <c r="B2917" s="29" t="s">
        <v>2625</v>
      </c>
      <c r="C2917" s="29" t="s">
        <v>2626</v>
      </c>
      <c r="D2917" s="29" t="s">
        <v>270</v>
      </c>
      <c r="E2917" s="92">
        <v>448318</v>
      </c>
      <c r="F2917" s="89" t="s">
        <v>1197</v>
      </c>
      <c r="G2917" s="29" t="s">
        <v>9357</v>
      </c>
    </row>
    <row r="2918" spans="1:7">
      <c r="A2918" s="33">
        <v>44833</v>
      </c>
      <c r="B2918" s="29" t="s">
        <v>2628</v>
      </c>
      <c r="C2918" s="29" t="s">
        <v>2629</v>
      </c>
      <c r="D2918" s="29" t="s">
        <v>2630</v>
      </c>
      <c r="E2918" s="92">
        <v>447991</v>
      </c>
      <c r="F2918" s="89" t="s">
        <v>588</v>
      </c>
      <c r="G2918" s="29" t="s">
        <v>9462</v>
      </c>
    </row>
    <row r="2919" spans="1:7">
      <c r="A2919" s="33">
        <v>44834</v>
      </c>
      <c r="B2919" s="29" t="s">
        <v>2632</v>
      </c>
      <c r="C2919" s="29" t="s">
        <v>2633</v>
      </c>
      <c r="D2919" s="29" t="s">
        <v>2634</v>
      </c>
      <c r="E2919" s="92">
        <v>447976</v>
      </c>
      <c r="F2919" s="89" t="s">
        <v>5320</v>
      </c>
      <c r="G2919" s="29" t="s">
        <v>9600</v>
      </c>
    </row>
    <row r="2920" spans="1:7">
      <c r="A2920" s="33">
        <v>44835</v>
      </c>
      <c r="B2920" s="29" t="s">
        <v>2636</v>
      </c>
      <c r="C2920" s="29" t="s">
        <v>2637</v>
      </c>
      <c r="D2920" s="29" t="s">
        <v>2638</v>
      </c>
      <c r="E2920" s="92">
        <v>447611</v>
      </c>
      <c r="F2920" s="89" t="s">
        <v>584</v>
      </c>
      <c r="G2920" s="29" t="s">
        <v>8441</v>
      </c>
    </row>
    <row r="2921" spans="1:7">
      <c r="A2921" s="33">
        <v>44836</v>
      </c>
      <c r="B2921" s="29" t="s">
        <v>2640</v>
      </c>
      <c r="C2921" s="29" t="s">
        <v>2641</v>
      </c>
      <c r="D2921" s="29" t="s">
        <v>2642</v>
      </c>
      <c r="E2921" s="92">
        <v>446722</v>
      </c>
      <c r="F2921" s="89" t="s">
        <v>1624</v>
      </c>
      <c r="G2921" s="29" t="s">
        <v>8791</v>
      </c>
    </row>
    <row r="2922" spans="1:7">
      <c r="A2922" s="33">
        <v>44837</v>
      </c>
      <c r="B2922" s="29" t="s">
        <v>2644</v>
      </c>
      <c r="C2922" s="29" t="s">
        <v>2645</v>
      </c>
      <c r="D2922" s="29" t="s">
        <v>2646</v>
      </c>
      <c r="E2922" s="92">
        <v>445981</v>
      </c>
      <c r="F2922" s="89" t="s">
        <v>1209</v>
      </c>
      <c r="G2922" s="29" t="s">
        <v>9463</v>
      </c>
    </row>
    <row r="2923" spans="1:7">
      <c r="A2923" s="33">
        <v>44838</v>
      </c>
      <c r="B2923" s="29" t="s">
        <v>2647</v>
      </c>
      <c r="C2923" s="29" t="s">
        <v>2648</v>
      </c>
      <c r="D2923" s="29" t="s">
        <v>2649</v>
      </c>
      <c r="E2923" s="92">
        <v>445737</v>
      </c>
      <c r="F2923" s="89" t="s">
        <v>771</v>
      </c>
      <c r="G2923" s="29" t="s">
        <v>9228</v>
      </c>
    </row>
    <row r="2924" spans="1:7">
      <c r="A2924" s="33">
        <v>44839</v>
      </c>
      <c r="B2924" s="29" t="s">
        <v>2651</v>
      </c>
      <c r="C2924" s="29" t="s">
        <v>2652</v>
      </c>
      <c r="D2924" s="29" t="s">
        <v>2653</v>
      </c>
      <c r="E2924" s="92">
        <v>444687</v>
      </c>
      <c r="F2924" s="89" t="s">
        <v>1217</v>
      </c>
      <c r="G2924" s="29" t="s">
        <v>8916</v>
      </c>
    </row>
    <row r="2925" spans="1:7">
      <c r="A2925" s="33">
        <v>44840</v>
      </c>
      <c r="B2925" s="29" t="s">
        <v>9601</v>
      </c>
      <c r="C2925" s="29" t="s">
        <v>9602</v>
      </c>
      <c r="D2925" s="29" t="s">
        <v>9603</v>
      </c>
      <c r="E2925" s="92">
        <v>444669</v>
      </c>
      <c r="F2925" s="89" t="s">
        <v>1357</v>
      </c>
      <c r="G2925" s="29" t="s">
        <v>8891</v>
      </c>
    </row>
    <row r="2926" spans="1:7">
      <c r="A2926" s="33">
        <v>44841</v>
      </c>
      <c r="B2926" s="29" t="s">
        <v>2655</v>
      </c>
      <c r="C2926" s="29" t="s">
        <v>2656</v>
      </c>
      <c r="D2926" s="29" t="s">
        <v>2657</v>
      </c>
      <c r="E2926" s="92">
        <v>444182</v>
      </c>
      <c r="F2926" s="89" t="s">
        <v>5319</v>
      </c>
      <c r="G2926" s="29" t="s">
        <v>8477</v>
      </c>
    </row>
    <row r="2927" spans="1:7">
      <c r="A2927" s="33">
        <v>44842</v>
      </c>
      <c r="B2927" s="29" t="s">
        <v>2659</v>
      </c>
      <c r="C2927" s="29" t="s">
        <v>2660</v>
      </c>
      <c r="D2927" s="29" t="s">
        <v>2661</v>
      </c>
      <c r="E2927" s="92">
        <v>444155</v>
      </c>
      <c r="F2927" s="89" t="s">
        <v>518</v>
      </c>
      <c r="G2927" s="29" t="s">
        <v>8758</v>
      </c>
    </row>
    <row r="2928" spans="1:7">
      <c r="A2928" s="33">
        <v>44843</v>
      </c>
      <c r="B2928" s="29" t="s">
        <v>2663</v>
      </c>
      <c r="C2928" s="29" t="s">
        <v>2664</v>
      </c>
      <c r="D2928" s="29" t="s">
        <v>2665</v>
      </c>
      <c r="E2928" s="92">
        <v>443188</v>
      </c>
      <c r="F2928" s="89" t="s">
        <v>1560</v>
      </c>
      <c r="G2928" s="29" t="s">
        <v>6763</v>
      </c>
    </row>
    <row r="2929" spans="1:7">
      <c r="A2929" s="33">
        <v>44844</v>
      </c>
      <c r="B2929" s="29" t="s">
        <v>2667</v>
      </c>
      <c r="C2929" s="29" t="s">
        <v>2668</v>
      </c>
      <c r="D2929" s="29" t="s">
        <v>2669</v>
      </c>
      <c r="E2929" s="92">
        <v>442685</v>
      </c>
      <c r="F2929" s="89" t="s">
        <v>1201</v>
      </c>
      <c r="G2929" s="29" t="s">
        <v>9024</v>
      </c>
    </row>
    <row r="2930" spans="1:7">
      <c r="A2930" s="33">
        <v>44845</v>
      </c>
      <c r="B2930" s="29">
        <v>19139</v>
      </c>
      <c r="C2930" s="29" t="s">
        <v>2672</v>
      </c>
      <c r="D2930" s="29" t="s">
        <v>2673</v>
      </c>
      <c r="E2930" s="92">
        <v>442676</v>
      </c>
      <c r="F2930" s="89" t="s">
        <v>1241</v>
      </c>
      <c r="G2930" s="29" t="s">
        <v>8452</v>
      </c>
    </row>
    <row r="2931" spans="1:7">
      <c r="A2931" s="33">
        <v>44846</v>
      </c>
      <c r="B2931" s="29" t="s">
        <v>2675</v>
      </c>
      <c r="C2931" s="29" t="s">
        <v>2676</v>
      </c>
      <c r="D2931" s="29" t="s">
        <v>2677</v>
      </c>
      <c r="E2931" s="92">
        <v>442401</v>
      </c>
      <c r="F2931" s="89" t="s">
        <v>1193</v>
      </c>
      <c r="G2931" s="29" t="s">
        <v>8755</v>
      </c>
    </row>
    <row r="2932" spans="1:7">
      <c r="A2932" s="33">
        <v>44847</v>
      </c>
      <c r="B2932" s="29" t="s">
        <v>2679</v>
      </c>
      <c r="C2932" s="29" t="s">
        <v>2680</v>
      </c>
      <c r="D2932" s="29" t="s">
        <v>2681</v>
      </c>
      <c r="E2932" s="92">
        <v>441389</v>
      </c>
      <c r="F2932" s="89" t="s">
        <v>1588</v>
      </c>
      <c r="G2932" s="29" t="s">
        <v>8921</v>
      </c>
    </row>
    <row r="2933" spans="1:7">
      <c r="A2933" s="33">
        <v>44848</v>
      </c>
      <c r="B2933" s="29" t="s">
        <v>2683</v>
      </c>
      <c r="C2933" s="29" t="s">
        <v>2684</v>
      </c>
      <c r="D2933" s="29" t="s">
        <v>2685</v>
      </c>
      <c r="E2933" s="92">
        <v>439323</v>
      </c>
      <c r="F2933" s="89" t="s">
        <v>1564</v>
      </c>
      <c r="G2933" s="29" t="s">
        <v>9255</v>
      </c>
    </row>
    <row r="2934" spans="1:7">
      <c r="A2934" s="33">
        <v>44849</v>
      </c>
      <c r="B2934" s="29" t="s">
        <v>2687</v>
      </c>
      <c r="C2934" s="29" t="s">
        <v>2688</v>
      </c>
      <c r="D2934" s="29" t="s">
        <v>2689</v>
      </c>
      <c r="E2934" s="92">
        <v>438798</v>
      </c>
      <c r="F2934" s="89" t="s">
        <v>9604</v>
      </c>
      <c r="G2934" s="29" t="s">
        <v>9605</v>
      </c>
    </row>
    <row r="2935" spans="1:7">
      <c r="A2935" s="33">
        <v>44850</v>
      </c>
      <c r="B2935" s="29" t="s">
        <v>2691</v>
      </c>
      <c r="C2935" s="29" t="s">
        <v>2692</v>
      </c>
      <c r="D2935" s="29" t="s">
        <v>2691</v>
      </c>
      <c r="E2935" s="92">
        <v>438715</v>
      </c>
      <c r="F2935" s="89" t="s">
        <v>568</v>
      </c>
      <c r="G2935" s="29" t="s">
        <v>6678</v>
      </c>
    </row>
    <row r="2936" spans="1:7">
      <c r="A2936" s="33">
        <v>44851</v>
      </c>
      <c r="B2936" s="29" t="s">
        <v>2694</v>
      </c>
      <c r="C2936" s="29" t="s">
        <v>2695</v>
      </c>
      <c r="D2936" s="29" t="s">
        <v>2696</v>
      </c>
      <c r="E2936" s="92">
        <v>438639</v>
      </c>
      <c r="F2936" s="89" t="s">
        <v>549</v>
      </c>
      <c r="G2936" s="29" t="s">
        <v>9060</v>
      </c>
    </row>
    <row r="2937" spans="1:7">
      <c r="A2937" s="33">
        <v>44852</v>
      </c>
      <c r="B2937" s="29" t="s">
        <v>2698</v>
      </c>
      <c r="C2937" s="29" t="s">
        <v>2699</v>
      </c>
      <c r="D2937" s="29" t="s">
        <v>2700</v>
      </c>
      <c r="E2937" s="92">
        <v>437748</v>
      </c>
      <c r="F2937" s="89" t="s">
        <v>834</v>
      </c>
      <c r="G2937" s="29" t="s">
        <v>9230</v>
      </c>
    </row>
    <row r="2938" spans="1:7">
      <c r="A2938" s="33">
        <v>44853</v>
      </c>
      <c r="B2938" s="29" t="s">
        <v>2702</v>
      </c>
      <c r="C2938" s="29" t="s">
        <v>2703</v>
      </c>
      <c r="D2938" s="29" t="s">
        <v>2704</v>
      </c>
      <c r="E2938" s="92">
        <v>437697</v>
      </c>
      <c r="F2938" s="89" t="s">
        <v>4485</v>
      </c>
      <c r="G2938" s="29" t="s">
        <v>8805</v>
      </c>
    </row>
    <row r="2939" spans="1:7">
      <c r="A2939" s="33">
        <v>44854</v>
      </c>
      <c r="B2939" s="29" t="s">
        <v>2706</v>
      </c>
      <c r="C2939" s="29" t="s">
        <v>2707</v>
      </c>
      <c r="D2939" s="29" t="s">
        <v>2708</v>
      </c>
      <c r="E2939" s="92">
        <v>437164</v>
      </c>
      <c r="F2939" s="89" t="s">
        <v>838</v>
      </c>
      <c r="G2939" s="29" t="s">
        <v>8468</v>
      </c>
    </row>
    <row r="2940" spans="1:7">
      <c r="A2940" s="33">
        <v>44855</v>
      </c>
      <c r="B2940" s="29" t="s">
        <v>2710</v>
      </c>
      <c r="C2940" s="29" t="s">
        <v>2711</v>
      </c>
      <c r="D2940" s="29" t="s">
        <v>2712</v>
      </c>
      <c r="E2940" s="92">
        <v>436572</v>
      </c>
      <c r="F2940" s="89" t="s">
        <v>1249</v>
      </c>
      <c r="G2940" s="29" t="s">
        <v>8932</v>
      </c>
    </row>
    <row r="2941" spans="1:7">
      <c r="A2941" s="33">
        <v>44856</v>
      </c>
      <c r="B2941" s="29" t="s">
        <v>9606</v>
      </c>
      <c r="C2941" s="29" t="s">
        <v>9607</v>
      </c>
      <c r="D2941" s="29" t="s">
        <v>9608</v>
      </c>
      <c r="E2941" s="92">
        <v>435791</v>
      </c>
      <c r="F2941" s="89" t="s">
        <v>5315</v>
      </c>
      <c r="G2941" s="29" t="s">
        <v>8768</v>
      </c>
    </row>
    <row r="2942" spans="1:7">
      <c r="A2942" s="33">
        <v>44857</v>
      </c>
      <c r="B2942" s="29" t="s">
        <v>2714</v>
      </c>
      <c r="C2942" s="29" t="s">
        <v>2715</v>
      </c>
      <c r="D2942" s="29" t="s">
        <v>2716</v>
      </c>
      <c r="E2942" s="92">
        <v>435509</v>
      </c>
      <c r="F2942" s="89" t="s">
        <v>1245</v>
      </c>
      <c r="G2942" s="29" t="s">
        <v>6722</v>
      </c>
    </row>
    <row r="2943" spans="1:7">
      <c r="A2943" s="33">
        <v>44858</v>
      </c>
      <c r="B2943" s="29" t="s">
        <v>2718</v>
      </c>
      <c r="C2943" s="29" t="s">
        <v>2719</v>
      </c>
      <c r="D2943" s="29" t="s">
        <v>2720</v>
      </c>
      <c r="E2943" s="92">
        <v>435123</v>
      </c>
      <c r="F2943" s="89" t="s">
        <v>767</v>
      </c>
      <c r="G2943" s="29" t="s">
        <v>8980</v>
      </c>
    </row>
    <row r="2944" spans="1:7">
      <c r="A2944" s="33">
        <v>44859</v>
      </c>
      <c r="B2944" s="29" t="s">
        <v>9609</v>
      </c>
      <c r="C2944" s="29" t="s">
        <v>4778</v>
      </c>
      <c r="D2944" s="29" t="s">
        <v>9610</v>
      </c>
      <c r="E2944" s="92">
        <v>434997</v>
      </c>
      <c r="F2944" s="89" t="s">
        <v>1592</v>
      </c>
      <c r="G2944" s="29" t="s">
        <v>9201</v>
      </c>
    </row>
    <row r="2945" spans="1:7">
      <c r="A2945" s="33">
        <v>44860</v>
      </c>
      <c r="B2945" s="29" t="s">
        <v>2722</v>
      </c>
      <c r="C2945" s="29" t="s">
        <v>2723</v>
      </c>
      <c r="D2945" s="29" t="s">
        <v>2724</v>
      </c>
      <c r="E2945" s="92">
        <v>434334</v>
      </c>
      <c r="F2945" s="89" t="s">
        <v>5313</v>
      </c>
      <c r="G2945" s="29" t="s">
        <v>9611</v>
      </c>
    </row>
    <row r="2946" spans="1:7">
      <c r="A2946" s="33">
        <v>44861</v>
      </c>
      <c r="B2946" s="29" t="s">
        <v>2726</v>
      </c>
      <c r="C2946" s="29" t="s">
        <v>2727</v>
      </c>
      <c r="D2946" s="29" t="s">
        <v>2728</v>
      </c>
      <c r="E2946" s="92">
        <v>433755</v>
      </c>
      <c r="F2946" s="89" t="s">
        <v>1640</v>
      </c>
      <c r="G2946" s="29" t="s">
        <v>9245</v>
      </c>
    </row>
    <row r="2947" spans="1:7">
      <c r="A2947" s="33">
        <v>44862</v>
      </c>
      <c r="B2947" s="29" t="s">
        <v>2730</v>
      </c>
      <c r="C2947" s="29" t="s">
        <v>2731</v>
      </c>
      <c r="D2947" s="29" t="s">
        <v>2732</v>
      </c>
      <c r="E2947" s="92">
        <v>433504</v>
      </c>
      <c r="F2947" s="89" t="s">
        <v>1576</v>
      </c>
      <c r="G2947" s="29" t="s">
        <v>9600</v>
      </c>
    </row>
    <row r="2948" spans="1:7">
      <c r="A2948" s="33">
        <v>44863</v>
      </c>
      <c r="B2948" s="29" t="s">
        <v>2734</v>
      </c>
      <c r="C2948" s="29" t="s">
        <v>2735</v>
      </c>
      <c r="D2948" s="29" t="s">
        <v>2736</v>
      </c>
      <c r="E2948" s="92">
        <v>433438</v>
      </c>
      <c r="F2948" s="89" t="s">
        <v>576</v>
      </c>
      <c r="G2948" s="29" t="s">
        <v>9254</v>
      </c>
    </row>
    <row r="2949" spans="1:7">
      <c r="A2949" s="33">
        <v>44864</v>
      </c>
      <c r="B2949" s="29" t="s">
        <v>2738</v>
      </c>
      <c r="C2949" s="29" t="s">
        <v>2739</v>
      </c>
      <c r="D2949" s="29" t="s">
        <v>2740</v>
      </c>
      <c r="E2949" s="92">
        <v>433091</v>
      </c>
      <c r="F2949" s="89" t="s">
        <v>1568</v>
      </c>
      <c r="G2949" s="29" t="s">
        <v>9236</v>
      </c>
    </row>
    <row r="2950" spans="1:7">
      <c r="A2950" s="33">
        <v>44865</v>
      </c>
      <c r="B2950" s="29" t="s">
        <v>2742</v>
      </c>
      <c r="C2950" s="29" t="s">
        <v>2743</v>
      </c>
      <c r="D2950" s="29" t="s">
        <v>2744</v>
      </c>
      <c r="E2950" s="92">
        <v>432983</v>
      </c>
      <c r="F2950" s="89" t="s">
        <v>1644</v>
      </c>
      <c r="G2950" s="29" t="s">
        <v>9612</v>
      </c>
    </row>
    <row r="2951" spans="1:7">
      <c r="A2951" s="33">
        <v>44866</v>
      </c>
      <c r="B2951" s="29" t="s">
        <v>2746</v>
      </c>
      <c r="C2951" s="29" t="s">
        <v>2747</v>
      </c>
      <c r="D2951" s="29" t="s">
        <v>2748</v>
      </c>
      <c r="E2951" s="92">
        <v>432519</v>
      </c>
      <c r="F2951" s="89" t="s">
        <v>1572</v>
      </c>
      <c r="G2951" s="29" t="s">
        <v>9232</v>
      </c>
    </row>
    <row r="2952" spans="1:7">
      <c r="A2952" s="33">
        <v>44867</v>
      </c>
      <c r="B2952" s="29" t="s">
        <v>2750</v>
      </c>
      <c r="C2952" s="29" t="s">
        <v>2751</v>
      </c>
      <c r="D2952" s="29" t="s">
        <v>2752</v>
      </c>
      <c r="E2952" s="92">
        <v>432371</v>
      </c>
      <c r="F2952" s="89" t="s">
        <v>1632</v>
      </c>
      <c r="G2952" s="29" t="s">
        <v>9613</v>
      </c>
    </row>
    <row r="2953" spans="1:7">
      <c r="A2953" s="33">
        <v>44868</v>
      </c>
      <c r="B2953" s="29" t="s">
        <v>2754</v>
      </c>
      <c r="C2953" s="29" t="s">
        <v>2755</v>
      </c>
      <c r="D2953" s="29" t="s">
        <v>2756</v>
      </c>
      <c r="E2953" s="92">
        <v>432152</v>
      </c>
      <c r="F2953" s="89" t="s">
        <v>5309</v>
      </c>
      <c r="G2953" s="29" t="s">
        <v>9408</v>
      </c>
    </row>
    <row r="2954" spans="1:7">
      <c r="A2954" s="33">
        <v>44869</v>
      </c>
      <c r="B2954" s="29" t="s">
        <v>2758</v>
      </c>
      <c r="C2954" s="29" t="s">
        <v>2759</v>
      </c>
      <c r="D2954" s="29" t="s">
        <v>2760</v>
      </c>
      <c r="E2954" s="92">
        <v>430572</v>
      </c>
      <c r="F2954" s="89" t="s">
        <v>1636</v>
      </c>
      <c r="G2954" s="29" t="s">
        <v>9614</v>
      </c>
    </row>
    <row r="2955" spans="1:7">
      <c r="A2955" s="33">
        <v>44870</v>
      </c>
      <c r="B2955" s="29" t="s">
        <v>2762</v>
      </c>
      <c r="C2955" s="29" t="s">
        <v>2763</v>
      </c>
      <c r="D2955" s="29" t="s">
        <v>2764</v>
      </c>
      <c r="E2955" s="92">
        <v>430567</v>
      </c>
      <c r="F2955" s="89" t="s">
        <v>763</v>
      </c>
      <c r="G2955" s="29" t="s">
        <v>9214</v>
      </c>
    </row>
    <row r="2956" spans="1:7">
      <c r="A2956" s="33">
        <v>44871</v>
      </c>
      <c r="B2956" s="29" t="s">
        <v>2766</v>
      </c>
      <c r="C2956" s="29" t="s">
        <v>2767</v>
      </c>
      <c r="D2956" s="29" t="s">
        <v>2768</v>
      </c>
      <c r="E2956" s="92">
        <v>430306</v>
      </c>
      <c r="F2956" s="89" t="s">
        <v>591</v>
      </c>
      <c r="G2956" s="29" t="s">
        <v>8525</v>
      </c>
    </row>
    <row r="2957" spans="1:7">
      <c r="A2957" s="33">
        <v>44872</v>
      </c>
      <c r="B2957" s="29" t="s">
        <v>2770</v>
      </c>
      <c r="C2957" s="29" t="s">
        <v>2771</v>
      </c>
      <c r="D2957" s="29" t="s">
        <v>2772</v>
      </c>
      <c r="E2957" s="92">
        <v>430011</v>
      </c>
      <c r="F2957" s="89" t="s">
        <v>1361</v>
      </c>
      <c r="G2957" s="29" t="s">
        <v>9615</v>
      </c>
    </row>
    <row r="2958" spans="1:7">
      <c r="A2958" s="33">
        <v>44873</v>
      </c>
      <c r="B2958" s="29" t="s">
        <v>2774</v>
      </c>
      <c r="C2958" s="29" t="s">
        <v>2775</v>
      </c>
      <c r="D2958" s="29" t="s">
        <v>2776</v>
      </c>
      <c r="E2958" s="92">
        <v>429713</v>
      </c>
      <c r="F2958" s="89" t="s">
        <v>526</v>
      </c>
      <c r="G2958" s="29" t="s">
        <v>9616</v>
      </c>
    </row>
    <row r="2959" spans="1:7">
      <c r="A2959" s="33">
        <v>44874</v>
      </c>
      <c r="B2959" s="29" t="s">
        <v>2778</v>
      </c>
      <c r="C2959" s="29" t="s">
        <v>2779</v>
      </c>
      <c r="D2959" s="29" t="s">
        <v>2780</v>
      </c>
      <c r="E2959" s="92">
        <v>429105</v>
      </c>
      <c r="F2959" s="89" t="s">
        <v>657</v>
      </c>
      <c r="G2959" s="29" t="s">
        <v>9617</v>
      </c>
    </row>
    <row r="2960" spans="1:7">
      <c r="A2960" s="33">
        <v>44875</v>
      </c>
      <c r="B2960" s="29" t="s">
        <v>2782</v>
      </c>
      <c r="C2960" s="29" t="s">
        <v>2783</v>
      </c>
      <c r="D2960" s="29" t="s">
        <v>2784</v>
      </c>
      <c r="E2960" s="92">
        <v>428591</v>
      </c>
      <c r="F2960" s="89" t="s">
        <v>9618</v>
      </c>
      <c r="G2960" s="29" t="s">
        <v>9619</v>
      </c>
    </row>
    <row r="2961" spans="1:7">
      <c r="A2961" s="33">
        <v>44876</v>
      </c>
      <c r="B2961" s="29" t="s">
        <v>9620</v>
      </c>
      <c r="C2961" s="29" t="s">
        <v>4778</v>
      </c>
      <c r="D2961" s="29" t="s">
        <v>9621</v>
      </c>
      <c r="E2961" s="92">
        <v>427399</v>
      </c>
      <c r="F2961" s="89" t="s">
        <v>759</v>
      </c>
      <c r="G2961" s="29" t="s">
        <v>9622</v>
      </c>
    </row>
    <row r="2962" spans="1:7">
      <c r="A2962" s="33">
        <v>44877</v>
      </c>
      <c r="B2962" s="29" t="s">
        <v>2786</v>
      </c>
      <c r="C2962" s="29" t="s">
        <v>2787</v>
      </c>
      <c r="D2962" s="29" t="s">
        <v>2788</v>
      </c>
      <c r="E2962" s="92">
        <v>426765</v>
      </c>
      <c r="F2962" s="89" t="s">
        <v>4509</v>
      </c>
      <c r="G2962" s="29" t="s">
        <v>9623</v>
      </c>
    </row>
    <row r="2963" spans="1:7">
      <c r="A2963" s="33">
        <v>44878</v>
      </c>
      <c r="B2963" s="29" t="s">
        <v>2790</v>
      </c>
      <c r="C2963" s="29" t="s">
        <v>2791</v>
      </c>
      <c r="D2963" s="29" t="s">
        <v>2792</v>
      </c>
      <c r="E2963" s="92">
        <v>424955</v>
      </c>
      <c r="F2963" s="89" t="s">
        <v>4489</v>
      </c>
      <c r="G2963" s="29" t="s">
        <v>9249</v>
      </c>
    </row>
    <row r="2964" spans="1:7">
      <c r="A2964" s="33">
        <v>44879</v>
      </c>
      <c r="B2964" s="29" t="s">
        <v>2794</v>
      </c>
      <c r="C2964" s="29" t="s">
        <v>2795</v>
      </c>
      <c r="D2964" s="29" t="s">
        <v>2796</v>
      </c>
      <c r="E2964" s="92">
        <v>424544</v>
      </c>
      <c r="F2964" s="89" t="s">
        <v>4493</v>
      </c>
      <c r="G2964" s="29" t="s">
        <v>9245</v>
      </c>
    </row>
    <row r="2965" spans="1:7">
      <c r="A2965" s="33">
        <v>44880</v>
      </c>
      <c r="B2965" s="29" t="s">
        <v>2798</v>
      </c>
      <c r="C2965" s="29" t="s">
        <v>2799</v>
      </c>
      <c r="D2965" s="29" t="s">
        <v>2800</v>
      </c>
      <c r="E2965" s="92">
        <v>424282</v>
      </c>
      <c r="F2965" s="89" t="s">
        <v>4505</v>
      </c>
      <c r="G2965" s="29" t="s">
        <v>9469</v>
      </c>
    </row>
    <row r="2966" spans="1:7">
      <c r="A2966" s="33">
        <v>44881</v>
      </c>
      <c r="B2966" s="29" t="s">
        <v>2802</v>
      </c>
      <c r="C2966" s="29" t="s">
        <v>2803</v>
      </c>
      <c r="D2966" s="29" t="s">
        <v>2804</v>
      </c>
      <c r="E2966" s="92">
        <v>424231</v>
      </c>
      <c r="F2966" s="89" t="s">
        <v>522</v>
      </c>
      <c r="G2966" s="29" t="s">
        <v>9247</v>
      </c>
    </row>
    <row r="2967" spans="1:7">
      <c r="A2967" s="33">
        <v>44882</v>
      </c>
      <c r="B2967" s="29" t="s">
        <v>9624</v>
      </c>
      <c r="C2967" s="29" t="s">
        <v>4778</v>
      </c>
      <c r="D2967" s="29" t="s">
        <v>9625</v>
      </c>
      <c r="E2967" s="92">
        <v>423989</v>
      </c>
      <c r="F2967" s="89" t="s">
        <v>4497</v>
      </c>
      <c r="G2967" s="29" t="s">
        <v>9251</v>
      </c>
    </row>
    <row r="2968" spans="1:7">
      <c r="A2968" s="33">
        <v>44883</v>
      </c>
      <c r="B2968" s="29" t="s">
        <v>9626</v>
      </c>
      <c r="C2968" s="29" t="s">
        <v>9627</v>
      </c>
      <c r="D2968" s="29" t="s">
        <v>9628</v>
      </c>
      <c r="E2968" s="92">
        <v>423734</v>
      </c>
      <c r="F2968" s="89" t="s">
        <v>4513</v>
      </c>
      <c r="G2968" s="29" t="s">
        <v>9250</v>
      </c>
    </row>
    <row r="2969" spans="1:7">
      <c r="A2969" s="33">
        <v>44884</v>
      </c>
      <c r="B2969" s="29" t="s">
        <v>2806</v>
      </c>
      <c r="C2969" s="29" t="s">
        <v>2807</v>
      </c>
      <c r="D2969" s="29" t="s">
        <v>2808</v>
      </c>
      <c r="E2969" s="92">
        <v>423561</v>
      </c>
      <c r="F2969" s="89" t="s">
        <v>595</v>
      </c>
      <c r="G2969" s="29" t="s">
        <v>8768</v>
      </c>
    </row>
    <row r="2970" spans="1:7">
      <c r="A2970" s="33">
        <v>44885</v>
      </c>
      <c r="B2970" s="29" t="s">
        <v>2810</v>
      </c>
      <c r="C2970" s="29" t="s">
        <v>2811</v>
      </c>
      <c r="D2970" s="29" t="s">
        <v>2812</v>
      </c>
      <c r="E2970" s="92">
        <v>423413</v>
      </c>
      <c r="F2970" s="89" t="s">
        <v>5303</v>
      </c>
      <c r="G2970" s="29" t="s">
        <v>8397</v>
      </c>
    </row>
    <row r="2971" spans="1:7">
      <c r="A2971" s="33">
        <v>44886</v>
      </c>
      <c r="B2971" s="29" t="s">
        <v>2814</v>
      </c>
      <c r="C2971" s="29" t="s">
        <v>2814</v>
      </c>
      <c r="D2971" s="29" t="s">
        <v>2815</v>
      </c>
      <c r="E2971" s="92">
        <v>423205</v>
      </c>
      <c r="F2971" s="89" t="s">
        <v>1253</v>
      </c>
      <c r="G2971" s="29" t="s">
        <v>9246</v>
      </c>
    </row>
    <row r="2972" spans="1:7">
      <c r="A2972" s="33">
        <v>44887</v>
      </c>
      <c r="B2972" s="29" t="s">
        <v>2817</v>
      </c>
      <c r="C2972" s="29" t="s">
        <v>2818</v>
      </c>
      <c r="D2972" s="29" t="s">
        <v>2819</v>
      </c>
      <c r="E2972" s="92">
        <v>422823</v>
      </c>
      <c r="F2972" s="89" t="s">
        <v>653</v>
      </c>
      <c r="G2972" s="29" t="s">
        <v>8835</v>
      </c>
    </row>
    <row r="2973" spans="1:7">
      <c r="A2973" s="33">
        <v>44888</v>
      </c>
      <c r="B2973" s="29" t="s">
        <v>2821</v>
      </c>
      <c r="C2973" s="29" t="s">
        <v>2822</v>
      </c>
      <c r="D2973" s="29" t="s">
        <v>2823</v>
      </c>
      <c r="E2973" s="92">
        <v>422745</v>
      </c>
      <c r="F2973" s="89" t="s">
        <v>5302</v>
      </c>
      <c r="G2973" s="29" t="s">
        <v>9579</v>
      </c>
    </row>
    <row r="2974" spans="1:7">
      <c r="A2974" s="33">
        <v>44889</v>
      </c>
      <c r="B2974" s="29" t="s">
        <v>2825</v>
      </c>
      <c r="C2974" s="29" t="s">
        <v>2826</v>
      </c>
      <c r="D2974" s="29" t="s">
        <v>2827</v>
      </c>
      <c r="E2974" s="92">
        <v>422483</v>
      </c>
      <c r="F2974" s="89" t="s">
        <v>802</v>
      </c>
      <c r="G2974" s="29" t="s">
        <v>9020</v>
      </c>
    </row>
    <row r="2975" spans="1:7">
      <c r="A2975" s="33">
        <v>44890</v>
      </c>
      <c r="B2975" s="29" t="s">
        <v>2829</v>
      </c>
      <c r="C2975" s="29" t="s">
        <v>2830</v>
      </c>
      <c r="D2975" s="29" t="s">
        <v>2831</v>
      </c>
      <c r="E2975" s="92">
        <v>422373</v>
      </c>
      <c r="F2975" s="89" t="s">
        <v>787</v>
      </c>
      <c r="G2975" s="29" t="s">
        <v>8441</v>
      </c>
    </row>
    <row r="2976" spans="1:7">
      <c r="A2976" s="33">
        <v>44891</v>
      </c>
      <c r="B2976" s="29" t="s">
        <v>2833</v>
      </c>
      <c r="C2976" s="29" t="s">
        <v>2834</v>
      </c>
      <c r="D2976" s="29" t="s">
        <v>2835</v>
      </c>
      <c r="E2976" s="92">
        <v>422279</v>
      </c>
      <c r="F2976" s="89" t="s">
        <v>1540</v>
      </c>
      <c r="G2976" s="29" t="s">
        <v>6678</v>
      </c>
    </row>
    <row r="2977" spans="1:7">
      <c r="A2977" s="33">
        <v>44892</v>
      </c>
      <c r="B2977" s="29" t="s">
        <v>2837</v>
      </c>
      <c r="C2977" s="29" t="s">
        <v>2838</v>
      </c>
      <c r="D2977" s="29" t="s">
        <v>2839</v>
      </c>
      <c r="E2977" s="92">
        <v>421651</v>
      </c>
      <c r="F2977" s="89" t="s">
        <v>9629</v>
      </c>
      <c r="G2977" s="29" t="s">
        <v>8974</v>
      </c>
    </row>
    <row r="2978" spans="1:7">
      <c r="A2978" s="33">
        <v>44893</v>
      </c>
      <c r="B2978" s="29" t="s">
        <v>2841</v>
      </c>
      <c r="C2978" s="29" t="s">
        <v>2842</v>
      </c>
      <c r="D2978" s="29" t="s">
        <v>2843</v>
      </c>
      <c r="E2978" s="92">
        <v>421564</v>
      </c>
      <c r="F2978" s="89" t="s">
        <v>5297</v>
      </c>
      <c r="G2978" s="29" t="s">
        <v>8777</v>
      </c>
    </row>
    <row r="2979" spans="1:7">
      <c r="A2979" s="33">
        <v>44894</v>
      </c>
      <c r="B2979" s="29" t="s">
        <v>2845</v>
      </c>
      <c r="C2979" s="29" t="s">
        <v>2846</v>
      </c>
      <c r="D2979" s="29" t="s">
        <v>2847</v>
      </c>
      <c r="E2979" s="92">
        <v>421444</v>
      </c>
      <c r="F2979" s="89" t="s">
        <v>1368</v>
      </c>
      <c r="G2979" s="29" t="s">
        <v>8626</v>
      </c>
    </row>
    <row r="2980" spans="1:7">
      <c r="A2980" s="33">
        <v>44895</v>
      </c>
      <c r="B2980" s="29" t="s">
        <v>2849</v>
      </c>
      <c r="C2980" s="29" t="s">
        <v>2850</v>
      </c>
      <c r="D2980" s="29" t="s">
        <v>2849</v>
      </c>
      <c r="E2980" s="92">
        <v>420904</v>
      </c>
      <c r="F2980" s="89" t="s">
        <v>755</v>
      </c>
      <c r="G2980" s="29" t="s">
        <v>8917</v>
      </c>
    </row>
    <row r="2981" spans="1:7">
      <c r="A2981" s="33">
        <v>44896</v>
      </c>
      <c r="B2981" s="29">
        <v>17168</v>
      </c>
      <c r="C2981" s="29" t="s">
        <v>2853</v>
      </c>
      <c r="D2981" s="29" t="s">
        <v>2854</v>
      </c>
      <c r="E2981" s="92">
        <v>420873</v>
      </c>
      <c r="F2981" s="89" t="s">
        <v>1372</v>
      </c>
      <c r="G2981" s="29" t="s">
        <v>8400</v>
      </c>
    </row>
    <row r="2982" spans="1:7">
      <c r="A2982" s="33">
        <v>44897</v>
      </c>
      <c r="B2982" s="29" t="s">
        <v>2856</v>
      </c>
      <c r="C2982" s="29" t="s">
        <v>2857</v>
      </c>
      <c r="D2982" s="29" t="s">
        <v>2858</v>
      </c>
      <c r="E2982" s="92">
        <v>420785</v>
      </c>
      <c r="F2982" s="89" t="s">
        <v>775</v>
      </c>
      <c r="G2982" s="29" t="s">
        <v>4969</v>
      </c>
    </row>
    <row r="2983" spans="1:7">
      <c r="A2983" s="33">
        <v>44898</v>
      </c>
      <c r="B2983" s="29" t="s">
        <v>2859</v>
      </c>
      <c r="C2983" s="29" t="s">
        <v>2860</v>
      </c>
      <c r="D2983" s="29" t="s">
        <v>2861</v>
      </c>
      <c r="E2983" s="92">
        <v>420736</v>
      </c>
      <c r="F2983" s="89" t="s">
        <v>542</v>
      </c>
      <c r="G2983" s="29" t="s">
        <v>9605</v>
      </c>
    </row>
    <row r="2984" spans="1:7">
      <c r="A2984" s="33">
        <v>44899</v>
      </c>
      <c r="B2984" s="29" t="s">
        <v>2863</v>
      </c>
      <c r="C2984" s="29" t="s">
        <v>2864</v>
      </c>
      <c r="D2984" s="29" t="s">
        <v>2865</v>
      </c>
      <c r="E2984" s="92">
        <v>420735</v>
      </c>
      <c r="F2984" s="89" t="s">
        <v>5292</v>
      </c>
      <c r="G2984" s="29" t="s">
        <v>6763</v>
      </c>
    </row>
    <row r="2985" spans="1:7">
      <c r="A2985" s="33">
        <v>44900</v>
      </c>
      <c r="B2985" s="29" t="s">
        <v>2867</v>
      </c>
      <c r="C2985" s="29" t="s">
        <v>2868</v>
      </c>
      <c r="D2985" s="29" t="s">
        <v>2869</v>
      </c>
      <c r="E2985" s="92">
        <v>420621</v>
      </c>
      <c r="F2985" s="89" t="s">
        <v>645</v>
      </c>
      <c r="G2985" s="29" t="s">
        <v>6729</v>
      </c>
    </row>
    <row r="2986" spans="1:7">
      <c r="A2986" s="33">
        <v>44901</v>
      </c>
      <c r="B2986" s="29" t="s">
        <v>2871</v>
      </c>
      <c r="C2986" s="29" t="s">
        <v>2872</v>
      </c>
      <c r="D2986" s="29" t="s">
        <v>2873</v>
      </c>
      <c r="E2986" s="92">
        <v>420349</v>
      </c>
      <c r="F2986" s="89" t="s">
        <v>649</v>
      </c>
      <c r="G2986" s="29" t="s">
        <v>4975</v>
      </c>
    </row>
    <row r="2987" spans="1:7">
      <c r="A2987" s="33">
        <v>44902</v>
      </c>
      <c r="B2987" s="29" t="s">
        <v>2875</v>
      </c>
      <c r="C2987" s="29" t="s">
        <v>2876</v>
      </c>
      <c r="D2987" s="29" t="s">
        <v>2877</v>
      </c>
      <c r="E2987" s="92">
        <v>419411</v>
      </c>
      <c r="F2987" s="89" t="s">
        <v>1376</v>
      </c>
      <c r="G2987" s="29" t="s">
        <v>8799</v>
      </c>
    </row>
    <row r="2988" spans="1:7">
      <c r="A2988" s="33">
        <v>44903</v>
      </c>
      <c r="B2988" s="29" t="s">
        <v>2879</v>
      </c>
      <c r="C2988" s="29" t="s">
        <v>2880</v>
      </c>
      <c r="D2988" s="29" t="s">
        <v>2881</v>
      </c>
      <c r="E2988" s="92">
        <v>418089</v>
      </c>
      <c r="F2988" s="89" t="s">
        <v>1544</v>
      </c>
      <c r="G2988" s="29" t="s">
        <v>9000</v>
      </c>
    </row>
    <row r="2989" spans="1:7">
      <c r="A2989" s="33">
        <v>44904</v>
      </c>
      <c r="B2989" s="29" t="s">
        <v>2883</v>
      </c>
      <c r="C2989" s="29" t="s">
        <v>2884</v>
      </c>
      <c r="D2989" s="29" t="s">
        <v>2885</v>
      </c>
      <c r="E2989" s="92">
        <v>418041</v>
      </c>
      <c r="F2989" s="89" t="s">
        <v>597</v>
      </c>
      <c r="G2989" s="29" t="s">
        <v>8481</v>
      </c>
    </row>
    <row r="2990" spans="1:7">
      <c r="A2990" s="33">
        <v>44905</v>
      </c>
      <c r="B2990" s="29" t="s">
        <v>2887</v>
      </c>
      <c r="C2990" s="29" t="s">
        <v>2888</v>
      </c>
      <c r="D2990" s="29" t="s">
        <v>2889</v>
      </c>
      <c r="E2990" s="92">
        <v>417945</v>
      </c>
      <c r="F2990" s="89" t="s">
        <v>783</v>
      </c>
      <c r="G2990" s="29" t="s">
        <v>4943</v>
      </c>
    </row>
    <row r="2991" spans="1:7">
      <c r="A2991" s="33">
        <v>44906</v>
      </c>
      <c r="B2991" s="29" t="s">
        <v>2891</v>
      </c>
      <c r="C2991" s="29" t="s">
        <v>2892</v>
      </c>
      <c r="D2991" s="29" t="s">
        <v>2893</v>
      </c>
      <c r="E2991" s="92">
        <v>417563</v>
      </c>
      <c r="F2991" s="89" t="s">
        <v>9630</v>
      </c>
      <c r="G2991" s="29" t="s">
        <v>8725</v>
      </c>
    </row>
    <row r="2992" spans="1:7">
      <c r="A2992" s="33">
        <v>44907</v>
      </c>
      <c r="B2992" s="29" t="s">
        <v>2895</v>
      </c>
      <c r="C2992" s="29" t="s">
        <v>2896</v>
      </c>
      <c r="D2992" s="29" t="s">
        <v>2897</v>
      </c>
      <c r="E2992" s="92">
        <v>417274</v>
      </c>
      <c r="F2992" s="89" t="s">
        <v>779</v>
      </c>
      <c r="G2992" s="29" t="s">
        <v>8765</v>
      </c>
    </row>
    <row r="2993" spans="1:7">
      <c r="A2993" s="33">
        <v>44908</v>
      </c>
      <c r="B2993" s="29" t="s">
        <v>2898</v>
      </c>
      <c r="C2993" s="29" t="s">
        <v>2899</v>
      </c>
      <c r="D2993" s="29" t="s">
        <v>2900</v>
      </c>
      <c r="E2993" s="92">
        <v>417177</v>
      </c>
      <c r="F2993" s="89" t="s">
        <v>659</v>
      </c>
      <c r="G2993" s="29" t="s">
        <v>8778</v>
      </c>
    </row>
    <row r="2994" spans="1:7">
      <c r="A2994" s="33">
        <v>44909</v>
      </c>
      <c r="B2994" s="29" t="s">
        <v>2902</v>
      </c>
      <c r="C2994" s="29" t="s">
        <v>2903</v>
      </c>
      <c r="D2994" s="29" t="s">
        <v>2904</v>
      </c>
      <c r="E2994" s="92">
        <v>417131</v>
      </c>
      <c r="F2994" s="89" t="s">
        <v>5288</v>
      </c>
      <c r="G2994" s="29" t="s">
        <v>8820</v>
      </c>
    </row>
    <row r="2995" spans="1:7">
      <c r="A2995" s="33">
        <v>44910</v>
      </c>
      <c r="B2995" s="29" t="s">
        <v>2906</v>
      </c>
      <c r="C2995" s="29" t="s">
        <v>2907</v>
      </c>
      <c r="D2995" s="29" t="s">
        <v>2908</v>
      </c>
      <c r="E2995" s="92">
        <v>417011</v>
      </c>
      <c r="F2995" s="89" t="s">
        <v>1365</v>
      </c>
      <c r="G2995" s="29" t="s">
        <v>8508</v>
      </c>
    </row>
    <row r="2996" spans="1:7">
      <c r="A2996" s="33">
        <v>44911</v>
      </c>
      <c r="B2996" s="29" t="s">
        <v>2910</v>
      </c>
      <c r="C2996" s="29" t="s">
        <v>2911</v>
      </c>
      <c r="D2996" s="29" t="s">
        <v>2912</v>
      </c>
      <c r="E2996" s="92">
        <v>416729</v>
      </c>
      <c r="F2996" s="89" t="s">
        <v>5287</v>
      </c>
      <c r="G2996" s="29" t="s">
        <v>8796</v>
      </c>
    </row>
    <row r="2997" spans="1:7">
      <c r="A2997" s="33">
        <v>44912</v>
      </c>
      <c r="B2997" s="29" t="s">
        <v>2914</v>
      </c>
      <c r="C2997" s="29" t="s">
        <v>2915</v>
      </c>
      <c r="D2997" s="29" t="s">
        <v>2916</v>
      </c>
      <c r="E2997" s="92">
        <v>416516</v>
      </c>
      <c r="F2997" s="89" t="s">
        <v>747</v>
      </c>
      <c r="G2997" s="29" t="s">
        <v>4947</v>
      </c>
    </row>
    <row r="2998" spans="1:7">
      <c r="A2998" s="33">
        <v>44913</v>
      </c>
      <c r="B2998" s="29" t="s">
        <v>2918</v>
      </c>
      <c r="C2998" s="29" t="s">
        <v>2919</v>
      </c>
      <c r="D2998" s="29" t="s">
        <v>2920</v>
      </c>
      <c r="E2998" s="92">
        <v>416438</v>
      </c>
      <c r="F2998" s="89" t="s">
        <v>5285</v>
      </c>
      <c r="G2998" s="29" t="s">
        <v>8388</v>
      </c>
    </row>
    <row r="2999" spans="1:7">
      <c r="A2999" s="33">
        <v>44914</v>
      </c>
      <c r="B2999" s="29" t="s">
        <v>2922</v>
      </c>
      <c r="C2999" s="29" t="s">
        <v>2923</v>
      </c>
      <c r="D2999" s="29" t="s">
        <v>2924</v>
      </c>
      <c r="E2999" s="92">
        <v>416394</v>
      </c>
      <c r="F2999" s="89" t="s">
        <v>826</v>
      </c>
      <c r="G2999" s="29" t="s">
        <v>8407</v>
      </c>
    </row>
    <row r="3000" spans="1:7">
      <c r="A3000" s="33">
        <v>44915</v>
      </c>
      <c r="B3000" s="29" t="s">
        <v>2926</v>
      </c>
      <c r="C3000" s="29" t="s">
        <v>2927</v>
      </c>
      <c r="D3000" s="29" t="s">
        <v>2928</v>
      </c>
      <c r="E3000" s="92">
        <v>416322</v>
      </c>
      <c r="F3000" s="89" t="s">
        <v>530</v>
      </c>
      <c r="G3000" s="29" t="s">
        <v>8783</v>
      </c>
    </row>
    <row r="3001" spans="1:7">
      <c r="A3001" s="33">
        <v>44916</v>
      </c>
      <c r="B3001" s="29" t="s">
        <v>2930</v>
      </c>
      <c r="C3001" s="29" t="s">
        <v>2931</v>
      </c>
      <c r="D3001" s="29" t="s">
        <v>2932</v>
      </c>
      <c r="E3001" s="92">
        <v>415563</v>
      </c>
      <c r="F3001" s="89" t="s">
        <v>5283</v>
      </c>
      <c r="G3001" s="29" t="s">
        <v>8716</v>
      </c>
    </row>
    <row r="3002" spans="1:7">
      <c r="A3002" s="33">
        <v>44917</v>
      </c>
      <c r="B3002" s="29" t="s">
        <v>2934</v>
      </c>
      <c r="C3002" s="29" t="s">
        <v>2935</v>
      </c>
      <c r="D3002" s="29" t="s">
        <v>2936</v>
      </c>
      <c r="E3002" s="92">
        <v>415479</v>
      </c>
      <c r="F3002" s="89" t="s">
        <v>617</v>
      </c>
      <c r="G3002" s="29" t="s">
        <v>8758</v>
      </c>
    </row>
    <row r="3003" spans="1:7">
      <c r="A3003" s="33">
        <v>44918</v>
      </c>
      <c r="B3003" s="29" t="s">
        <v>2938</v>
      </c>
      <c r="C3003" s="29" t="s">
        <v>2939</v>
      </c>
      <c r="D3003" s="29" t="s">
        <v>2940</v>
      </c>
      <c r="E3003" s="92">
        <v>414816</v>
      </c>
      <c r="F3003" s="89" t="s">
        <v>668</v>
      </c>
      <c r="G3003" s="29" t="s">
        <v>8432</v>
      </c>
    </row>
    <row r="3004" spans="1:7">
      <c r="A3004" s="33">
        <v>44919</v>
      </c>
      <c r="B3004" s="29" t="s">
        <v>2942</v>
      </c>
      <c r="C3004" s="29" t="s">
        <v>2943</v>
      </c>
      <c r="D3004" s="29" t="s">
        <v>2944</v>
      </c>
      <c r="E3004" s="92">
        <v>414321</v>
      </c>
      <c r="F3004" s="89" t="s">
        <v>664</v>
      </c>
      <c r="G3004" s="29" t="s">
        <v>9631</v>
      </c>
    </row>
    <row r="3005" spans="1:7">
      <c r="A3005" s="33">
        <v>44920</v>
      </c>
      <c r="B3005" s="29" t="s">
        <v>2946</v>
      </c>
      <c r="C3005" s="29" t="s">
        <v>2947</v>
      </c>
      <c r="D3005" s="29" t="s">
        <v>2948</v>
      </c>
      <c r="E3005" s="92">
        <v>414065</v>
      </c>
      <c r="F3005" s="89" t="s">
        <v>602</v>
      </c>
      <c r="G3005" s="29" t="s">
        <v>4982</v>
      </c>
    </row>
    <row r="3006" spans="1:7">
      <c r="A3006" s="33">
        <v>44921</v>
      </c>
      <c r="B3006" s="29" t="s">
        <v>2950</v>
      </c>
      <c r="C3006" s="29" t="s">
        <v>2951</v>
      </c>
      <c r="D3006" s="29" t="s">
        <v>2952</v>
      </c>
      <c r="E3006" s="92">
        <v>413972</v>
      </c>
      <c r="F3006" s="89" t="s">
        <v>1384</v>
      </c>
      <c r="G3006" s="29" t="s">
        <v>4971</v>
      </c>
    </row>
    <row r="3007" spans="1:7">
      <c r="A3007" s="33">
        <v>44922</v>
      </c>
      <c r="B3007" s="29" t="s">
        <v>2954</v>
      </c>
      <c r="C3007" s="29" t="s">
        <v>2955</v>
      </c>
      <c r="D3007" s="29" t="s">
        <v>2956</v>
      </c>
      <c r="E3007" s="92">
        <v>413755</v>
      </c>
      <c r="F3007" s="89" t="s">
        <v>707</v>
      </c>
      <c r="G3007" s="29" t="s">
        <v>4953</v>
      </c>
    </row>
    <row r="3008" spans="1:7">
      <c r="A3008" s="33">
        <v>44923</v>
      </c>
      <c r="B3008" s="29" t="s">
        <v>2958</v>
      </c>
      <c r="C3008" s="29" t="s">
        <v>2959</v>
      </c>
      <c r="D3008" s="29" t="s">
        <v>2960</v>
      </c>
      <c r="E3008" s="92">
        <v>413307</v>
      </c>
      <c r="F3008" s="89" t="s">
        <v>5279</v>
      </c>
      <c r="G3008" s="29" t="s">
        <v>8430</v>
      </c>
    </row>
    <row r="3009" spans="1:7">
      <c r="A3009" s="33">
        <v>44924</v>
      </c>
      <c r="B3009" s="29" t="s">
        <v>2962</v>
      </c>
      <c r="C3009" s="29" t="s">
        <v>2963</v>
      </c>
      <c r="D3009" s="29" t="s">
        <v>2964</v>
      </c>
      <c r="E3009" s="92">
        <v>411624</v>
      </c>
      <c r="F3009" s="89" t="s">
        <v>534</v>
      </c>
      <c r="G3009" s="29" t="s">
        <v>4947</v>
      </c>
    </row>
    <row r="3010" spans="1:7">
      <c r="A3010" s="33">
        <v>44925</v>
      </c>
      <c r="B3010" s="29" t="s">
        <v>2966</v>
      </c>
      <c r="C3010" s="29" t="s">
        <v>2967</v>
      </c>
      <c r="D3010" s="29" t="s">
        <v>2968</v>
      </c>
      <c r="E3010" s="92">
        <v>411574</v>
      </c>
      <c r="F3010" s="89" t="s">
        <v>743</v>
      </c>
      <c r="G3010" s="29" t="s">
        <v>6783</v>
      </c>
    </row>
    <row r="3011" spans="1:7">
      <c r="A3011" s="33">
        <v>44926</v>
      </c>
      <c r="B3011" s="29" t="s">
        <v>2970</v>
      </c>
      <c r="C3011" s="29" t="s">
        <v>2971</v>
      </c>
      <c r="D3011" s="29" t="s">
        <v>2972</v>
      </c>
      <c r="E3011" s="92">
        <v>411563</v>
      </c>
      <c r="F3011" s="89" t="s">
        <v>5278</v>
      </c>
      <c r="G3011" s="29" t="s">
        <v>9632</v>
      </c>
    </row>
    <row r="3012" spans="1:7">
      <c r="A3012" s="33">
        <v>44927</v>
      </c>
      <c r="B3012" s="29" t="s">
        <v>2974</v>
      </c>
      <c r="C3012" s="29" t="s">
        <v>2975</v>
      </c>
      <c r="D3012" s="29" t="s">
        <v>2976</v>
      </c>
      <c r="E3012" s="92">
        <v>410939</v>
      </c>
      <c r="F3012" s="89" t="s">
        <v>1533</v>
      </c>
      <c r="G3012" s="29" t="s">
        <v>9633</v>
      </c>
    </row>
    <row r="3013" spans="1:7">
      <c r="A3013" s="33">
        <v>44928</v>
      </c>
      <c r="B3013" s="29" t="s">
        <v>2978</v>
      </c>
      <c r="C3013" s="29" t="s">
        <v>2979</v>
      </c>
      <c r="D3013" s="29" t="s">
        <v>2980</v>
      </c>
      <c r="E3013" s="92">
        <v>410444</v>
      </c>
      <c r="F3013" s="89" t="s">
        <v>1525</v>
      </c>
      <c r="G3013" s="29" t="s">
        <v>6757</v>
      </c>
    </row>
    <row r="3014" spans="1:7">
      <c r="A3014" s="33">
        <v>44929</v>
      </c>
      <c r="B3014" s="29" t="s">
        <v>2982</v>
      </c>
      <c r="C3014" s="29" t="s">
        <v>2983</v>
      </c>
      <c r="D3014" s="29" t="s">
        <v>2984</v>
      </c>
      <c r="E3014" s="92">
        <v>410262</v>
      </c>
      <c r="F3014" s="89" t="s">
        <v>810</v>
      </c>
      <c r="G3014" s="29" t="s">
        <v>6685</v>
      </c>
    </row>
    <row r="3015" spans="1:7">
      <c r="A3015" s="33">
        <v>44930</v>
      </c>
      <c r="B3015" s="29" t="s">
        <v>2986</v>
      </c>
      <c r="C3015" s="29" t="s">
        <v>2987</v>
      </c>
      <c r="D3015" s="29" t="s">
        <v>2988</v>
      </c>
      <c r="E3015" s="92">
        <v>409548</v>
      </c>
      <c r="F3015" s="89" t="s">
        <v>5274</v>
      </c>
      <c r="G3015" s="29" t="s">
        <v>6787</v>
      </c>
    </row>
    <row r="3016" spans="1:7">
      <c r="A3016" s="33">
        <v>44931</v>
      </c>
      <c r="B3016" s="29" t="s">
        <v>2990</v>
      </c>
      <c r="C3016" s="29" t="s">
        <v>2991</v>
      </c>
      <c r="D3016" s="29" t="s">
        <v>2992</v>
      </c>
      <c r="E3016" s="92">
        <v>408904</v>
      </c>
      <c r="F3016" s="89" t="s">
        <v>751</v>
      </c>
      <c r="G3016" s="29" t="s">
        <v>8415</v>
      </c>
    </row>
    <row r="3017" spans="1:7">
      <c r="A3017" s="33">
        <v>44932</v>
      </c>
      <c r="B3017" s="29" t="s">
        <v>2994</v>
      </c>
      <c r="C3017" s="29" t="s">
        <v>2995</v>
      </c>
      <c r="D3017" s="29" t="s">
        <v>2996</v>
      </c>
      <c r="E3017" s="92">
        <v>407707</v>
      </c>
      <c r="F3017" s="89" t="s">
        <v>1556</v>
      </c>
      <c r="G3017" s="29" t="s">
        <v>9634</v>
      </c>
    </row>
    <row r="3018" spans="1:7">
      <c r="A3018" s="33">
        <v>44933</v>
      </c>
      <c r="B3018" s="29" t="s">
        <v>2998</v>
      </c>
      <c r="C3018" s="29" t="s">
        <v>2999</v>
      </c>
      <c r="D3018" s="29" t="s">
        <v>3000</v>
      </c>
      <c r="E3018" s="92">
        <v>407488</v>
      </c>
      <c r="F3018" s="89" t="s">
        <v>5269</v>
      </c>
      <c r="G3018" s="29" t="s">
        <v>7221</v>
      </c>
    </row>
    <row r="3019" spans="1:7">
      <c r="A3019" s="33">
        <v>44934</v>
      </c>
      <c r="B3019" s="29" t="s">
        <v>3002</v>
      </c>
      <c r="C3019" s="29" t="s">
        <v>3003</v>
      </c>
      <c r="D3019" s="29" t="s">
        <v>3004</v>
      </c>
      <c r="E3019" s="92">
        <v>404425</v>
      </c>
      <c r="F3019" s="89" t="s">
        <v>795</v>
      </c>
      <c r="G3019" s="29" t="s">
        <v>9635</v>
      </c>
    </row>
    <row r="3020" spans="1:7">
      <c r="A3020" s="33">
        <v>44935</v>
      </c>
      <c r="B3020" s="29" t="s">
        <v>3005</v>
      </c>
      <c r="C3020" s="29" t="s">
        <v>3006</v>
      </c>
      <c r="D3020" s="29" t="s">
        <v>3005</v>
      </c>
      <c r="E3020" s="92">
        <v>403417</v>
      </c>
      <c r="F3020" s="89" t="s">
        <v>5267</v>
      </c>
      <c r="G3020" s="29" t="s">
        <v>8814</v>
      </c>
    </row>
    <row r="3021" spans="1:7">
      <c r="A3021" s="33">
        <v>44936</v>
      </c>
      <c r="B3021" s="29" t="s">
        <v>9636</v>
      </c>
      <c r="C3021" s="29" t="s">
        <v>9637</v>
      </c>
      <c r="D3021" s="29" t="s">
        <v>9638</v>
      </c>
      <c r="E3021" s="92">
        <v>402971</v>
      </c>
      <c r="F3021" s="89" t="s">
        <v>830</v>
      </c>
      <c r="G3021" s="29" t="s">
        <v>8498</v>
      </c>
    </row>
    <row r="3022" spans="1:7">
      <c r="A3022" s="33">
        <v>44937</v>
      </c>
      <c r="B3022" s="29" t="s">
        <v>3008</v>
      </c>
      <c r="C3022" s="29" t="s">
        <v>3009</v>
      </c>
      <c r="D3022" s="29" t="s">
        <v>3010</v>
      </c>
      <c r="E3022" s="92">
        <v>402152</v>
      </c>
      <c r="F3022" s="89" t="s">
        <v>5265</v>
      </c>
      <c r="G3022" s="29" t="s">
        <v>6787</v>
      </c>
    </row>
    <row r="3023" spans="1:7">
      <c r="A3023" s="33">
        <v>44938</v>
      </c>
      <c r="B3023" s="29" t="s">
        <v>3011</v>
      </c>
      <c r="C3023" s="29" t="s">
        <v>3012</v>
      </c>
      <c r="D3023" s="29" t="s">
        <v>3013</v>
      </c>
      <c r="E3023" s="92">
        <v>400185</v>
      </c>
      <c r="F3023" s="89" t="s">
        <v>621</v>
      </c>
      <c r="G3023" s="29" t="s">
        <v>9233</v>
      </c>
    </row>
    <row r="3024" spans="1:7">
      <c r="A3024" s="33">
        <v>44939</v>
      </c>
      <c r="B3024" s="29" t="s">
        <v>3015</v>
      </c>
      <c r="C3024" s="29" t="s">
        <v>3016</v>
      </c>
      <c r="D3024" s="29" t="s">
        <v>3017</v>
      </c>
      <c r="E3024" s="92">
        <v>398821</v>
      </c>
      <c r="F3024" s="89" t="s">
        <v>1509</v>
      </c>
      <c r="G3024" s="29" t="s">
        <v>4778</v>
      </c>
    </row>
    <row r="3025" spans="1:7">
      <c r="A3025" s="33">
        <v>44940</v>
      </c>
      <c r="B3025" s="29" t="s">
        <v>3019</v>
      </c>
      <c r="C3025" s="29" t="s">
        <v>3020</v>
      </c>
      <c r="D3025" s="29" t="s">
        <v>3021</v>
      </c>
      <c r="E3025" s="92">
        <v>397818</v>
      </c>
      <c r="F3025" s="89" t="s">
        <v>5263</v>
      </c>
      <c r="G3025" s="29" t="s">
        <v>8915</v>
      </c>
    </row>
    <row r="3026" spans="1:7">
      <c r="A3026" s="33">
        <v>44941</v>
      </c>
      <c r="B3026" s="29" t="s">
        <v>3023</v>
      </c>
      <c r="C3026" s="29" t="s">
        <v>3024</v>
      </c>
      <c r="D3026" s="29" t="s">
        <v>3025</v>
      </c>
      <c r="E3026" s="92">
        <v>395536</v>
      </c>
      <c r="F3026" s="89" t="s">
        <v>5262</v>
      </c>
      <c r="G3026" s="29" t="s">
        <v>8512</v>
      </c>
    </row>
    <row r="3027" spans="1:7">
      <c r="A3027" s="33">
        <v>44942</v>
      </c>
      <c r="B3027" s="29" t="s">
        <v>3027</v>
      </c>
      <c r="C3027" s="29" t="s">
        <v>3028</v>
      </c>
      <c r="D3027" s="29" t="s">
        <v>3029</v>
      </c>
      <c r="E3027" s="92">
        <v>394972</v>
      </c>
      <c r="F3027" s="89" t="s">
        <v>799</v>
      </c>
      <c r="G3027" s="29" t="s">
        <v>9639</v>
      </c>
    </row>
    <row r="3028" spans="1:7">
      <c r="A3028" s="33">
        <v>44943</v>
      </c>
      <c r="B3028" s="29" t="s">
        <v>3031</v>
      </c>
      <c r="C3028" s="29" t="s">
        <v>3032</v>
      </c>
      <c r="D3028" s="29" t="s">
        <v>3033</v>
      </c>
      <c r="E3028" s="92">
        <v>394796</v>
      </c>
      <c r="F3028" s="89" t="s">
        <v>1548</v>
      </c>
      <c r="G3028" s="29" t="s">
        <v>8755</v>
      </c>
    </row>
    <row r="3029" spans="1:7">
      <c r="A3029" s="33">
        <v>44944</v>
      </c>
      <c r="B3029" s="29" t="s">
        <v>3035</v>
      </c>
      <c r="C3029" s="29" t="s">
        <v>3036</v>
      </c>
      <c r="D3029" s="29" t="s">
        <v>3037</v>
      </c>
      <c r="E3029" s="92">
        <v>394773</v>
      </c>
      <c r="F3029" s="89" t="s">
        <v>5260</v>
      </c>
      <c r="G3029" s="35">
        <v>30000000000</v>
      </c>
    </row>
    <row r="3030" spans="1:7">
      <c r="A3030" s="33">
        <v>44945</v>
      </c>
      <c r="B3030" s="29" t="s">
        <v>3039</v>
      </c>
      <c r="C3030" s="29" t="s">
        <v>3040</v>
      </c>
      <c r="D3030" s="29" t="s">
        <v>3041</v>
      </c>
      <c r="E3030" s="92">
        <v>392153</v>
      </c>
      <c r="F3030" s="89" t="s">
        <v>1537</v>
      </c>
      <c r="G3030" s="29" t="s">
        <v>8780</v>
      </c>
    </row>
    <row r="3031" spans="1:7">
      <c r="A3031" s="33">
        <v>44946</v>
      </c>
      <c r="B3031" s="29" t="s">
        <v>3043</v>
      </c>
      <c r="C3031" s="29" t="s">
        <v>3044</v>
      </c>
      <c r="D3031" s="29" t="s">
        <v>3045</v>
      </c>
      <c r="E3031" s="92">
        <v>391726</v>
      </c>
      <c r="F3031" s="89" t="s">
        <v>1392</v>
      </c>
      <c r="G3031" s="29" t="s">
        <v>8818</v>
      </c>
    </row>
    <row r="3032" spans="1:7">
      <c r="A3032" s="33">
        <v>44947</v>
      </c>
      <c r="B3032" s="29" t="s">
        <v>3047</v>
      </c>
      <c r="C3032" s="29" t="s">
        <v>3048</v>
      </c>
      <c r="D3032" s="29" t="s">
        <v>3049</v>
      </c>
      <c r="E3032" s="92">
        <v>391442</v>
      </c>
      <c r="F3032" s="89" t="s">
        <v>814</v>
      </c>
      <c r="G3032" s="29" t="s">
        <v>8837</v>
      </c>
    </row>
    <row r="3033" spans="1:7">
      <c r="A3033" s="33">
        <v>44948</v>
      </c>
      <c r="B3033" s="29" t="s">
        <v>3051</v>
      </c>
      <c r="C3033" s="29" t="s">
        <v>3052</v>
      </c>
      <c r="D3033" s="29" t="s">
        <v>3053</v>
      </c>
      <c r="E3033" s="92">
        <v>390414</v>
      </c>
      <c r="F3033" s="89" t="s">
        <v>5256</v>
      </c>
      <c r="G3033" s="29" t="s">
        <v>8466</v>
      </c>
    </row>
    <row r="3034" spans="1:7">
      <c r="A3034" s="33">
        <v>44949</v>
      </c>
      <c r="B3034" s="29" t="s">
        <v>3055</v>
      </c>
      <c r="C3034" s="29" t="s">
        <v>3056</v>
      </c>
      <c r="D3034" s="29" t="s">
        <v>3057</v>
      </c>
      <c r="E3034" s="92">
        <v>389594</v>
      </c>
      <c r="F3034" s="89" t="s">
        <v>5254</v>
      </c>
      <c r="G3034" s="29" t="s">
        <v>4778</v>
      </c>
    </row>
    <row r="3035" spans="1:7">
      <c r="A3035" s="33">
        <v>44950</v>
      </c>
      <c r="B3035" s="29" t="s">
        <v>3059</v>
      </c>
      <c r="C3035" s="29" t="s">
        <v>3060</v>
      </c>
      <c r="D3035" s="29" t="s">
        <v>3061</v>
      </c>
      <c r="E3035" s="92">
        <v>389546</v>
      </c>
      <c r="F3035" s="89" t="s">
        <v>1388</v>
      </c>
      <c r="G3035" s="29" t="s">
        <v>8828</v>
      </c>
    </row>
    <row r="3036" spans="1:7">
      <c r="A3036" s="33">
        <v>44951</v>
      </c>
      <c r="B3036" s="29" t="s">
        <v>3063</v>
      </c>
      <c r="C3036" s="29" t="s">
        <v>3064</v>
      </c>
      <c r="D3036" s="29" t="s">
        <v>3065</v>
      </c>
      <c r="E3036" s="92">
        <v>388949</v>
      </c>
      <c r="F3036" s="89" t="s">
        <v>806</v>
      </c>
      <c r="G3036" s="29" t="s">
        <v>8835</v>
      </c>
    </row>
    <row r="3037" spans="1:7">
      <c r="A3037" s="33">
        <v>44952</v>
      </c>
      <c r="B3037" s="29" t="s">
        <v>3067</v>
      </c>
      <c r="C3037" s="29" t="s">
        <v>3068</v>
      </c>
      <c r="D3037" s="29" t="s">
        <v>3069</v>
      </c>
      <c r="E3037" s="92">
        <v>388783</v>
      </c>
      <c r="F3037" s="89" t="s">
        <v>1380</v>
      </c>
      <c r="G3037" s="29" t="s">
        <v>8828</v>
      </c>
    </row>
    <row r="3038" spans="1:7">
      <c r="A3038" s="33">
        <v>44953</v>
      </c>
      <c r="B3038" s="29" t="s">
        <v>3071</v>
      </c>
      <c r="C3038" s="29" t="s">
        <v>3072</v>
      </c>
      <c r="D3038" s="29" t="s">
        <v>3073</v>
      </c>
      <c r="E3038" s="92">
        <v>387882</v>
      </c>
      <c r="F3038" s="89" t="s">
        <v>5250</v>
      </c>
      <c r="G3038" s="29" t="s">
        <v>8478</v>
      </c>
    </row>
    <row r="3039" spans="1:7">
      <c r="A3039" s="33">
        <v>44954</v>
      </c>
      <c r="B3039" s="29" t="s">
        <v>3075</v>
      </c>
      <c r="C3039" s="29" t="s">
        <v>3076</v>
      </c>
      <c r="D3039" s="29" t="s">
        <v>3077</v>
      </c>
      <c r="E3039" s="92">
        <v>387536</v>
      </c>
      <c r="F3039" s="89" t="s">
        <v>5249</v>
      </c>
      <c r="G3039" s="29" t="s">
        <v>4955</v>
      </c>
    </row>
    <row r="3040" spans="1:7">
      <c r="A3040" s="33">
        <v>44955</v>
      </c>
      <c r="B3040" s="29" t="s">
        <v>3079</v>
      </c>
      <c r="C3040" s="29" t="s">
        <v>3080</v>
      </c>
      <c r="D3040" s="29" t="s">
        <v>3081</v>
      </c>
      <c r="E3040" s="92">
        <v>387491</v>
      </c>
      <c r="F3040" s="89" t="s">
        <v>641</v>
      </c>
      <c r="G3040" s="29" t="s">
        <v>4778</v>
      </c>
    </row>
    <row r="3041" spans="1:7">
      <c r="A3041" s="33">
        <v>44956</v>
      </c>
      <c r="B3041" s="29" t="s">
        <v>3083</v>
      </c>
      <c r="C3041" s="29" t="s">
        <v>3084</v>
      </c>
      <c r="D3041" s="29" t="s">
        <v>3085</v>
      </c>
      <c r="E3041" s="92">
        <v>387408</v>
      </c>
      <c r="F3041" s="89" t="s">
        <v>5247</v>
      </c>
      <c r="G3041" s="29" t="s">
        <v>9249</v>
      </c>
    </row>
    <row r="3042" spans="1:7">
      <c r="A3042" s="33">
        <v>44957</v>
      </c>
      <c r="B3042" s="29" t="s">
        <v>9640</v>
      </c>
      <c r="C3042" s="29" t="s">
        <v>9641</v>
      </c>
      <c r="D3042" s="29" t="s">
        <v>9642</v>
      </c>
      <c r="E3042" s="92">
        <v>387168</v>
      </c>
      <c r="F3042" s="89" t="s">
        <v>538</v>
      </c>
      <c r="G3042" s="29" t="s">
        <v>8811</v>
      </c>
    </row>
    <row r="3043" spans="1:7">
      <c r="A3043" s="33">
        <v>44958</v>
      </c>
      <c r="B3043" s="29" t="s">
        <v>3087</v>
      </c>
      <c r="C3043" s="29" t="s">
        <v>3088</v>
      </c>
      <c r="D3043" s="29" t="s">
        <v>3089</v>
      </c>
      <c r="E3043" s="92">
        <v>386944</v>
      </c>
      <c r="F3043" s="89" t="s">
        <v>1529</v>
      </c>
      <c r="G3043" s="29" t="s">
        <v>8473</v>
      </c>
    </row>
    <row r="3044" spans="1:7">
      <c r="A3044" s="33">
        <v>44959</v>
      </c>
      <c r="B3044" s="29" t="s">
        <v>9643</v>
      </c>
      <c r="C3044" s="29" t="s">
        <v>4778</v>
      </c>
      <c r="D3044" s="29" t="s">
        <v>9644</v>
      </c>
      <c r="E3044" s="92">
        <v>386549</v>
      </c>
      <c r="F3044" s="89" t="s">
        <v>691</v>
      </c>
      <c r="G3044" s="29" t="s">
        <v>9507</v>
      </c>
    </row>
    <row r="3045" spans="1:7">
      <c r="A3045" s="33">
        <v>44960</v>
      </c>
      <c r="B3045" s="29" t="s">
        <v>3091</v>
      </c>
      <c r="C3045" s="29" t="s">
        <v>3092</v>
      </c>
      <c r="D3045" s="29" t="s">
        <v>3093</v>
      </c>
      <c r="E3045" s="92">
        <v>386482</v>
      </c>
      <c r="F3045" s="89" t="s">
        <v>5243</v>
      </c>
      <c r="G3045" s="29" t="s">
        <v>9502</v>
      </c>
    </row>
    <row r="3046" spans="1:7">
      <c r="A3046" s="33">
        <v>44961</v>
      </c>
      <c r="B3046" s="29" t="s">
        <v>3095</v>
      </c>
      <c r="C3046" s="29" t="s">
        <v>3096</v>
      </c>
      <c r="D3046" s="29" t="s">
        <v>3097</v>
      </c>
      <c r="E3046" s="92">
        <v>386475</v>
      </c>
      <c r="F3046" s="89" t="s">
        <v>5242</v>
      </c>
      <c r="G3046" s="29" t="s">
        <v>8497</v>
      </c>
    </row>
    <row r="3047" spans="1:7">
      <c r="A3047" s="33">
        <v>44962</v>
      </c>
      <c r="B3047" s="29" t="s">
        <v>3099</v>
      </c>
      <c r="C3047" s="29" t="s">
        <v>3100</v>
      </c>
      <c r="D3047" s="29" t="s">
        <v>3101</v>
      </c>
      <c r="E3047" s="92">
        <v>384263</v>
      </c>
      <c r="F3047" s="89" t="s">
        <v>672</v>
      </c>
      <c r="G3047" s="29" t="s">
        <v>8765</v>
      </c>
    </row>
    <row r="3048" spans="1:7">
      <c r="A3048" s="33">
        <v>44963</v>
      </c>
      <c r="B3048" s="29" t="s">
        <v>3103</v>
      </c>
      <c r="C3048" s="29" t="s">
        <v>3104</v>
      </c>
      <c r="D3048" s="29" t="s">
        <v>3105</v>
      </c>
      <c r="E3048" s="92">
        <v>383758</v>
      </c>
      <c r="F3048" s="89" t="s">
        <v>5239</v>
      </c>
      <c r="G3048" s="29" t="s">
        <v>6775</v>
      </c>
    </row>
    <row r="3049" spans="1:7">
      <c r="A3049" s="33">
        <v>44964</v>
      </c>
      <c r="B3049" s="29" t="s">
        <v>3107</v>
      </c>
      <c r="C3049" s="29" t="s">
        <v>3108</v>
      </c>
      <c r="D3049" s="29" t="s">
        <v>3109</v>
      </c>
      <c r="E3049" s="92">
        <v>383615</v>
      </c>
      <c r="F3049" s="89" t="s">
        <v>606</v>
      </c>
      <c r="G3049" s="29" t="s">
        <v>9249</v>
      </c>
    </row>
    <row r="3050" spans="1:7">
      <c r="A3050" s="33">
        <v>44965</v>
      </c>
      <c r="B3050" s="29" t="s">
        <v>3111</v>
      </c>
      <c r="C3050" s="29" t="s">
        <v>3112</v>
      </c>
      <c r="D3050" s="29" t="s">
        <v>3113</v>
      </c>
      <c r="E3050" s="92">
        <v>383158</v>
      </c>
      <c r="F3050" s="89" t="s">
        <v>1552</v>
      </c>
      <c r="G3050" s="29" t="s">
        <v>8478</v>
      </c>
    </row>
    <row r="3051" spans="1:7">
      <c r="A3051" s="33">
        <v>44966</v>
      </c>
      <c r="B3051" s="29" t="s">
        <v>3115</v>
      </c>
      <c r="C3051" s="29" t="s">
        <v>3116</v>
      </c>
      <c r="D3051" s="29" t="s">
        <v>3117</v>
      </c>
      <c r="E3051" s="92">
        <v>382845</v>
      </c>
      <c r="F3051" s="89" t="s">
        <v>791</v>
      </c>
      <c r="G3051" s="29" t="s">
        <v>8772</v>
      </c>
    </row>
    <row r="3052" spans="1:7">
      <c r="A3052" s="33">
        <v>44967</v>
      </c>
      <c r="B3052" s="29" t="s">
        <v>3119</v>
      </c>
      <c r="C3052" s="29" t="s">
        <v>3120</v>
      </c>
      <c r="D3052" s="29" t="s">
        <v>3121</v>
      </c>
      <c r="E3052" s="92">
        <v>382556</v>
      </c>
      <c r="F3052" s="89" t="s">
        <v>629</v>
      </c>
      <c r="G3052" s="29" t="s">
        <v>9502</v>
      </c>
    </row>
    <row r="3053" spans="1:7">
      <c r="A3053" s="33">
        <v>44968</v>
      </c>
      <c r="B3053" s="29" t="s">
        <v>3123</v>
      </c>
      <c r="C3053" s="29" t="s">
        <v>3124</v>
      </c>
      <c r="D3053" s="29" t="s">
        <v>3125</v>
      </c>
      <c r="E3053" s="92">
        <v>382492</v>
      </c>
      <c r="F3053" s="89" t="s">
        <v>1513</v>
      </c>
      <c r="G3053" s="29" t="s">
        <v>8758</v>
      </c>
    </row>
    <row r="3054" spans="1:7">
      <c r="A3054" s="33">
        <v>44969</v>
      </c>
      <c r="B3054" s="29" t="s">
        <v>3127</v>
      </c>
      <c r="C3054" s="29" t="s">
        <v>3128</v>
      </c>
      <c r="D3054" s="29" t="s">
        <v>3129</v>
      </c>
      <c r="E3054" s="92">
        <v>382299</v>
      </c>
      <c r="F3054" s="89" t="s">
        <v>703</v>
      </c>
      <c r="G3054" s="29" t="s">
        <v>8500</v>
      </c>
    </row>
    <row r="3055" spans="1:7">
      <c r="A3055" s="33">
        <v>44970</v>
      </c>
      <c r="B3055" s="29">
        <v>21787</v>
      </c>
      <c r="C3055" s="29" t="s">
        <v>3132</v>
      </c>
      <c r="D3055" s="29" t="s">
        <v>3133</v>
      </c>
      <c r="E3055" s="92">
        <v>381649</v>
      </c>
      <c r="F3055" s="89" t="s">
        <v>822</v>
      </c>
      <c r="G3055" s="29" t="s">
        <v>8622</v>
      </c>
    </row>
    <row r="3056" spans="1:7">
      <c r="A3056" s="33">
        <v>44971</v>
      </c>
      <c r="B3056" s="29" t="s">
        <v>3135</v>
      </c>
      <c r="C3056" s="29" t="s">
        <v>3136</v>
      </c>
      <c r="D3056" s="29" t="s">
        <v>3137</v>
      </c>
      <c r="E3056" s="92">
        <v>381315</v>
      </c>
      <c r="F3056" s="89" t="s">
        <v>5230</v>
      </c>
      <c r="G3056" s="29" t="s">
        <v>9639</v>
      </c>
    </row>
    <row r="3057" spans="1:7">
      <c r="A3057" s="33">
        <v>44972</v>
      </c>
      <c r="B3057" s="29" t="s">
        <v>3139</v>
      </c>
      <c r="C3057" s="29" t="s">
        <v>3140</v>
      </c>
      <c r="D3057" s="29" t="s">
        <v>3141</v>
      </c>
      <c r="E3057" s="92">
        <v>380555</v>
      </c>
      <c r="F3057" s="89" t="s">
        <v>637</v>
      </c>
      <c r="G3057" s="29" t="s">
        <v>8932</v>
      </c>
    </row>
    <row r="3058" spans="1:7">
      <c r="A3058" s="33">
        <v>44973</v>
      </c>
      <c r="B3058" s="29" t="s">
        <v>3142</v>
      </c>
      <c r="C3058" s="29" t="s">
        <v>3143</v>
      </c>
      <c r="D3058" s="29" t="s">
        <v>3144</v>
      </c>
      <c r="E3058" s="92">
        <v>380289</v>
      </c>
      <c r="F3058" s="89" t="s">
        <v>711</v>
      </c>
      <c r="G3058" s="29" t="s">
        <v>8961</v>
      </c>
    </row>
    <row r="3059" spans="1:7">
      <c r="A3059" s="33">
        <v>44974</v>
      </c>
      <c r="B3059" s="29" t="s">
        <v>3146</v>
      </c>
      <c r="C3059" s="29" t="s">
        <v>3147</v>
      </c>
      <c r="D3059" s="29" t="s">
        <v>3148</v>
      </c>
      <c r="E3059" s="92">
        <v>380257</v>
      </c>
      <c r="F3059" s="89" t="s">
        <v>633</v>
      </c>
      <c r="G3059" s="29" t="s">
        <v>9488</v>
      </c>
    </row>
    <row r="3060" spans="1:7">
      <c r="A3060" s="33">
        <v>44975</v>
      </c>
      <c r="B3060" s="29" t="s">
        <v>3150</v>
      </c>
      <c r="C3060" s="29" t="s">
        <v>3151</v>
      </c>
      <c r="D3060" s="29" t="s">
        <v>3152</v>
      </c>
      <c r="E3060" s="92">
        <v>380149</v>
      </c>
      <c r="F3060" s="89" t="s">
        <v>1440</v>
      </c>
      <c r="G3060" s="29" t="s">
        <v>8765</v>
      </c>
    </row>
    <row r="3061" spans="1:7">
      <c r="A3061" s="33">
        <v>44976</v>
      </c>
      <c r="B3061" s="29" t="s">
        <v>3154</v>
      </c>
      <c r="C3061" s="29" t="s">
        <v>3155</v>
      </c>
      <c r="D3061" s="29" t="s">
        <v>3156</v>
      </c>
      <c r="E3061" s="92">
        <v>379654</v>
      </c>
      <c r="F3061" s="89" t="s">
        <v>1521</v>
      </c>
      <c r="G3061" s="29" t="s">
        <v>9218</v>
      </c>
    </row>
    <row r="3062" spans="1:7">
      <c r="A3062" s="33">
        <v>44977</v>
      </c>
      <c r="B3062" s="29" t="s">
        <v>3157</v>
      </c>
      <c r="C3062" s="29" t="s">
        <v>3158</v>
      </c>
      <c r="D3062" s="29" t="s">
        <v>3159</v>
      </c>
      <c r="E3062" s="92">
        <v>379474</v>
      </c>
      <c r="F3062" s="89" t="s">
        <v>695</v>
      </c>
      <c r="G3062" s="29" t="s">
        <v>9222</v>
      </c>
    </row>
    <row r="3063" spans="1:7">
      <c r="A3063" s="33">
        <v>44978</v>
      </c>
      <c r="B3063" s="29" t="s">
        <v>9645</v>
      </c>
      <c r="C3063" s="29" t="s">
        <v>4778</v>
      </c>
      <c r="D3063" s="29" t="s">
        <v>9646</v>
      </c>
      <c r="E3063" s="92">
        <v>379245</v>
      </c>
      <c r="F3063" s="89" t="s">
        <v>818</v>
      </c>
      <c r="G3063" s="29" t="s">
        <v>8823</v>
      </c>
    </row>
    <row r="3064" spans="1:7">
      <c r="A3064" s="33">
        <v>44979</v>
      </c>
      <c r="B3064" s="29" t="s">
        <v>3161</v>
      </c>
      <c r="C3064" s="29" t="s">
        <v>3162</v>
      </c>
      <c r="D3064" s="29" t="s">
        <v>3163</v>
      </c>
      <c r="E3064" s="92">
        <v>378549</v>
      </c>
      <c r="F3064" s="89" t="s">
        <v>625</v>
      </c>
      <c r="G3064" s="29" t="s">
        <v>8980</v>
      </c>
    </row>
    <row r="3065" spans="1:7">
      <c r="A3065" s="33">
        <v>44980</v>
      </c>
      <c r="B3065" s="29" t="s">
        <v>3165</v>
      </c>
      <c r="C3065" s="29" t="s">
        <v>3166</v>
      </c>
      <c r="D3065" s="29" t="s">
        <v>3167</v>
      </c>
      <c r="E3065" s="92">
        <v>378255</v>
      </c>
      <c r="F3065" s="89" t="s">
        <v>5225</v>
      </c>
      <c r="G3065" s="29" t="s">
        <v>9463</v>
      </c>
    </row>
    <row r="3066" spans="1:7">
      <c r="A3066" s="33">
        <v>44981</v>
      </c>
      <c r="B3066" s="29" t="s">
        <v>3169</v>
      </c>
      <c r="C3066" s="29" t="s">
        <v>3170</v>
      </c>
      <c r="D3066" s="29" t="s">
        <v>3171</v>
      </c>
      <c r="E3066" s="92">
        <v>378047</v>
      </c>
      <c r="F3066" s="89" t="s">
        <v>676</v>
      </c>
      <c r="G3066" s="29" t="s">
        <v>9639</v>
      </c>
    </row>
    <row r="3067" spans="1:7">
      <c r="A3067" s="33">
        <v>44982</v>
      </c>
      <c r="B3067" s="29" t="s">
        <v>3173</v>
      </c>
      <c r="C3067" s="29" t="s">
        <v>3174</v>
      </c>
      <c r="D3067" s="29" t="s">
        <v>3175</v>
      </c>
      <c r="E3067" s="92">
        <v>377321</v>
      </c>
      <c r="F3067" s="89" t="s">
        <v>680</v>
      </c>
      <c r="G3067" s="29" t="s">
        <v>8768</v>
      </c>
    </row>
    <row r="3068" spans="1:7">
      <c r="A3068" s="33">
        <v>44983</v>
      </c>
      <c r="B3068" s="29" t="s">
        <v>9647</v>
      </c>
      <c r="C3068" s="29" t="s">
        <v>4778</v>
      </c>
      <c r="D3068" s="29" t="s">
        <v>9648</v>
      </c>
      <c r="E3068" s="92">
        <v>377181</v>
      </c>
      <c r="F3068" s="89" t="s">
        <v>5223</v>
      </c>
      <c r="G3068" s="29" t="s">
        <v>8413</v>
      </c>
    </row>
    <row r="3069" spans="1:7">
      <c r="A3069" s="33">
        <v>44984</v>
      </c>
      <c r="B3069" s="29" t="s">
        <v>3177</v>
      </c>
      <c r="C3069" s="29" t="s">
        <v>3178</v>
      </c>
      <c r="D3069" s="29" t="s">
        <v>3179</v>
      </c>
      <c r="E3069" s="92">
        <v>376854</v>
      </c>
      <c r="F3069" s="89" t="s">
        <v>5222</v>
      </c>
      <c r="G3069" s="29" t="s">
        <v>8783</v>
      </c>
    </row>
    <row r="3070" spans="1:7">
      <c r="A3070" s="33">
        <v>44985</v>
      </c>
      <c r="B3070" s="29" t="s">
        <v>3181</v>
      </c>
      <c r="C3070" s="29" t="s">
        <v>3182</v>
      </c>
      <c r="D3070" s="29" t="s">
        <v>3183</v>
      </c>
      <c r="E3070" s="92">
        <v>376522</v>
      </c>
      <c r="F3070" s="89" t="s">
        <v>699</v>
      </c>
      <c r="G3070" s="29" t="s">
        <v>9000</v>
      </c>
    </row>
    <row r="3071" spans="1:7">
      <c r="A3071" s="33">
        <v>44986</v>
      </c>
      <c r="B3071" s="29" t="s">
        <v>3185</v>
      </c>
      <c r="C3071" s="29" t="s">
        <v>3186</v>
      </c>
      <c r="D3071" s="29" t="s">
        <v>3187</v>
      </c>
      <c r="E3071" s="92">
        <v>376447</v>
      </c>
      <c r="F3071" s="89" t="s">
        <v>684</v>
      </c>
      <c r="G3071" s="29" t="s">
        <v>8466</v>
      </c>
    </row>
    <row r="3072" spans="1:7">
      <c r="A3072" s="33">
        <v>44987</v>
      </c>
      <c r="B3072" s="29" t="s">
        <v>3189</v>
      </c>
      <c r="C3072" s="29" t="s">
        <v>3190</v>
      </c>
      <c r="D3072" s="29" t="s">
        <v>3191</v>
      </c>
      <c r="E3072" s="92">
        <v>376133</v>
      </c>
      <c r="F3072" s="89" t="s">
        <v>5220</v>
      </c>
      <c r="G3072" s="29" t="s">
        <v>8974</v>
      </c>
    </row>
    <row r="3073" spans="1:7">
      <c r="A3073" s="33">
        <v>44988</v>
      </c>
      <c r="B3073" s="29" t="s">
        <v>3193</v>
      </c>
      <c r="C3073" s="29" t="s">
        <v>3194</v>
      </c>
      <c r="D3073" s="29" t="s">
        <v>3195</v>
      </c>
      <c r="E3073" s="92">
        <v>375491</v>
      </c>
      <c r="F3073" s="89" t="s">
        <v>5219</v>
      </c>
      <c r="G3073" s="29" t="s">
        <v>9020</v>
      </c>
    </row>
    <row r="3074" spans="1:7">
      <c r="A3074" s="33">
        <v>44989</v>
      </c>
      <c r="B3074" s="29" t="s">
        <v>3197</v>
      </c>
      <c r="C3074" s="29" t="s">
        <v>3198</v>
      </c>
      <c r="D3074" s="29" t="s">
        <v>3199</v>
      </c>
      <c r="E3074" s="92">
        <v>375467</v>
      </c>
      <c r="F3074" s="89" t="s">
        <v>613</v>
      </c>
      <c r="G3074" s="29" t="s">
        <v>9632</v>
      </c>
    </row>
    <row r="3075" spans="1:7">
      <c r="A3075" s="33">
        <v>44990</v>
      </c>
      <c r="B3075" s="29" t="s">
        <v>3201</v>
      </c>
      <c r="C3075" s="29" t="s">
        <v>3202</v>
      </c>
      <c r="D3075" s="29" t="s">
        <v>3203</v>
      </c>
      <c r="E3075" s="92">
        <v>375348</v>
      </c>
      <c r="F3075" s="89" t="s">
        <v>688</v>
      </c>
      <c r="G3075" s="29" t="s">
        <v>4951</v>
      </c>
    </row>
    <row r="3076" spans="1:7">
      <c r="A3076" s="33">
        <v>44991</v>
      </c>
      <c r="B3076" s="29" t="s">
        <v>3205</v>
      </c>
      <c r="C3076" s="29" t="s">
        <v>3206</v>
      </c>
      <c r="D3076" s="29" t="s">
        <v>3207</v>
      </c>
      <c r="E3076" s="92">
        <v>375198</v>
      </c>
      <c r="F3076" s="89" t="s">
        <v>9649</v>
      </c>
      <c r="G3076" s="29" t="s">
        <v>8602</v>
      </c>
    </row>
    <row r="3077" spans="1:7">
      <c r="A3077" s="33">
        <v>44992</v>
      </c>
      <c r="B3077" s="29" t="s">
        <v>3209</v>
      </c>
      <c r="C3077" s="29" t="s">
        <v>3210</v>
      </c>
      <c r="D3077" s="29" t="s">
        <v>3211</v>
      </c>
      <c r="E3077" s="92">
        <v>375095</v>
      </c>
      <c r="F3077" s="89" t="s">
        <v>1517</v>
      </c>
      <c r="G3077" s="29" t="s">
        <v>8811</v>
      </c>
    </row>
    <row r="3078" spans="1:7">
      <c r="A3078" s="33">
        <v>44993</v>
      </c>
      <c r="B3078" s="29" t="s">
        <v>3213</v>
      </c>
      <c r="C3078" s="29" t="s">
        <v>3214</v>
      </c>
      <c r="D3078" s="29" t="s">
        <v>3215</v>
      </c>
      <c r="E3078" s="92">
        <v>375072</v>
      </c>
      <c r="F3078" s="89" t="s">
        <v>719</v>
      </c>
      <c r="G3078" s="29" t="s">
        <v>8480</v>
      </c>
    </row>
    <row r="3079" spans="1:7">
      <c r="A3079" s="33">
        <v>44994</v>
      </c>
      <c r="B3079" s="29" t="s">
        <v>3217</v>
      </c>
      <c r="C3079" s="29" t="s">
        <v>3218</v>
      </c>
      <c r="D3079" s="29" t="s">
        <v>3219</v>
      </c>
      <c r="E3079" s="92">
        <v>374785</v>
      </c>
      <c r="F3079" s="89" t="s">
        <v>723</v>
      </c>
      <c r="G3079" s="29" t="s">
        <v>8793</v>
      </c>
    </row>
    <row r="3080" spans="1:7">
      <c r="A3080" s="33">
        <v>44995</v>
      </c>
      <c r="B3080" s="29">
        <v>20367</v>
      </c>
      <c r="C3080" s="29" t="s">
        <v>3222</v>
      </c>
      <c r="D3080" s="29" t="s">
        <v>3223</v>
      </c>
      <c r="E3080" s="92">
        <v>374448</v>
      </c>
      <c r="F3080" s="89" t="s">
        <v>5216</v>
      </c>
      <c r="G3080" s="29" t="s">
        <v>9521</v>
      </c>
    </row>
    <row r="3081" spans="1:7">
      <c r="A3081" s="33">
        <v>44996</v>
      </c>
      <c r="B3081" s="29" t="s">
        <v>3225</v>
      </c>
      <c r="C3081" s="29" t="s">
        <v>3226</v>
      </c>
      <c r="D3081" s="29" t="s">
        <v>3227</v>
      </c>
      <c r="E3081" s="92">
        <v>373447</v>
      </c>
      <c r="F3081" s="89" t="s">
        <v>5215</v>
      </c>
      <c r="G3081" s="29" t="s">
        <v>8980</v>
      </c>
    </row>
    <row r="3082" spans="1:7">
      <c r="A3082" s="33">
        <v>44997</v>
      </c>
      <c r="B3082" s="29" t="s">
        <v>3229</v>
      </c>
      <c r="C3082" s="29" t="s">
        <v>3230</v>
      </c>
      <c r="D3082" s="29" t="s">
        <v>3231</v>
      </c>
      <c r="E3082" s="92">
        <v>373368</v>
      </c>
      <c r="F3082" s="89" t="s">
        <v>1501</v>
      </c>
      <c r="G3082" s="29" t="s">
        <v>9517</v>
      </c>
    </row>
    <row r="3083" spans="1:7">
      <c r="A3083" s="33">
        <v>44998</v>
      </c>
      <c r="B3083" s="29" t="s">
        <v>3233</v>
      </c>
      <c r="C3083" s="29" t="s">
        <v>3234</v>
      </c>
      <c r="D3083" s="29" t="s">
        <v>3235</v>
      </c>
      <c r="E3083" s="92">
        <v>373056</v>
      </c>
      <c r="F3083" s="89" t="s">
        <v>5213</v>
      </c>
      <c r="G3083" s="29" t="s">
        <v>4778</v>
      </c>
    </row>
    <row r="3084" spans="1:7">
      <c r="A3084" s="33">
        <v>44999</v>
      </c>
      <c r="B3084" s="29" t="s">
        <v>3237</v>
      </c>
      <c r="C3084" s="29" t="s">
        <v>3238</v>
      </c>
      <c r="D3084" s="29" t="s">
        <v>3239</v>
      </c>
      <c r="E3084" s="92">
        <v>371294</v>
      </c>
      <c r="F3084" s="89" t="s">
        <v>5212</v>
      </c>
      <c r="G3084" s="29" t="s">
        <v>9650</v>
      </c>
    </row>
    <row r="3085" spans="1:7">
      <c r="A3085" s="33">
        <v>45000</v>
      </c>
      <c r="B3085" s="29" t="s">
        <v>3241</v>
      </c>
      <c r="C3085" s="29" t="s">
        <v>3242</v>
      </c>
      <c r="D3085" s="29" t="s">
        <v>3243</v>
      </c>
      <c r="E3085" s="92">
        <v>369949</v>
      </c>
      <c r="F3085" s="89" t="s">
        <v>1436</v>
      </c>
      <c r="G3085" s="29" t="s">
        <v>9241</v>
      </c>
    </row>
    <row r="3086" spans="1:7">
      <c r="A3086" s="33">
        <v>45001</v>
      </c>
      <c r="B3086" s="29" t="s">
        <v>3245</v>
      </c>
      <c r="C3086" s="29" t="s">
        <v>3246</v>
      </c>
      <c r="D3086" s="29" t="s">
        <v>3247</v>
      </c>
      <c r="E3086" s="92">
        <v>369604</v>
      </c>
      <c r="F3086" s="89" t="s">
        <v>1505</v>
      </c>
      <c r="G3086" s="29" t="s">
        <v>9247</v>
      </c>
    </row>
    <row r="3087" spans="1:7">
      <c r="A3087" s="33">
        <v>45002</v>
      </c>
      <c r="B3087" s="29" t="s">
        <v>3249</v>
      </c>
      <c r="C3087" s="29" t="s">
        <v>3250</v>
      </c>
      <c r="D3087" s="29" t="s">
        <v>3251</v>
      </c>
      <c r="E3087" s="92">
        <v>368767</v>
      </c>
      <c r="F3087" s="89" t="s">
        <v>5210</v>
      </c>
      <c r="G3087" s="29" t="s">
        <v>9355</v>
      </c>
    </row>
    <row r="3088" spans="1:7">
      <c r="A3088" s="33">
        <v>45003</v>
      </c>
      <c r="B3088" s="29" t="s">
        <v>3253</v>
      </c>
      <c r="C3088" s="29" t="s">
        <v>3254</v>
      </c>
      <c r="D3088" s="29" t="s">
        <v>3255</v>
      </c>
      <c r="E3088" s="92">
        <v>367695</v>
      </c>
      <c r="F3088" s="89" t="s">
        <v>1444</v>
      </c>
      <c r="G3088" s="29" t="s">
        <v>9518</v>
      </c>
    </row>
    <row r="3089" spans="1:7">
      <c r="A3089" s="33">
        <v>45004</v>
      </c>
      <c r="B3089" s="29" t="s">
        <v>3257</v>
      </c>
      <c r="C3089" s="29" t="s">
        <v>3258</v>
      </c>
      <c r="D3089" s="29" t="s">
        <v>3259</v>
      </c>
      <c r="E3089" s="92">
        <v>367573</v>
      </c>
      <c r="F3089" s="89" t="s">
        <v>739</v>
      </c>
      <c r="G3089" s="29" t="s">
        <v>9214</v>
      </c>
    </row>
    <row r="3090" spans="1:7">
      <c r="A3090" s="33">
        <v>45005</v>
      </c>
      <c r="B3090" s="29" t="s">
        <v>3261</v>
      </c>
      <c r="C3090" s="29" t="s">
        <v>3262</v>
      </c>
      <c r="D3090" s="29" t="s">
        <v>3263</v>
      </c>
      <c r="E3090" s="92">
        <v>366924</v>
      </c>
      <c r="F3090" s="89" t="s">
        <v>5207</v>
      </c>
      <c r="G3090" s="29" t="s">
        <v>8821</v>
      </c>
    </row>
    <row r="3091" spans="1:7">
      <c r="A3091" s="33">
        <v>45006</v>
      </c>
      <c r="B3091" s="29" t="s">
        <v>3265</v>
      </c>
      <c r="C3091" s="29" t="s">
        <v>3266</v>
      </c>
      <c r="D3091" s="29" t="s">
        <v>3267</v>
      </c>
      <c r="E3091" s="92">
        <v>365026</v>
      </c>
      <c r="F3091" s="89" t="s">
        <v>1400</v>
      </c>
      <c r="G3091" s="29" t="s">
        <v>9479</v>
      </c>
    </row>
    <row r="3092" spans="1:7">
      <c r="A3092" s="33">
        <v>45007</v>
      </c>
      <c r="B3092" s="29" t="s">
        <v>3269</v>
      </c>
      <c r="C3092" s="29" t="s">
        <v>3270</v>
      </c>
      <c r="D3092" s="29">
        <v>26760</v>
      </c>
      <c r="E3092" s="92">
        <v>364331</v>
      </c>
      <c r="F3092" s="89" t="s">
        <v>5206</v>
      </c>
      <c r="G3092" s="29" t="s">
        <v>9138</v>
      </c>
    </row>
    <row r="3093" spans="1:7">
      <c r="A3093" s="33">
        <v>45008</v>
      </c>
      <c r="B3093" s="29" t="s">
        <v>3273</v>
      </c>
      <c r="C3093" s="29" t="s">
        <v>3274</v>
      </c>
      <c r="D3093" s="29" t="s">
        <v>3275</v>
      </c>
      <c r="E3093" s="92">
        <v>363264</v>
      </c>
      <c r="F3093" s="89" t="s">
        <v>1428</v>
      </c>
      <c r="G3093" s="29" t="s">
        <v>8474</v>
      </c>
    </row>
    <row r="3094" spans="1:7">
      <c r="A3094" s="33">
        <v>45009</v>
      </c>
      <c r="B3094" s="29" t="s">
        <v>3277</v>
      </c>
      <c r="C3094" s="29" t="s">
        <v>3278</v>
      </c>
      <c r="D3094" s="29" t="s">
        <v>3279</v>
      </c>
      <c r="E3094" s="92">
        <v>363183</v>
      </c>
      <c r="F3094" s="89" t="s">
        <v>1456</v>
      </c>
      <c r="G3094" s="29" t="s">
        <v>9075</v>
      </c>
    </row>
    <row r="3095" spans="1:7">
      <c r="A3095" s="33">
        <v>45010</v>
      </c>
      <c r="B3095" s="29" t="s">
        <v>3281</v>
      </c>
      <c r="C3095" s="29" t="s">
        <v>3282</v>
      </c>
      <c r="D3095" s="29" t="s">
        <v>3283</v>
      </c>
      <c r="E3095" s="92">
        <v>362488</v>
      </c>
      <c r="F3095" s="89" t="s">
        <v>610</v>
      </c>
      <c r="G3095" s="29" t="s">
        <v>6689</v>
      </c>
    </row>
    <row r="3096" spans="1:7">
      <c r="A3096" s="33">
        <v>45011</v>
      </c>
      <c r="B3096" s="29" t="s">
        <v>3285</v>
      </c>
      <c r="C3096" s="29" t="s">
        <v>3286</v>
      </c>
      <c r="D3096" s="29" t="s">
        <v>3287</v>
      </c>
      <c r="E3096" s="92">
        <v>362299</v>
      </c>
      <c r="F3096" s="89" t="s">
        <v>5204</v>
      </c>
      <c r="G3096" s="29" t="s">
        <v>6685</v>
      </c>
    </row>
    <row r="3097" spans="1:7">
      <c r="A3097" s="33">
        <v>45012</v>
      </c>
      <c r="B3097" s="29" t="s">
        <v>3289</v>
      </c>
      <c r="C3097" s="29" t="s">
        <v>3290</v>
      </c>
      <c r="D3097" s="29" t="s">
        <v>3291</v>
      </c>
      <c r="E3097" s="92">
        <v>361909</v>
      </c>
      <c r="F3097" s="89" t="s">
        <v>1452</v>
      </c>
      <c r="G3097" s="29" t="s">
        <v>8802</v>
      </c>
    </row>
    <row r="3098" spans="1:7">
      <c r="A3098" s="33">
        <v>45013</v>
      </c>
      <c r="B3098" s="29" t="s">
        <v>3293</v>
      </c>
      <c r="C3098" s="29" t="s">
        <v>3294</v>
      </c>
      <c r="D3098" s="29" t="s">
        <v>3295</v>
      </c>
      <c r="E3098" s="92">
        <v>361562</v>
      </c>
      <c r="F3098" s="89" t="s">
        <v>1424</v>
      </c>
      <c r="G3098" s="29" t="s">
        <v>8500</v>
      </c>
    </row>
    <row r="3099" spans="1:7">
      <c r="A3099" s="33">
        <v>45014</v>
      </c>
      <c r="B3099" s="29" t="s">
        <v>3297</v>
      </c>
      <c r="C3099" s="29" t="s">
        <v>3298</v>
      </c>
      <c r="D3099" s="29" t="s">
        <v>3299</v>
      </c>
      <c r="E3099" s="92">
        <v>361189</v>
      </c>
      <c r="F3099" s="89" t="s">
        <v>5202</v>
      </c>
      <c r="G3099" s="29" t="s">
        <v>8586</v>
      </c>
    </row>
    <row r="3100" spans="1:7">
      <c r="A3100" s="33">
        <v>45015</v>
      </c>
      <c r="B3100" s="29" t="s">
        <v>3301</v>
      </c>
      <c r="C3100" s="29" t="s">
        <v>3302</v>
      </c>
      <c r="D3100" s="29" t="s">
        <v>3303</v>
      </c>
      <c r="E3100" s="92">
        <v>361046</v>
      </c>
      <c r="F3100" s="89" t="s">
        <v>1468</v>
      </c>
      <c r="G3100" s="29" t="s">
        <v>8805</v>
      </c>
    </row>
    <row r="3101" spans="1:7">
      <c r="A3101" s="33">
        <v>45016</v>
      </c>
      <c r="B3101" s="29" t="s">
        <v>3305</v>
      </c>
      <c r="C3101" s="29" t="s">
        <v>3306</v>
      </c>
      <c r="D3101" s="29" t="s">
        <v>3307</v>
      </c>
      <c r="E3101" s="92">
        <v>359512</v>
      </c>
      <c r="F3101" s="89" t="s">
        <v>5201</v>
      </c>
      <c r="G3101" s="29" t="s">
        <v>8493</v>
      </c>
    </row>
    <row r="3102" spans="1:7">
      <c r="A3102" s="33">
        <v>45017</v>
      </c>
      <c r="B3102" s="29" t="s">
        <v>3309</v>
      </c>
      <c r="C3102" s="29" t="s">
        <v>3310</v>
      </c>
      <c r="D3102" s="29" t="s">
        <v>3311</v>
      </c>
      <c r="E3102" s="92">
        <v>359187</v>
      </c>
      <c r="F3102" s="89" t="s">
        <v>1404</v>
      </c>
      <c r="G3102" s="29" t="s">
        <v>8388</v>
      </c>
    </row>
    <row r="3103" spans="1:7">
      <c r="A3103" s="33">
        <v>45018</v>
      </c>
      <c r="B3103" s="29" t="s">
        <v>3313</v>
      </c>
      <c r="C3103" s="29" t="s">
        <v>3314</v>
      </c>
      <c r="D3103" s="29" t="s">
        <v>3315</v>
      </c>
      <c r="E3103" s="92">
        <v>358417</v>
      </c>
      <c r="F3103" s="89" t="s">
        <v>5199</v>
      </c>
      <c r="G3103" s="29" t="s">
        <v>6750</v>
      </c>
    </row>
    <row r="3104" spans="1:7">
      <c r="A3104" s="33">
        <v>45019</v>
      </c>
      <c r="B3104" s="29" t="s">
        <v>3317</v>
      </c>
      <c r="C3104" s="29" t="s">
        <v>3318</v>
      </c>
      <c r="D3104" s="29" t="s">
        <v>3319</v>
      </c>
      <c r="E3104" s="92">
        <v>358345</v>
      </c>
      <c r="F3104" s="89" t="s">
        <v>735</v>
      </c>
      <c r="G3104" s="29" t="s">
        <v>8765</v>
      </c>
    </row>
    <row r="3105" spans="1:7">
      <c r="A3105" s="33">
        <v>45020</v>
      </c>
      <c r="B3105" s="29" t="s">
        <v>3321</v>
      </c>
      <c r="C3105" s="29" t="s">
        <v>3322</v>
      </c>
      <c r="D3105" s="29" t="s">
        <v>3323</v>
      </c>
      <c r="E3105" s="92">
        <v>358042</v>
      </c>
      <c r="F3105" s="89" t="s">
        <v>1396</v>
      </c>
      <c r="G3105" s="29" t="s">
        <v>8432</v>
      </c>
    </row>
    <row r="3106" spans="1:7">
      <c r="A3106" s="33">
        <v>45021</v>
      </c>
      <c r="B3106" s="29" t="s">
        <v>3325</v>
      </c>
      <c r="C3106" s="29" t="s">
        <v>3326</v>
      </c>
      <c r="D3106" s="29" t="s">
        <v>3327</v>
      </c>
      <c r="E3106" s="92">
        <v>357618</v>
      </c>
      <c r="F3106" s="89" t="s">
        <v>5197</v>
      </c>
      <c r="G3106" s="29" t="s">
        <v>8490</v>
      </c>
    </row>
    <row r="3107" spans="1:7">
      <c r="A3107" s="33">
        <v>45022</v>
      </c>
      <c r="B3107" s="29" t="s">
        <v>3329</v>
      </c>
      <c r="C3107" s="29" t="s">
        <v>3330</v>
      </c>
      <c r="D3107" s="29" t="s">
        <v>3331</v>
      </c>
      <c r="E3107" s="92">
        <v>357381</v>
      </c>
      <c r="F3107" s="89" t="s">
        <v>5196</v>
      </c>
      <c r="G3107" s="29" t="s">
        <v>6703</v>
      </c>
    </row>
    <row r="3108" spans="1:7">
      <c r="A3108" s="33">
        <v>45023</v>
      </c>
      <c r="B3108" s="29" t="s">
        <v>3333</v>
      </c>
      <c r="C3108" s="29" t="s">
        <v>3334</v>
      </c>
      <c r="D3108" s="29" t="s">
        <v>3335</v>
      </c>
      <c r="E3108" s="92">
        <v>354704</v>
      </c>
      <c r="F3108" s="89" t="s">
        <v>5195</v>
      </c>
      <c r="G3108" s="29" t="s">
        <v>8388</v>
      </c>
    </row>
    <row r="3109" spans="1:7">
      <c r="A3109" s="33">
        <v>45024</v>
      </c>
      <c r="B3109" s="29" t="s">
        <v>3337</v>
      </c>
      <c r="C3109" s="29" t="s">
        <v>3338</v>
      </c>
      <c r="D3109" s="29" t="s">
        <v>3339</v>
      </c>
      <c r="E3109" s="92">
        <v>352989</v>
      </c>
      <c r="F3109" s="89" t="s">
        <v>9651</v>
      </c>
      <c r="G3109" s="29" t="s">
        <v>9652</v>
      </c>
    </row>
    <row r="3110" spans="1:7">
      <c r="A3110" s="33">
        <v>45025</v>
      </c>
      <c r="B3110" s="29" t="s">
        <v>3341</v>
      </c>
      <c r="C3110" s="29" t="s">
        <v>3342</v>
      </c>
      <c r="D3110" s="29" t="s">
        <v>3343</v>
      </c>
      <c r="E3110" s="92">
        <v>352684</v>
      </c>
      <c r="F3110" s="89" t="s">
        <v>5194</v>
      </c>
      <c r="G3110" s="29" t="s">
        <v>6693</v>
      </c>
    </row>
    <row r="3111" spans="1:7">
      <c r="A3111" s="33">
        <v>45026</v>
      </c>
      <c r="B3111" s="29" t="s">
        <v>3345</v>
      </c>
      <c r="C3111" s="29" t="s">
        <v>3346</v>
      </c>
      <c r="D3111" s="29" t="s">
        <v>3347</v>
      </c>
      <c r="E3111" s="92">
        <v>352542</v>
      </c>
      <c r="F3111" s="89" t="s">
        <v>1408</v>
      </c>
      <c r="G3111" s="29" t="s">
        <v>8512</v>
      </c>
    </row>
    <row r="3112" spans="1:7">
      <c r="A3112" s="33">
        <v>45027</v>
      </c>
      <c r="B3112" s="29" t="s">
        <v>3349</v>
      </c>
      <c r="C3112" s="29" t="s">
        <v>3350</v>
      </c>
      <c r="D3112" s="29" t="s">
        <v>3351</v>
      </c>
      <c r="E3112" s="92">
        <v>352219</v>
      </c>
      <c r="F3112" s="89" t="s">
        <v>5193</v>
      </c>
      <c r="G3112" s="29" t="s">
        <v>9427</v>
      </c>
    </row>
    <row r="3113" spans="1:7">
      <c r="A3113" s="33">
        <v>45028</v>
      </c>
      <c r="B3113" s="29" t="s">
        <v>3353</v>
      </c>
      <c r="C3113" s="29" t="s">
        <v>3354</v>
      </c>
      <c r="D3113" s="29" t="s">
        <v>3355</v>
      </c>
      <c r="E3113" s="92">
        <v>351632</v>
      </c>
      <c r="F3113" s="89" t="s">
        <v>1420</v>
      </c>
      <c r="G3113" s="29" t="s">
        <v>8441</v>
      </c>
    </row>
    <row r="3114" spans="1:7">
      <c r="A3114" s="33">
        <v>45029</v>
      </c>
      <c r="B3114" s="29" t="s">
        <v>3357</v>
      </c>
      <c r="C3114" s="29" t="s">
        <v>3358</v>
      </c>
      <c r="D3114" s="29" t="s">
        <v>3359</v>
      </c>
      <c r="E3114" s="92">
        <v>350848</v>
      </c>
      <c r="F3114" s="89" t="s">
        <v>1448</v>
      </c>
      <c r="G3114" s="29" t="s">
        <v>8612</v>
      </c>
    </row>
    <row r="3115" spans="1:7">
      <c r="A3115" s="33">
        <v>45030</v>
      </c>
      <c r="B3115" s="29" t="s">
        <v>3361</v>
      </c>
      <c r="C3115" s="29" t="s">
        <v>3362</v>
      </c>
      <c r="D3115" s="29" t="s">
        <v>3363</v>
      </c>
      <c r="E3115" s="92">
        <v>350506</v>
      </c>
      <c r="F3115" s="89" t="s">
        <v>5190</v>
      </c>
      <c r="G3115" s="29" t="s">
        <v>8783</v>
      </c>
    </row>
    <row r="3116" spans="1:7">
      <c r="A3116" s="33">
        <v>45031</v>
      </c>
      <c r="B3116" s="29" t="s">
        <v>3365</v>
      </c>
      <c r="C3116" s="29" t="s">
        <v>3366</v>
      </c>
      <c r="D3116" s="29" t="s">
        <v>3367</v>
      </c>
      <c r="E3116" s="92">
        <v>347376</v>
      </c>
      <c r="F3116" s="89" t="s">
        <v>5189</v>
      </c>
      <c r="G3116" s="29" t="s">
        <v>4971</v>
      </c>
    </row>
    <row r="3117" spans="1:7">
      <c r="A3117" s="33">
        <v>45032</v>
      </c>
      <c r="B3117" s="29" t="s">
        <v>3369</v>
      </c>
      <c r="C3117" s="29" t="s">
        <v>3370</v>
      </c>
      <c r="D3117" s="29" t="s">
        <v>3371</v>
      </c>
      <c r="E3117" s="92">
        <v>347271</v>
      </c>
      <c r="F3117" s="89" t="s">
        <v>5188</v>
      </c>
      <c r="G3117" s="29" t="s">
        <v>8991</v>
      </c>
    </row>
    <row r="3118" spans="1:7">
      <c r="A3118" s="33">
        <v>45033</v>
      </c>
      <c r="B3118" s="29" t="s">
        <v>3373</v>
      </c>
      <c r="C3118" s="29" t="s">
        <v>3374</v>
      </c>
      <c r="D3118" s="29" t="s">
        <v>3375</v>
      </c>
      <c r="E3118" s="92">
        <v>346365</v>
      </c>
      <c r="F3118" s="89" t="s">
        <v>5186</v>
      </c>
      <c r="G3118" s="29" t="s">
        <v>8600</v>
      </c>
    </row>
    <row r="3119" spans="1:7">
      <c r="A3119" s="33">
        <v>45034</v>
      </c>
      <c r="B3119" s="29" t="s">
        <v>3377</v>
      </c>
      <c r="C3119" s="29" t="s">
        <v>3378</v>
      </c>
      <c r="D3119" s="29" t="s">
        <v>3379</v>
      </c>
      <c r="E3119" s="92">
        <v>345305</v>
      </c>
      <c r="F3119" s="89" t="s">
        <v>5185</v>
      </c>
      <c r="G3119" s="29" t="s">
        <v>4969</v>
      </c>
    </row>
    <row r="3120" spans="1:7">
      <c r="A3120" s="33">
        <v>45035</v>
      </c>
      <c r="B3120" s="29" t="s">
        <v>3381</v>
      </c>
      <c r="C3120" s="29" t="s">
        <v>3382</v>
      </c>
      <c r="D3120" s="29" t="s">
        <v>3383</v>
      </c>
      <c r="E3120" s="92">
        <v>342415</v>
      </c>
      <c r="F3120" s="89" t="s">
        <v>5184</v>
      </c>
      <c r="G3120" s="29" t="s">
        <v>8485</v>
      </c>
    </row>
    <row r="3121" spans="1:7">
      <c r="A3121" s="33">
        <v>45036</v>
      </c>
      <c r="B3121" s="29" t="s">
        <v>3385</v>
      </c>
      <c r="C3121" s="29" t="s">
        <v>3386</v>
      </c>
      <c r="D3121" s="29" t="s">
        <v>3387</v>
      </c>
      <c r="E3121" s="92">
        <v>339486</v>
      </c>
      <c r="F3121" s="89" t="s">
        <v>5182</v>
      </c>
      <c r="G3121" s="29" t="s">
        <v>8397</v>
      </c>
    </row>
    <row r="3122" spans="1:7">
      <c r="A3122" s="33">
        <v>45037</v>
      </c>
      <c r="B3122" s="29" t="s">
        <v>3389</v>
      </c>
      <c r="C3122" s="29" t="s">
        <v>3390</v>
      </c>
      <c r="D3122" s="29" t="s">
        <v>3391</v>
      </c>
      <c r="E3122" s="92">
        <v>338321</v>
      </c>
      <c r="F3122" s="89" t="s">
        <v>5181</v>
      </c>
      <c r="G3122" s="29" t="s">
        <v>8791</v>
      </c>
    </row>
    <row r="3123" spans="1:7">
      <c r="A3123" s="33">
        <v>45038</v>
      </c>
      <c r="B3123" s="29" t="s">
        <v>9653</v>
      </c>
      <c r="C3123" s="29" t="s">
        <v>4778</v>
      </c>
      <c r="D3123" s="29" t="s">
        <v>9654</v>
      </c>
      <c r="E3123" s="92">
        <v>338152</v>
      </c>
      <c r="F3123" s="89" t="s">
        <v>5179</v>
      </c>
      <c r="G3123" s="29" t="s">
        <v>6733</v>
      </c>
    </row>
    <row r="3124" spans="1:7">
      <c r="A3124" s="33">
        <v>45039</v>
      </c>
      <c r="B3124" s="29" t="s">
        <v>3393</v>
      </c>
      <c r="C3124" s="29" t="s">
        <v>3394</v>
      </c>
      <c r="D3124" s="29" t="s">
        <v>3395</v>
      </c>
      <c r="E3124" s="92">
        <v>336819</v>
      </c>
      <c r="F3124" s="89" t="s">
        <v>5178</v>
      </c>
      <c r="G3124" s="29" t="s">
        <v>6804</v>
      </c>
    </row>
    <row r="3125" spans="1:7">
      <c r="A3125" s="33">
        <v>45040</v>
      </c>
      <c r="B3125" s="29" t="s">
        <v>3397</v>
      </c>
      <c r="C3125" s="29" t="s">
        <v>3398</v>
      </c>
      <c r="D3125" s="29" t="s">
        <v>3399</v>
      </c>
      <c r="E3125" s="92">
        <v>336753</v>
      </c>
      <c r="F3125" s="89" t="s">
        <v>5177</v>
      </c>
      <c r="G3125" s="29" t="s">
        <v>9530</v>
      </c>
    </row>
    <row r="3126" spans="1:7">
      <c r="A3126" s="33">
        <v>45041</v>
      </c>
      <c r="B3126" s="29" t="s">
        <v>3401</v>
      </c>
      <c r="C3126" s="29" t="s">
        <v>3402</v>
      </c>
      <c r="D3126" s="29" t="s">
        <v>3403</v>
      </c>
      <c r="E3126" s="92">
        <v>335591</v>
      </c>
      <c r="F3126" s="89" t="s">
        <v>9655</v>
      </c>
      <c r="G3126" s="29" t="s">
        <v>9530</v>
      </c>
    </row>
    <row r="3127" spans="1:7">
      <c r="A3127" s="33">
        <v>45042</v>
      </c>
      <c r="B3127" s="29" t="s">
        <v>3405</v>
      </c>
      <c r="C3127" s="29" t="s">
        <v>3406</v>
      </c>
      <c r="D3127" s="29" t="s">
        <v>3407</v>
      </c>
      <c r="E3127" s="92">
        <v>335094</v>
      </c>
      <c r="F3127" s="89" t="s">
        <v>1464</v>
      </c>
      <c r="G3127" s="29" t="s">
        <v>9125</v>
      </c>
    </row>
    <row r="3128" spans="1:7">
      <c r="A3128" s="33">
        <v>45043</v>
      </c>
      <c r="B3128" s="29" t="s">
        <v>3409</v>
      </c>
      <c r="C3128" s="29" t="s">
        <v>3410</v>
      </c>
      <c r="D3128" s="29" t="s">
        <v>3411</v>
      </c>
      <c r="E3128" s="92">
        <v>334572</v>
      </c>
      <c r="F3128" s="89" t="s">
        <v>5175</v>
      </c>
      <c r="G3128" s="29" t="s">
        <v>9249</v>
      </c>
    </row>
    <row r="3129" spans="1:7">
      <c r="A3129" s="33">
        <v>45044</v>
      </c>
      <c r="B3129" s="29" t="s">
        <v>3413</v>
      </c>
      <c r="C3129" s="29" t="s">
        <v>3414</v>
      </c>
      <c r="D3129" s="29" t="s">
        <v>3415</v>
      </c>
      <c r="E3129" s="92">
        <v>332906</v>
      </c>
      <c r="F3129" s="89" t="s">
        <v>5174</v>
      </c>
      <c r="G3129" s="29" t="s">
        <v>8612</v>
      </c>
    </row>
    <row r="3130" spans="1:7">
      <c r="A3130" s="33">
        <v>45045</v>
      </c>
      <c r="B3130" s="29" t="s">
        <v>3417</v>
      </c>
      <c r="C3130" s="29" t="s">
        <v>3418</v>
      </c>
      <c r="D3130" s="29" t="s">
        <v>3419</v>
      </c>
      <c r="E3130" s="92">
        <v>331886</v>
      </c>
      <c r="F3130" s="89" t="s">
        <v>1432</v>
      </c>
      <c r="G3130" s="29" t="s">
        <v>4980</v>
      </c>
    </row>
    <row r="3131" spans="1:7">
      <c r="A3131" s="33">
        <v>45046</v>
      </c>
      <c r="B3131" s="29" t="s">
        <v>3421</v>
      </c>
      <c r="C3131" s="29" t="s">
        <v>3422</v>
      </c>
      <c r="D3131" s="29" t="s">
        <v>3423</v>
      </c>
      <c r="E3131" s="92">
        <v>330751</v>
      </c>
      <c r="F3131" s="89" t="s">
        <v>5173</v>
      </c>
      <c r="G3131" s="29" t="s">
        <v>4955</v>
      </c>
    </row>
    <row r="3132" spans="1:7">
      <c r="A3132" s="33">
        <v>45047</v>
      </c>
      <c r="B3132" s="29" t="s">
        <v>9656</v>
      </c>
      <c r="C3132" s="29" t="s">
        <v>9657</v>
      </c>
      <c r="D3132" s="29" t="s">
        <v>9658</v>
      </c>
      <c r="E3132" s="92">
        <v>330492</v>
      </c>
      <c r="F3132" s="89" t="s">
        <v>5172</v>
      </c>
      <c r="G3132" s="29" t="s">
        <v>8441</v>
      </c>
    </row>
    <row r="3133" spans="1:7">
      <c r="A3133" s="33">
        <v>45048</v>
      </c>
      <c r="B3133" s="29" t="s">
        <v>3425</v>
      </c>
      <c r="C3133" s="29" t="s">
        <v>3426</v>
      </c>
      <c r="D3133" s="29" t="s">
        <v>3427</v>
      </c>
      <c r="E3133" s="92">
        <v>329956</v>
      </c>
      <c r="F3133" s="89" t="s">
        <v>5171</v>
      </c>
      <c r="G3133" s="29" t="s">
        <v>8758</v>
      </c>
    </row>
    <row r="3134" spans="1:7">
      <c r="A3134" s="33">
        <v>45049</v>
      </c>
      <c r="B3134" s="29" t="s">
        <v>3429</v>
      </c>
      <c r="C3134" s="29" t="s">
        <v>3430</v>
      </c>
      <c r="D3134" s="29" t="s">
        <v>3431</v>
      </c>
      <c r="E3134" s="92">
        <v>328866</v>
      </c>
      <c r="F3134" s="89" t="s">
        <v>5167</v>
      </c>
      <c r="G3134" s="29" t="s">
        <v>8787</v>
      </c>
    </row>
    <row r="3135" spans="1:7">
      <c r="A3135" s="33">
        <v>45050</v>
      </c>
      <c r="B3135" s="29" t="s">
        <v>3433</v>
      </c>
      <c r="C3135" s="29" t="s">
        <v>3434</v>
      </c>
      <c r="D3135" s="29" t="s">
        <v>3435</v>
      </c>
      <c r="E3135" s="92">
        <v>328206</v>
      </c>
      <c r="F3135" s="89" t="s">
        <v>5165</v>
      </c>
      <c r="G3135" s="29" t="s">
        <v>8411</v>
      </c>
    </row>
    <row r="3136" spans="1:7">
      <c r="A3136" s="33">
        <v>45051</v>
      </c>
      <c r="B3136" s="29" t="s">
        <v>3437</v>
      </c>
      <c r="C3136" s="29" t="s">
        <v>3438</v>
      </c>
      <c r="D3136" s="29" t="s">
        <v>3439</v>
      </c>
      <c r="E3136" s="92">
        <v>328015</v>
      </c>
      <c r="F3136" s="89" t="s">
        <v>1460</v>
      </c>
      <c r="G3136" s="29" t="s">
        <v>8600</v>
      </c>
    </row>
    <row r="3137" spans="1:7">
      <c r="A3137" s="33">
        <v>45052</v>
      </c>
      <c r="B3137" s="29" t="s">
        <v>3441</v>
      </c>
      <c r="C3137" s="29" t="s">
        <v>3442</v>
      </c>
      <c r="D3137" s="29" t="s">
        <v>3443</v>
      </c>
      <c r="E3137" s="92">
        <v>327924</v>
      </c>
      <c r="F3137" s="89" t="s">
        <v>5164</v>
      </c>
      <c r="G3137" s="29" t="s">
        <v>6783</v>
      </c>
    </row>
    <row r="3138" spans="1:7">
      <c r="A3138" s="33">
        <v>45053</v>
      </c>
      <c r="B3138" s="29" t="s">
        <v>9659</v>
      </c>
      <c r="C3138" s="29" t="s">
        <v>9660</v>
      </c>
      <c r="D3138" s="29" t="s">
        <v>9661</v>
      </c>
      <c r="E3138" s="92">
        <v>326927</v>
      </c>
      <c r="F3138" s="89" t="s">
        <v>5163</v>
      </c>
      <c r="G3138" s="29" t="s">
        <v>9662</v>
      </c>
    </row>
    <row r="3139" spans="1:7">
      <c r="A3139" s="33">
        <v>45054</v>
      </c>
      <c r="B3139" s="29" t="s">
        <v>3445</v>
      </c>
      <c r="C3139" s="29" t="s">
        <v>3446</v>
      </c>
      <c r="D3139" s="29" t="s">
        <v>3447</v>
      </c>
      <c r="E3139" s="92">
        <v>326149</v>
      </c>
      <c r="F3139" s="89" t="s">
        <v>731</v>
      </c>
      <c r="G3139" s="29" t="s">
        <v>8787</v>
      </c>
    </row>
    <row r="3140" spans="1:7">
      <c r="A3140" s="33">
        <v>45055</v>
      </c>
      <c r="B3140" s="29" t="s">
        <v>3449</v>
      </c>
      <c r="C3140" s="29" t="s">
        <v>3450</v>
      </c>
      <c r="D3140" s="29" t="s">
        <v>3451</v>
      </c>
      <c r="E3140" s="92">
        <v>325892</v>
      </c>
      <c r="F3140" s="89" t="s">
        <v>5162</v>
      </c>
      <c r="G3140" s="29" t="s">
        <v>8725</v>
      </c>
    </row>
    <row r="3141" spans="1:7">
      <c r="A3141" s="33">
        <v>45056</v>
      </c>
      <c r="B3141" s="29" t="s">
        <v>3453</v>
      </c>
      <c r="C3141" s="29" t="s">
        <v>3454</v>
      </c>
      <c r="D3141" s="29" t="s">
        <v>3455</v>
      </c>
      <c r="E3141" s="92">
        <v>325749</v>
      </c>
      <c r="F3141" s="89" t="s">
        <v>1470</v>
      </c>
      <c r="G3141" s="29" t="s">
        <v>8586</v>
      </c>
    </row>
    <row r="3142" spans="1:7">
      <c r="A3142" s="33">
        <v>45057</v>
      </c>
      <c r="B3142" s="29" t="s">
        <v>3457</v>
      </c>
      <c r="C3142" s="29" t="s">
        <v>3458</v>
      </c>
      <c r="D3142" s="29" t="s">
        <v>3459</v>
      </c>
      <c r="E3142" s="92">
        <v>325431</v>
      </c>
      <c r="F3142" s="89" t="s">
        <v>5160</v>
      </c>
      <c r="G3142" s="29" t="s">
        <v>6790</v>
      </c>
    </row>
    <row r="3143" spans="1:7">
      <c r="A3143" s="33">
        <v>45058</v>
      </c>
      <c r="B3143" s="29" t="s">
        <v>3461</v>
      </c>
      <c r="C3143" s="29" t="s">
        <v>3462</v>
      </c>
      <c r="D3143" s="29" t="s">
        <v>3463</v>
      </c>
      <c r="E3143" s="92">
        <v>324536</v>
      </c>
      <c r="F3143" s="89" t="s">
        <v>5159</v>
      </c>
      <c r="G3143" s="29" t="s">
        <v>8512</v>
      </c>
    </row>
    <row r="3144" spans="1:7">
      <c r="A3144" s="33">
        <v>45059</v>
      </c>
      <c r="B3144" s="29" t="s">
        <v>9663</v>
      </c>
      <c r="C3144" s="29" t="s">
        <v>9664</v>
      </c>
      <c r="D3144" s="29" t="s">
        <v>9665</v>
      </c>
      <c r="E3144" s="92">
        <v>323046</v>
      </c>
      <c r="F3144" s="89" t="s">
        <v>5158</v>
      </c>
      <c r="G3144" s="35">
        <v>10000000000</v>
      </c>
    </row>
    <row r="3145" spans="1:7">
      <c r="A3145" s="33">
        <v>45060</v>
      </c>
      <c r="B3145" s="29" t="s">
        <v>3465</v>
      </c>
      <c r="C3145" s="29" t="s">
        <v>3466</v>
      </c>
      <c r="D3145" s="29" t="s">
        <v>3467</v>
      </c>
      <c r="E3145" s="92">
        <v>322534</v>
      </c>
      <c r="F3145" s="89" t="s">
        <v>727</v>
      </c>
      <c r="G3145" s="35">
        <v>10000000000</v>
      </c>
    </row>
    <row r="3146" spans="1:7">
      <c r="A3146" s="33">
        <v>45061</v>
      </c>
      <c r="B3146" s="29" t="s">
        <v>3469</v>
      </c>
      <c r="C3146" s="29" t="s">
        <v>3470</v>
      </c>
      <c r="D3146" s="29" t="s">
        <v>3471</v>
      </c>
      <c r="E3146" s="92">
        <v>322022</v>
      </c>
      <c r="F3146" s="89" t="s">
        <v>5157</v>
      </c>
      <c r="G3146" s="29" t="s">
        <v>9634</v>
      </c>
    </row>
    <row r="3147" spans="1:7">
      <c r="A3147" s="33">
        <v>45062</v>
      </c>
      <c r="B3147" s="29" t="s">
        <v>3473</v>
      </c>
      <c r="C3147" s="29" t="s">
        <v>3474</v>
      </c>
      <c r="D3147" s="29" t="s">
        <v>3475</v>
      </c>
      <c r="E3147" s="92">
        <v>320843</v>
      </c>
      <c r="F3147" s="89" t="s">
        <v>1498</v>
      </c>
      <c r="G3147" s="29" t="s">
        <v>4943</v>
      </c>
    </row>
    <row r="3148" spans="1:7">
      <c r="A3148" s="33">
        <v>45063</v>
      </c>
      <c r="B3148" s="29" t="s">
        <v>3477</v>
      </c>
      <c r="C3148" s="29" t="s">
        <v>3478</v>
      </c>
      <c r="D3148" s="29" t="s">
        <v>3479</v>
      </c>
      <c r="E3148" s="92">
        <v>320193</v>
      </c>
      <c r="F3148" s="89" t="s">
        <v>5156</v>
      </c>
      <c r="G3148" s="29" t="s">
        <v>8666</v>
      </c>
    </row>
    <row r="3149" spans="1:7">
      <c r="A3149" s="33">
        <v>45064</v>
      </c>
      <c r="B3149" s="29" t="s">
        <v>3481</v>
      </c>
      <c r="C3149" s="29" t="s">
        <v>3482</v>
      </c>
      <c r="D3149" s="29" t="s">
        <v>3483</v>
      </c>
      <c r="E3149" s="92">
        <v>320166</v>
      </c>
      <c r="F3149" s="89" t="s">
        <v>5155</v>
      </c>
      <c r="G3149" s="29" t="s">
        <v>4949</v>
      </c>
    </row>
    <row r="3150" spans="1:7">
      <c r="A3150" s="33">
        <v>45065</v>
      </c>
      <c r="B3150" s="29" t="s">
        <v>3485</v>
      </c>
      <c r="C3150" s="29" t="s">
        <v>3486</v>
      </c>
      <c r="D3150" s="29" t="s">
        <v>3487</v>
      </c>
      <c r="E3150" s="92">
        <v>320046</v>
      </c>
      <c r="F3150" s="89" t="s">
        <v>5154</v>
      </c>
      <c r="G3150" s="29" t="s">
        <v>9662</v>
      </c>
    </row>
    <row r="3151" spans="1:7">
      <c r="A3151" s="33">
        <v>45066</v>
      </c>
      <c r="B3151" s="29" t="s">
        <v>3489</v>
      </c>
      <c r="C3151" s="29" t="s">
        <v>3490</v>
      </c>
      <c r="D3151" s="29" t="s">
        <v>3491</v>
      </c>
      <c r="E3151" s="92">
        <v>319776</v>
      </c>
      <c r="F3151" s="89" t="s">
        <v>5153</v>
      </c>
      <c r="G3151" s="29" t="s">
        <v>8134</v>
      </c>
    </row>
    <row r="3152" spans="1:7">
      <c r="A3152" s="33">
        <v>45067</v>
      </c>
      <c r="B3152" s="29" t="s">
        <v>3493</v>
      </c>
      <c r="C3152" s="29" t="s">
        <v>3494</v>
      </c>
      <c r="D3152" s="29" t="s">
        <v>3495</v>
      </c>
      <c r="E3152" s="92">
        <v>319008</v>
      </c>
      <c r="F3152" s="89" t="s">
        <v>5152</v>
      </c>
      <c r="G3152" s="29" t="s">
        <v>9666</v>
      </c>
    </row>
    <row r="3153" spans="1:7">
      <c r="A3153" s="33">
        <v>45068</v>
      </c>
      <c r="B3153" s="29" t="s">
        <v>3497</v>
      </c>
      <c r="C3153" s="29" t="s">
        <v>3498</v>
      </c>
      <c r="D3153" s="29" t="s">
        <v>3499</v>
      </c>
      <c r="E3153" s="92">
        <v>317843</v>
      </c>
      <c r="F3153" s="89" t="s">
        <v>5150</v>
      </c>
      <c r="G3153" s="29" t="s">
        <v>6808</v>
      </c>
    </row>
    <row r="3154" spans="1:7">
      <c r="A3154" s="33">
        <v>45069</v>
      </c>
      <c r="B3154" s="29" t="s">
        <v>3501</v>
      </c>
      <c r="C3154" s="29" t="s">
        <v>3502</v>
      </c>
      <c r="D3154" s="29" t="s">
        <v>3503</v>
      </c>
      <c r="E3154" s="92">
        <v>317239</v>
      </c>
      <c r="F3154" s="89" t="s">
        <v>5148</v>
      </c>
      <c r="G3154" s="29" t="s">
        <v>8415</v>
      </c>
    </row>
    <row r="3155" spans="1:7">
      <c r="A3155" s="33">
        <v>45070</v>
      </c>
      <c r="B3155" s="29" t="s">
        <v>3505</v>
      </c>
      <c r="C3155" s="29" t="s">
        <v>3505</v>
      </c>
      <c r="D3155" s="29" t="s">
        <v>3506</v>
      </c>
      <c r="E3155" s="92">
        <v>315863</v>
      </c>
      <c r="F3155" s="89" t="s">
        <v>5147</v>
      </c>
      <c r="G3155" s="29" t="s">
        <v>8598</v>
      </c>
    </row>
    <row r="3156" spans="1:7">
      <c r="A3156" s="33">
        <v>45071</v>
      </c>
      <c r="B3156" s="29" t="s">
        <v>3508</v>
      </c>
      <c r="C3156" s="29" t="s">
        <v>3509</v>
      </c>
      <c r="D3156" s="29" t="s">
        <v>3510</v>
      </c>
      <c r="E3156" s="92">
        <v>315032</v>
      </c>
      <c r="F3156" s="89" t="s">
        <v>5146</v>
      </c>
      <c r="G3156" s="29" t="s">
        <v>6685</v>
      </c>
    </row>
    <row r="3157" spans="1:7">
      <c r="A3157" s="33">
        <v>45112</v>
      </c>
      <c r="B3157" s="29" t="s">
        <v>3656</v>
      </c>
      <c r="C3157" s="29" t="s">
        <v>3657</v>
      </c>
      <c r="D3157" s="29" t="s">
        <v>3658</v>
      </c>
      <c r="E3157" s="92">
        <v>314249</v>
      </c>
      <c r="F3157" s="89" t="s">
        <v>5145</v>
      </c>
      <c r="G3157" s="29" t="s">
        <v>6746</v>
      </c>
    </row>
    <row r="3158" spans="1:7">
      <c r="A3158" s="33">
        <v>45113</v>
      </c>
      <c r="B3158" s="29" t="s">
        <v>3660</v>
      </c>
      <c r="C3158" s="29" t="s">
        <v>3661</v>
      </c>
      <c r="D3158" s="29" t="s">
        <v>3662</v>
      </c>
      <c r="E3158" s="92">
        <v>314166</v>
      </c>
      <c r="F3158" s="89" t="s">
        <v>5144</v>
      </c>
      <c r="G3158" s="29" t="s">
        <v>6682</v>
      </c>
    </row>
    <row r="3159" spans="1:7">
      <c r="A3159" s="33">
        <v>45114</v>
      </c>
      <c r="B3159" s="29">
        <v>29908</v>
      </c>
      <c r="C3159" s="29" t="s">
        <v>3665</v>
      </c>
      <c r="D3159" s="29" t="s">
        <v>3666</v>
      </c>
      <c r="E3159" s="92">
        <v>313855</v>
      </c>
      <c r="F3159" s="89" t="s">
        <v>5143</v>
      </c>
      <c r="G3159" s="29" t="s">
        <v>6689</v>
      </c>
    </row>
    <row r="3160" spans="1:7">
      <c r="A3160" s="33">
        <v>45115</v>
      </c>
      <c r="B3160" s="29" t="s">
        <v>3668</v>
      </c>
      <c r="C3160" s="29" t="s">
        <v>3669</v>
      </c>
      <c r="D3160" s="29" t="s">
        <v>3670</v>
      </c>
      <c r="E3160" s="92">
        <v>311396</v>
      </c>
      <c r="F3160" s="89" t="s">
        <v>5141</v>
      </c>
      <c r="G3160" s="29" t="s">
        <v>9667</v>
      </c>
    </row>
    <row r="3161" spans="1:7">
      <c r="A3161" s="33">
        <v>45116</v>
      </c>
      <c r="B3161" s="29" t="s">
        <v>3672</v>
      </c>
      <c r="C3161" s="29" t="s">
        <v>3673</v>
      </c>
      <c r="D3161" s="29" t="s">
        <v>3674</v>
      </c>
      <c r="E3161" s="92">
        <v>311084</v>
      </c>
      <c r="F3161" s="89" t="s">
        <v>5139</v>
      </c>
      <c r="G3161" s="29" t="s">
        <v>9668</v>
      </c>
    </row>
    <row r="3162" spans="1:7">
      <c r="A3162" s="33">
        <v>45117</v>
      </c>
      <c r="B3162" s="29" t="s">
        <v>3676</v>
      </c>
      <c r="C3162" s="29" t="s">
        <v>3677</v>
      </c>
      <c r="D3162" s="29" t="s">
        <v>3678</v>
      </c>
      <c r="E3162" s="92">
        <v>310867</v>
      </c>
      <c r="F3162" s="89" t="s">
        <v>5138</v>
      </c>
      <c r="G3162" s="29" t="s">
        <v>4957</v>
      </c>
    </row>
    <row r="3163" spans="1:7">
      <c r="A3163" s="33">
        <v>45118</v>
      </c>
      <c r="B3163" s="29" t="s">
        <v>3680</v>
      </c>
      <c r="C3163" s="29" t="s">
        <v>3681</v>
      </c>
      <c r="D3163" s="29" t="s">
        <v>3682</v>
      </c>
      <c r="E3163" s="92">
        <v>310737</v>
      </c>
      <c r="F3163" s="89" t="s">
        <v>5136</v>
      </c>
      <c r="G3163" s="29" t="s">
        <v>6693</v>
      </c>
    </row>
    <row r="3164" spans="1:7">
      <c r="A3164" s="33">
        <v>45119</v>
      </c>
      <c r="B3164" s="29" t="s">
        <v>3684</v>
      </c>
      <c r="C3164" s="29" t="s">
        <v>3685</v>
      </c>
      <c r="D3164" s="29" t="s">
        <v>3686</v>
      </c>
      <c r="E3164" s="92">
        <v>304618</v>
      </c>
      <c r="F3164" s="89" t="s">
        <v>5134</v>
      </c>
      <c r="G3164" s="29" t="s">
        <v>4957</v>
      </c>
    </row>
    <row r="3165" spans="1:7">
      <c r="A3165" s="33">
        <v>45120</v>
      </c>
      <c r="B3165" s="29" t="s">
        <v>3688</v>
      </c>
      <c r="C3165" s="29" t="s">
        <v>3689</v>
      </c>
      <c r="D3165" s="29" t="s">
        <v>3690</v>
      </c>
      <c r="E3165" s="92">
        <v>296379</v>
      </c>
      <c r="F3165" s="89" t="s">
        <v>5133</v>
      </c>
      <c r="G3165" s="29" t="s">
        <v>8978</v>
      </c>
    </row>
    <row r="3166" spans="1:7">
      <c r="A3166" s="33">
        <v>45121</v>
      </c>
      <c r="B3166" s="29" t="s">
        <v>3692</v>
      </c>
      <c r="C3166" s="29" t="s">
        <v>3693</v>
      </c>
      <c r="D3166" s="29" t="s">
        <v>3694</v>
      </c>
      <c r="E3166" s="92">
        <v>294427</v>
      </c>
      <c r="F3166" s="89" t="s">
        <v>1486</v>
      </c>
      <c r="G3166" s="29" t="s">
        <v>9431</v>
      </c>
    </row>
    <row r="3167" spans="1:7">
      <c r="A3167" s="33">
        <v>45122</v>
      </c>
      <c r="B3167" s="29" t="s">
        <v>9669</v>
      </c>
      <c r="C3167" s="29" t="s">
        <v>9670</v>
      </c>
      <c r="D3167" s="29" t="s">
        <v>9671</v>
      </c>
      <c r="E3167" s="92">
        <v>294337</v>
      </c>
      <c r="F3167" s="89" t="s">
        <v>5132</v>
      </c>
      <c r="G3167" s="29" t="s">
        <v>9672</v>
      </c>
    </row>
    <row r="3168" spans="1:7">
      <c r="A3168" s="33">
        <v>45123</v>
      </c>
      <c r="B3168" s="29" t="s">
        <v>3696</v>
      </c>
      <c r="C3168" s="29" t="s">
        <v>3697</v>
      </c>
      <c r="D3168" s="29" t="s">
        <v>3698</v>
      </c>
      <c r="E3168" s="92">
        <v>293788</v>
      </c>
      <c r="F3168" s="89" t="s">
        <v>5130</v>
      </c>
      <c r="G3168" s="29" t="s">
        <v>9673</v>
      </c>
    </row>
    <row r="3169" spans="1:7">
      <c r="A3169" s="33">
        <v>45124</v>
      </c>
      <c r="B3169" s="29" t="s">
        <v>3700</v>
      </c>
      <c r="C3169" s="29" t="s">
        <v>3701</v>
      </c>
      <c r="D3169" s="29" t="s">
        <v>3702</v>
      </c>
      <c r="E3169" s="92">
        <v>293624</v>
      </c>
      <c r="F3169" s="89" t="s">
        <v>1412</v>
      </c>
      <c r="G3169" s="29" t="s">
        <v>8427</v>
      </c>
    </row>
    <row r="3170" spans="1:7">
      <c r="A3170" s="33">
        <v>45125</v>
      </c>
      <c r="B3170" s="29" t="s">
        <v>3704</v>
      </c>
      <c r="C3170" s="29" t="s">
        <v>3705</v>
      </c>
      <c r="D3170" s="29" t="s">
        <v>3706</v>
      </c>
      <c r="E3170" s="92">
        <v>293115</v>
      </c>
      <c r="F3170" s="89" t="s">
        <v>5127</v>
      </c>
      <c r="G3170" s="29" t="s">
        <v>6733</v>
      </c>
    </row>
    <row r="3171" spans="1:7">
      <c r="A3171" s="33">
        <v>45126</v>
      </c>
      <c r="B3171" s="29" t="s">
        <v>3708</v>
      </c>
      <c r="C3171" s="29" t="s">
        <v>3709</v>
      </c>
      <c r="D3171" s="29" t="s">
        <v>3710</v>
      </c>
      <c r="E3171" s="92">
        <v>292686</v>
      </c>
      <c r="F3171" s="89" t="s">
        <v>1490</v>
      </c>
      <c r="G3171" s="29" t="s">
        <v>6757</v>
      </c>
    </row>
    <row r="3172" spans="1:7">
      <c r="A3172" s="33">
        <v>45127</v>
      </c>
      <c r="B3172" s="29" t="s">
        <v>3712</v>
      </c>
      <c r="C3172" s="29" t="s">
        <v>3713</v>
      </c>
      <c r="D3172" s="29" t="s">
        <v>3714</v>
      </c>
      <c r="E3172" s="92">
        <v>292054</v>
      </c>
      <c r="F3172" s="89" t="s">
        <v>5126</v>
      </c>
      <c r="G3172" s="29" t="s">
        <v>4778</v>
      </c>
    </row>
    <row r="3173" spans="1:7">
      <c r="A3173" s="33">
        <v>45128</v>
      </c>
      <c r="B3173" s="29" t="s">
        <v>3716</v>
      </c>
      <c r="C3173" s="29">
        <v>30046</v>
      </c>
      <c r="D3173" s="29" t="s">
        <v>3718</v>
      </c>
      <c r="E3173" s="92">
        <v>290593</v>
      </c>
      <c r="F3173" s="89" t="s">
        <v>5125</v>
      </c>
      <c r="G3173" s="29" t="s">
        <v>4973</v>
      </c>
    </row>
    <row r="3174" spans="1:7">
      <c r="A3174" s="33">
        <v>45129</v>
      </c>
      <c r="B3174" s="29" t="s">
        <v>3720</v>
      </c>
      <c r="C3174" s="29" t="s">
        <v>3721</v>
      </c>
      <c r="D3174" s="29" t="s">
        <v>3722</v>
      </c>
      <c r="E3174" s="92">
        <v>290408</v>
      </c>
      <c r="F3174" s="89" t="s">
        <v>5123</v>
      </c>
      <c r="G3174" s="29" t="s">
        <v>9674</v>
      </c>
    </row>
    <row r="3175" spans="1:7">
      <c r="A3175" s="33">
        <v>45130</v>
      </c>
      <c r="B3175" s="29" t="s">
        <v>3724</v>
      </c>
      <c r="C3175" s="29" t="s">
        <v>3725</v>
      </c>
      <c r="D3175" s="29" t="s">
        <v>3726</v>
      </c>
      <c r="E3175" s="92">
        <v>289607</v>
      </c>
      <c r="F3175" s="89" t="s">
        <v>5122</v>
      </c>
      <c r="G3175" s="29" t="s">
        <v>4778</v>
      </c>
    </row>
    <row r="3176" spans="1:7">
      <c r="A3176" s="33">
        <v>45131</v>
      </c>
      <c r="B3176" s="29" t="s">
        <v>3728</v>
      </c>
      <c r="C3176" s="29" t="s">
        <v>3729</v>
      </c>
      <c r="D3176" s="29" t="s">
        <v>3730</v>
      </c>
      <c r="E3176" s="92">
        <v>288697</v>
      </c>
      <c r="F3176" s="89" t="s">
        <v>5120</v>
      </c>
      <c r="G3176" s="29" t="s">
        <v>8616</v>
      </c>
    </row>
    <row r="3177" spans="1:7">
      <c r="A3177" s="33">
        <v>45132</v>
      </c>
      <c r="B3177" s="29" t="s">
        <v>3732</v>
      </c>
      <c r="C3177" s="29" t="s">
        <v>3733</v>
      </c>
      <c r="D3177" s="29" t="s">
        <v>3734</v>
      </c>
      <c r="E3177" s="92">
        <v>288278</v>
      </c>
      <c r="F3177" s="89" t="s">
        <v>5119</v>
      </c>
      <c r="G3177" s="29" t="s">
        <v>6760</v>
      </c>
    </row>
    <row r="3178" spans="1:7">
      <c r="A3178" s="33">
        <v>45133</v>
      </c>
      <c r="B3178" s="29" t="s">
        <v>3736</v>
      </c>
      <c r="C3178" s="29" t="s">
        <v>3737</v>
      </c>
      <c r="D3178" s="29" t="s">
        <v>3738</v>
      </c>
      <c r="E3178" s="92">
        <v>287722</v>
      </c>
      <c r="F3178" s="89" t="s">
        <v>5118</v>
      </c>
      <c r="G3178" s="29" t="s">
        <v>6741</v>
      </c>
    </row>
    <row r="3179" spans="1:7">
      <c r="A3179" s="33">
        <v>45134</v>
      </c>
      <c r="B3179" s="29" t="s">
        <v>3740</v>
      </c>
      <c r="C3179" s="29" t="s">
        <v>3741</v>
      </c>
      <c r="D3179" s="29" t="s">
        <v>3742</v>
      </c>
      <c r="E3179" s="92">
        <v>287464</v>
      </c>
      <c r="F3179" s="89" t="s">
        <v>5117</v>
      </c>
      <c r="G3179" s="29" t="s">
        <v>8334</v>
      </c>
    </row>
    <row r="3180" spans="1:7">
      <c r="A3180" s="33">
        <v>45135</v>
      </c>
      <c r="B3180" s="29" t="s">
        <v>3744</v>
      </c>
      <c r="C3180" s="29" t="s">
        <v>3745</v>
      </c>
      <c r="D3180" s="29" t="s">
        <v>3746</v>
      </c>
      <c r="E3180" s="92">
        <v>286393</v>
      </c>
      <c r="F3180" s="89" t="s">
        <v>5116</v>
      </c>
      <c r="G3180" s="29" t="s">
        <v>9632</v>
      </c>
    </row>
    <row r="3181" spans="1:7">
      <c r="A3181" s="33">
        <v>45136</v>
      </c>
      <c r="B3181" s="29" t="s">
        <v>3748</v>
      </c>
      <c r="C3181" s="29" t="s">
        <v>3749</v>
      </c>
      <c r="D3181" s="29" t="s">
        <v>3750</v>
      </c>
      <c r="E3181" s="92">
        <v>286189</v>
      </c>
      <c r="F3181" s="89" t="s">
        <v>5115</v>
      </c>
      <c r="G3181" s="29" t="s">
        <v>8165</v>
      </c>
    </row>
    <row r="3182" spans="1:7">
      <c r="A3182" s="33">
        <v>45137</v>
      </c>
      <c r="B3182" s="29" t="s">
        <v>3752</v>
      </c>
      <c r="C3182" s="29" t="s">
        <v>3753</v>
      </c>
      <c r="D3182" s="29" t="s">
        <v>3754</v>
      </c>
      <c r="E3182" s="92">
        <v>285829</v>
      </c>
      <c r="F3182" s="89" t="s">
        <v>5114</v>
      </c>
      <c r="G3182" s="29" t="s">
        <v>9675</v>
      </c>
    </row>
    <row r="3183" spans="1:7">
      <c r="A3183" s="33">
        <v>45138</v>
      </c>
      <c r="B3183" s="29" t="s">
        <v>3756</v>
      </c>
      <c r="C3183" s="29" t="s">
        <v>3757</v>
      </c>
      <c r="D3183" s="29" t="s">
        <v>3758</v>
      </c>
      <c r="E3183" s="92">
        <v>285505</v>
      </c>
      <c r="F3183" s="89" t="s">
        <v>5113</v>
      </c>
      <c r="G3183" s="29" t="s">
        <v>4982</v>
      </c>
    </row>
    <row r="3184" spans="1:7">
      <c r="A3184" s="33">
        <v>45139</v>
      </c>
      <c r="B3184" s="29" t="s">
        <v>3760</v>
      </c>
      <c r="C3184" s="29" t="s">
        <v>3761</v>
      </c>
      <c r="D3184" s="29" t="s">
        <v>3762</v>
      </c>
      <c r="E3184" s="92">
        <v>285337</v>
      </c>
      <c r="F3184" s="89" t="s">
        <v>5112</v>
      </c>
      <c r="G3184" s="29" t="s">
        <v>4778</v>
      </c>
    </row>
    <row r="3185" spans="1:7">
      <c r="A3185" s="33">
        <v>45140</v>
      </c>
      <c r="B3185" s="29" t="s">
        <v>3763</v>
      </c>
      <c r="C3185" s="29">
        <v>29988</v>
      </c>
      <c r="D3185" s="29" t="s">
        <v>3765</v>
      </c>
      <c r="E3185" s="92">
        <v>285218</v>
      </c>
      <c r="F3185" s="89" t="s">
        <v>5111</v>
      </c>
      <c r="G3185" s="29" t="s">
        <v>9513</v>
      </c>
    </row>
    <row r="3186" spans="1:7">
      <c r="A3186" s="33">
        <v>45141</v>
      </c>
      <c r="B3186" s="29" t="s">
        <v>9676</v>
      </c>
      <c r="C3186" s="29" t="s">
        <v>9677</v>
      </c>
      <c r="D3186" s="29" t="s">
        <v>9678</v>
      </c>
      <c r="E3186" s="92">
        <v>284894</v>
      </c>
      <c r="F3186" s="89" t="s">
        <v>5110</v>
      </c>
      <c r="G3186" s="29" t="s">
        <v>6804</v>
      </c>
    </row>
    <row r="3187" spans="1:7">
      <c r="A3187" s="33">
        <v>45142</v>
      </c>
      <c r="B3187" s="29" t="s">
        <v>3767</v>
      </c>
      <c r="C3187" s="29" t="s">
        <v>3768</v>
      </c>
      <c r="D3187" s="29" t="s">
        <v>3769</v>
      </c>
      <c r="E3187" s="92">
        <v>283349</v>
      </c>
      <c r="F3187" s="89" t="s">
        <v>5109</v>
      </c>
      <c r="G3187" s="29" t="s">
        <v>8733</v>
      </c>
    </row>
    <row r="3188" spans="1:7">
      <c r="A3188" s="33">
        <v>45143</v>
      </c>
      <c r="B3188" s="29" t="s">
        <v>3771</v>
      </c>
      <c r="C3188" s="29" t="s">
        <v>3772</v>
      </c>
      <c r="D3188" s="29" t="s">
        <v>3773</v>
      </c>
      <c r="E3188" s="92">
        <v>282614</v>
      </c>
      <c r="F3188" s="89" t="s">
        <v>5108</v>
      </c>
      <c r="G3188" s="29" t="s">
        <v>9679</v>
      </c>
    </row>
    <row r="3189" spans="1:7">
      <c r="A3189" s="33">
        <v>45144</v>
      </c>
      <c r="B3189" s="29" t="s">
        <v>3775</v>
      </c>
      <c r="C3189" s="29" t="s">
        <v>3776</v>
      </c>
      <c r="D3189" s="29" t="s">
        <v>3777</v>
      </c>
      <c r="E3189" s="92">
        <v>281885</v>
      </c>
      <c r="F3189" s="89" t="s">
        <v>5106</v>
      </c>
      <c r="G3189" s="29" t="s">
        <v>9680</v>
      </c>
    </row>
    <row r="3190" spans="1:7">
      <c r="A3190" s="33">
        <v>45145</v>
      </c>
      <c r="B3190" s="29" t="s">
        <v>3779</v>
      </c>
      <c r="C3190" s="29" t="s">
        <v>3780</v>
      </c>
      <c r="D3190" s="29" t="s">
        <v>3781</v>
      </c>
      <c r="E3190" s="92">
        <v>281882</v>
      </c>
      <c r="F3190" s="89" t="s">
        <v>5104</v>
      </c>
      <c r="G3190" s="29" t="s">
        <v>8643</v>
      </c>
    </row>
    <row r="3191" spans="1:7">
      <c r="A3191" s="33">
        <v>45146</v>
      </c>
      <c r="B3191" s="29" t="s">
        <v>3783</v>
      </c>
      <c r="C3191" s="29" t="s">
        <v>3784</v>
      </c>
      <c r="D3191" s="29" t="s">
        <v>3785</v>
      </c>
      <c r="E3191" s="92">
        <v>281702</v>
      </c>
      <c r="F3191" s="89" t="s">
        <v>5103</v>
      </c>
      <c r="G3191" s="29" t="s">
        <v>8443</v>
      </c>
    </row>
    <row r="3192" spans="1:7">
      <c r="A3192" s="33">
        <v>45147</v>
      </c>
      <c r="B3192" s="29" t="s">
        <v>3787</v>
      </c>
      <c r="C3192" s="29" t="s">
        <v>3788</v>
      </c>
      <c r="D3192" s="29" t="s">
        <v>3789</v>
      </c>
      <c r="E3192" s="92">
        <v>281654</v>
      </c>
      <c r="F3192" s="89" t="s">
        <v>1482</v>
      </c>
      <c r="G3192" s="29" t="s">
        <v>6787</v>
      </c>
    </row>
    <row r="3193" spans="1:7">
      <c r="A3193" s="33">
        <v>45148</v>
      </c>
      <c r="B3193" s="29" t="s">
        <v>3791</v>
      </c>
      <c r="C3193" s="29" t="s">
        <v>3792</v>
      </c>
      <c r="D3193" s="29" t="s">
        <v>3793</v>
      </c>
      <c r="E3193" s="92">
        <v>281601</v>
      </c>
      <c r="F3193" s="89" t="s">
        <v>5102</v>
      </c>
      <c r="G3193" s="29" t="s">
        <v>4971</v>
      </c>
    </row>
    <row r="3194" spans="1:7">
      <c r="A3194" s="33">
        <v>45149</v>
      </c>
      <c r="B3194" s="29" t="s">
        <v>3795</v>
      </c>
      <c r="C3194" s="29" t="s">
        <v>3796</v>
      </c>
      <c r="D3194" s="29" t="s">
        <v>3797</v>
      </c>
      <c r="E3194" s="92">
        <v>281227</v>
      </c>
      <c r="F3194" s="89" t="s">
        <v>5101</v>
      </c>
      <c r="G3194" s="29" t="s">
        <v>7230</v>
      </c>
    </row>
    <row r="3195" spans="1:7">
      <c r="A3195" s="33">
        <v>45150</v>
      </c>
      <c r="B3195" s="29" t="s">
        <v>3799</v>
      </c>
      <c r="C3195" s="29" t="s">
        <v>3800</v>
      </c>
      <c r="D3195" s="29" t="s">
        <v>3801</v>
      </c>
      <c r="E3195" s="92">
        <v>281082</v>
      </c>
      <c r="F3195" s="89" t="s">
        <v>5100</v>
      </c>
      <c r="G3195" s="29" t="s">
        <v>9681</v>
      </c>
    </row>
    <row r="3196" spans="1:7">
      <c r="A3196" s="33">
        <v>45151</v>
      </c>
      <c r="B3196" s="29" t="s">
        <v>3803</v>
      </c>
      <c r="C3196" s="29" t="s">
        <v>3804</v>
      </c>
      <c r="D3196" s="29" t="s">
        <v>3805</v>
      </c>
      <c r="E3196" s="92">
        <v>279585</v>
      </c>
      <c r="F3196" s="89" t="s">
        <v>5099</v>
      </c>
      <c r="G3196" s="29" t="s">
        <v>9682</v>
      </c>
    </row>
    <row r="3197" spans="1:7">
      <c r="A3197" s="33">
        <v>45152</v>
      </c>
      <c r="B3197" s="29" t="s">
        <v>3807</v>
      </c>
      <c r="C3197" s="29" t="s">
        <v>3808</v>
      </c>
      <c r="D3197" s="29" t="s">
        <v>3809</v>
      </c>
      <c r="E3197" s="92">
        <v>279472</v>
      </c>
      <c r="F3197" s="89" t="s">
        <v>5096</v>
      </c>
      <c r="G3197" s="29" t="s">
        <v>6895</v>
      </c>
    </row>
    <row r="3198" spans="1:7">
      <c r="A3198" s="33">
        <v>45153</v>
      </c>
      <c r="B3198" s="29" t="s">
        <v>3811</v>
      </c>
      <c r="C3198" s="29" t="s">
        <v>3812</v>
      </c>
      <c r="D3198" s="29" t="s">
        <v>3813</v>
      </c>
      <c r="E3198" s="92">
        <v>278981</v>
      </c>
      <c r="F3198" s="89" t="s">
        <v>5095</v>
      </c>
      <c r="G3198" s="29" t="s">
        <v>9683</v>
      </c>
    </row>
    <row r="3199" spans="1:7">
      <c r="A3199" s="33">
        <v>45154</v>
      </c>
      <c r="B3199" s="29" t="s">
        <v>3815</v>
      </c>
      <c r="C3199" s="29" t="s">
        <v>3816</v>
      </c>
      <c r="D3199" s="29" t="s">
        <v>3817</v>
      </c>
      <c r="E3199" s="92">
        <v>278577</v>
      </c>
      <c r="F3199" s="89" t="s">
        <v>5094</v>
      </c>
      <c r="G3199" s="29" t="s">
        <v>8716</v>
      </c>
    </row>
    <row r="3200" spans="1:7">
      <c r="A3200" s="33">
        <v>45155</v>
      </c>
      <c r="B3200" s="29" t="s">
        <v>3818</v>
      </c>
      <c r="C3200" s="29" t="s">
        <v>3819</v>
      </c>
      <c r="D3200" s="29" t="s">
        <v>3820</v>
      </c>
      <c r="E3200" s="92">
        <v>278089</v>
      </c>
      <c r="F3200" s="89" t="s">
        <v>5092</v>
      </c>
      <c r="G3200" s="29" t="s">
        <v>9244</v>
      </c>
    </row>
    <row r="3201" spans="1:7">
      <c r="A3201" s="33">
        <v>45156</v>
      </c>
      <c r="B3201" s="29" t="s">
        <v>3822</v>
      </c>
      <c r="C3201" s="29" t="s">
        <v>3823</v>
      </c>
      <c r="D3201" s="29" t="s">
        <v>3824</v>
      </c>
      <c r="E3201" s="92">
        <v>277222</v>
      </c>
      <c r="F3201" s="89" t="s">
        <v>5091</v>
      </c>
      <c r="G3201" s="29" t="s">
        <v>8796</v>
      </c>
    </row>
    <row r="3202" spans="1:7">
      <c r="A3202" s="33">
        <v>45157</v>
      </c>
      <c r="B3202" s="29" t="s">
        <v>3826</v>
      </c>
      <c r="C3202" s="29" t="s">
        <v>3827</v>
      </c>
      <c r="D3202" s="29" t="s">
        <v>3828</v>
      </c>
      <c r="E3202" s="92">
        <v>276496</v>
      </c>
      <c r="F3202" s="89" t="s">
        <v>9684</v>
      </c>
      <c r="G3202" s="29" t="s">
        <v>8358</v>
      </c>
    </row>
    <row r="3203" spans="1:7">
      <c r="A3203" s="33">
        <v>45158</v>
      </c>
      <c r="B3203" s="29" t="s">
        <v>3830</v>
      </c>
      <c r="C3203" s="29" t="s">
        <v>3831</v>
      </c>
      <c r="D3203" s="29" t="s">
        <v>3832</v>
      </c>
      <c r="E3203" s="92">
        <v>276261</v>
      </c>
      <c r="F3203" s="89" t="s">
        <v>5090</v>
      </c>
      <c r="G3203" s="29" t="s">
        <v>9685</v>
      </c>
    </row>
    <row r="3204" spans="1:7">
      <c r="A3204" s="33">
        <v>45159</v>
      </c>
      <c r="B3204" s="29" t="s">
        <v>9686</v>
      </c>
      <c r="C3204" s="29" t="s">
        <v>4778</v>
      </c>
      <c r="D3204" s="29" t="s">
        <v>9687</v>
      </c>
      <c r="E3204" s="92">
        <v>276178</v>
      </c>
      <c r="F3204" s="89" t="s">
        <v>5089</v>
      </c>
      <c r="G3204" s="29" t="s">
        <v>6689</v>
      </c>
    </row>
    <row r="3205" spans="1:7">
      <c r="A3205" s="33">
        <v>45160</v>
      </c>
      <c r="B3205" s="29" t="s">
        <v>3834</v>
      </c>
      <c r="C3205" s="29" t="s">
        <v>3835</v>
      </c>
      <c r="D3205" s="29" t="s">
        <v>3836</v>
      </c>
      <c r="E3205" s="92">
        <v>276049</v>
      </c>
      <c r="F3205" s="89" t="s">
        <v>5088</v>
      </c>
      <c r="G3205" s="29" t="s">
        <v>4947</v>
      </c>
    </row>
    <row r="3206" spans="1:7">
      <c r="A3206" s="33">
        <v>45161</v>
      </c>
      <c r="B3206" s="29" t="s">
        <v>3838</v>
      </c>
      <c r="C3206" s="29" t="s">
        <v>3839</v>
      </c>
      <c r="D3206" s="29">
        <v>25805</v>
      </c>
      <c r="E3206" s="92">
        <v>275833</v>
      </c>
      <c r="F3206" s="89" t="s">
        <v>1494</v>
      </c>
      <c r="G3206" s="29" t="s">
        <v>8430</v>
      </c>
    </row>
    <row r="3207" spans="1:7">
      <c r="A3207" s="33">
        <v>45162</v>
      </c>
      <c r="B3207" s="29" t="s">
        <v>3842</v>
      </c>
      <c r="C3207" s="29" t="s">
        <v>3843</v>
      </c>
      <c r="D3207" s="29" t="s">
        <v>3844</v>
      </c>
      <c r="E3207" s="92">
        <v>274901</v>
      </c>
      <c r="F3207" s="89" t="s">
        <v>5087</v>
      </c>
      <c r="G3207" s="29" t="s">
        <v>8991</v>
      </c>
    </row>
    <row r="3208" spans="1:7">
      <c r="A3208" s="33">
        <v>45163</v>
      </c>
      <c r="B3208" s="29" t="s">
        <v>3846</v>
      </c>
      <c r="C3208" s="29" t="s">
        <v>3847</v>
      </c>
      <c r="D3208" s="29" t="s">
        <v>3848</v>
      </c>
      <c r="E3208" s="92">
        <v>274796</v>
      </c>
      <c r="F3208" s="89" t="s">
        <v>5085</v>
      </c>
      <c r="G3208" s="29" t="s">
        <v>8421</v>
      </c>
    </row>
    <row r="3209" spans="1:7">
      <c r="A3209" s="33">
        <v>45164</v>
      </c>
      <c r="B3209" s="29" t="s">
        <v>3850</v>
      </c>
      <c r="C3209" s="29" t="s">
        <v>3851</v>
      </c>
      <c r="D3209" s="29" t="s">
        <v>3852</v>
      </c>
      <c r="E3209" s="92">
        <v>274474</v>
      </c>
      <c r="F3209" s="89" t="s">
        <v>5084</v>
      </c>
      <c r="G3209" s="29" t="s">
        <v>9688</v>
      </c>
    </row>
    <row r="3210" spans="1:7">
      <c r="A3210" s="33">
        <v>45165</v>
      </c>
      <c r="B3210" s="29" t="s">
        <v>9689</v>
      </c>
      <c r="C3210" s="29" t="s">
        <v>9690</v>
      </c>
      <c r="D3210" s="29" t="s">
        <v>9691</v>
      </c>
      <c r="E3210" s="92">
        <v>274023</v>
      </c>
      <c r="F3210" s="89" t="s">
        <v>5083</v>
      </c>
      <c r="G3210" s="29" t="s">
        <v>7259</v>
      </c>
    </row>
    <row r="3211" spans="1:7">
      <c r="A3211" s="33">
        <v>45166</v>
      </c>
      <c r="B3211" s="29" t="s">
        <v>9692</v>
      </c>
      <c r="C3211" s="29" t="s">
        <v>4778</v>
      </c>
      <c r="D3211" s="29" t="s">
        <v>9693</v>
      </c>
      <c r="E3211" s="92">
        <v>273614</v>
      </c>
      <c r="F3211" s="89" t="s">
        <v>5082</v>
      </c>
      <c r="G3211" s="29" t="s">
        <v>4973</v>
      </c>
    </row>
    <row r="3212" spans="1:7">
      <c r="A3212" s="33">
        <v>45167</v>
      </c>
      <c r="B3212" s="29" t="s">
        <v>3854</v>
      </c>
      <c r="C3212" s="29" t="s">
        <v>3855</v>
      </c>
      <c r="D3212" s="29" t="s">
        <v>3856</v>
      </c>
      <c r="E3212" s="92">
        <v>273473</v>
      </c>
      <c r="F3212" s="89" t="s">
        <v>5081</v>
      </c>
      <c r="G3212" s="29" t="s">
        <v>8536</v>
      </c>
    </row>
    <row r="3213" spans="1:7">
      <c r="A3213" s="33">
        <v>45168</v>
      </c>
      <c r="B3213" s="29" t="s">
        <v>3858</v>
      </c>
      <c r="C3213" s="29" t="s">
        <v>3859</v>
      </c>
      <c r="D3213" s="29" t="s">
        <v>3860</v>
      </c>
      <c r="E3213" s="92">
        <v>273092</v>
      </c>
      <c r="F3213" s="89" t="s">
        <v>5080</v>
      </c>
      <c r="G3213" s="29" t="s">
        <v>8598</v>
      </c>
    </row>
    <row r="3214" spans="1:7">
      <c r="A3214" s="33">
        <v>45169</v>
      </c>
      <c r="B3214" s="29" t="s">
        <v>3862</v>
      </c>
      <c r="C3214" s="29" t="s">
        <v>3863</v>
      </c>
      <c r="D3214" s="29" t="s">
        <v>3864</v>
      </c>
      <c r="E3214" s="92">
        <v>272723</v>
      </c>
      <c r="F3214" s="89" t="s">
        <v>5079</v>
      </c>
      <c r="G3214" s="29" t="s">
        <v>8590</v>
      </c>
    </row>
    <row r="3215" spans="1:7">
      <c r="A3215" s="33">
        <v>45170</v>
      </c>
      <c r="B3215" s="29" t="s">
        <v>3866</v>
      </c>
      <c r="C3215" s="29" t="s">
        <v>3867</v>
      </c>
      <c r="D3215" s="29" t="s">
        <v>3868</v>
      </c>
      <c r="E3215" s="92">
        <v>271913</v>
      </c>
      <c r="F3215" s="89" t="s">
        <v>5078</v>
      </c>
      <c r="G3215" s="29" t="s">
        <v>8407</v>
      </c>
    </row>
    <row r="3216" spans="1:7">
      <c r="A3216" s="33">
        <v>45171</v>
      </c>
      <c r="B3216" s="29" t="s">
        <v>3870</v>
      </c>
      <c r="C3216" s="29" t="s">
        <v>3871</v>
      </c>
      <c r="D3216" s="29" t="s">
        <v>3872</v>
      </c>
      <c r="E3216" s="92">
        <v>270785</v>
      </c>
      <c r="F3216" s="89" t="s">
        <v>5077</v>
      </c>
      <c r="G3216" s="29" t="s">
        <v>8365</v>
      </c>
    </row>
    <row r="3217" spans="1:7">
      <c r="A3217" s="33">
        <v>45172</v>
      </c>
      <c r="B3217" s="29" t="s">
        <v>3874</v>
      </c>
      <c r="C3217" s="29" t="s">
        <v>3875</v>
      </c>
      <c r="D3217" s="29" t="s">
        <v>3876</v>
      </c>
      <c r="E3217" s="92">
        <v>270386</v>
      </c>
      <c r="F3217" s="89" t="s">
        <v>5076</v>
      </c>
      <c r="G3217" s="29" t="s">
        <v>6590</v>
      </c>
    </row>
    <row r="3218" spans="1:7">
      <c r="A3218" s="33">
        <v>45173</v>
      </c>
      <c r="B3218" s="29" t="s">
        <v>3878</v>
      </c>
      <c r="C3218" s="29" t="s">
        <v>3879</v>
      </c>
      <c r="D3218" s="29" t="s">
        <v>3880</v>
      </c>
      <c r="E3218" s="92">
        <v>269228</v>
      </c>
      <c r="F3218" s="89" t="s">
        <v>5075</v>
      </c>
      <c r="G3218" s="29" t="s">
        <v>4980</v>
      </c>
    </row>
    <row r="3219" spans="1:7">
      <c r="A3219" s="33">
        <v>45174</v>
      </c>
      <c r="B3219" s="29" t="s">
        <v>3882</v>
      </c>
      <c r="C3219" s="29" t="s">
        <v>3883</v>
      </c>
      <c r="D3219" s="29" t="s">
        <v>3884</v>
      </c>
      <c r="E3219" s="92">
        <v>267796</v>
      </c>
      <c r="F3219" s="89" t="s">
        <v>5074</v>
      </c>
      <c r="G3219" s="29" t="s">
        <v>6808</v>
      </c>
    </row>
    <row r="3220" spans="1:7">
      <c r="A3220" s="33">
        <v>45175</v>
      </c>
      <c r="B3220" s="29" t="s">
        <v>9694</v>
      </c>
      <c r="C3220" s="29" t="s">
        <v>9695</v>
      </c>
      <c r="D3220" s="29" t="s">
        <v>9696</v>
      </c>
      <c r="E3220" s="92">
        <v>266376</v>
      </c>
      <c r="F3220" s="89" t="s">
        <v>1416</v>
      </c>
      <c r="G3220" s="29" t="s">
        <v>6804</v>
      </c>
    </row>
    <row r="3221" spans="1:7">
      <c r="A3221" s="33">
        <v>45176</v>
      </c>
      <c r="B3221" s="29" t="s">
        <v>3886</v>
      </c>
      <c r="C3221" s="29" t="s">
        <v>3887</v>
      </c>
      <c r="D3221" s="29" t="s">
        <v>3888</v>
      </c>
      <c r="E3221" s="92">
        <v>266272</v>
      </c>
      <c r="F3221" s="89" t="s">
        <v>5072</v>
      </c>
      <c r="G3221" s="29" t="s">
        <v>6808</v>
      </c>
    </row>
    <row r="3222" spans="1:7">
      <c r="A3222" s="33">
        <v>45177</v>
      </c>
      <c r="B3222" s="29" t="s">
        <v>3890</v>
      </c>
      <c r="C3222" s="29" t="s">
        <v>3891</v>
      </c>
      <c r="D3222" s="29" t="s">
        <v>3892</v>
      </c>
      <c r="E3222" s="92">
        <v>266207</v>
      </c>
      <c r="F3222" s="89" t="s">
        <v>5070</v>
      </c>
      <c r="G3222" s="29" t="s">
        <v>8334</v>
      </c>
    </row>
    <row r="3223" spans="1:7">
      <c r="A3223" s="33">
        <v>45178</v>
      </c>
      <c r="B3223" s="29" t="s">
        <v>3894</v>
      </c>
      <c r="C3223" s="29" t="s">
        <v>3895</v>
      </c>
      <c r="D3223" s="29" t="s">
        <v>3896</v>
      </c>
      <c r="E3223" s="92">
        <v>265083</v>
      </c>
      <c r="F3223" s="89" t="s">
        <v>5069</v>
      </c>
      <c r="G3223" s="29" t="s">
        <v>6641</v>
      </c>
    </row>
    <row r="3224" spans="1:7">
      <c r="A3224" s="33">
        <v>45179</v>
      </c>
      <c r="B3224" s="29" t="s">
        <v>3898</v>
      </c>
      <c r="C3224" s="29" t="s">
        <v>3899</v>
      </c>
      <c r="D3224" s="29" t="s">
        <v>3900</v>
      </c>
      <c r="E3224" s="92">
        <v>264195</v>
      </c>
      <c r="F3224" s="89" t="s">
        <v>5066</v>
      </c>
      <c r="G3224" s="29" t="s">
        <v>9668</v>
      </c>
    </row>
    <row r="3225" spans="1:7">
      <c r="A3225" s="33">
        <v>45180</v>
      </c>
      <c r="B3225" s="29" t="s">
        <v>3902</v>
      </c>
      <c r="C3225" s="29" t="s">
        <v>3903</v>
      </c>
      <c r="D3225" s="29" t="s">
        <v>3904</v>
      </c>
      <c r="E3225" s="92">
        <v>263475</v>
      </c>
      <c r="F3225" s="89" t="s">
        <v>5064</v>
      </c>
      <c r="G3225" s="29" t="s">
        <v>6696</v>
      </c>
    </row>
    <row r="3226" spans="1:7">
      <c r="A3226" s="33">
        <v>45181</v>
      </c>
      <c r="B3226" s="29" t="s">
        <v>3906</v>
      </c>
      <c r="C3226" s="29" t="s">
        <v>3907</v>
      </c>
      <c r="D3226" s="29" t="s">
        <v>3908</v>
      </c>
      <c r="E3226" s="92">
        <v>263437</v>
      </c>
      <c r="F3226" s="89" t="s">
        <v>5063</v>
      </c>
      <c r="G3226" s="29" t="s">
        <v>8441</v>
      </c>
    </row>
    <row r="3227" spans="1:7">
      <c r="A3227" s="33">
        <v>45182</v>
      </c>
      <c r="B3227" s="29" t="s">
        <v>3910</v>
      </c>
      <c r="C3227" s="29" t="s">
        <v>3911</v>
      </c>
      <c r="D3227" s="29" t="s">
        <v>3912</v>
      </c>
      <c r="E3227" s="92">
        <v>263072</v>
      </c>
      <c r="F3227" s="89" t="s">
        <v>5062</v>
      </c>
      <c r="G3227" s="29" t="s">
        <v>6733</v>
      </c>
    </row>
    <row r="3228" spans="1:7">
      <c r="A3228" s="33">
        <v>45183</v>
      </c>
      <c r="B3228" s="29" t="s">
        <v>3914</v>
      </c>
      <c r="C3228" s="29" t="s">
        <v>3915</v>
      </c>
      <c r="D3228" s="29" t="s">
        <v>3916</v>
      </c>
      <c r="E3228" s="92">
        <v>262869</v>
      </c>
      <c r="F3228" s="89" t="s">
        <v>5061</v>
      </c>
      <c r="G3228" s="29" t="s">
        <v>6703</v>
      </c>
    </row>
    <row r="3229" spans="1:7">
      <c r="A3229" s="33">
        <v>45184</v>
      </c>
      <c r="B3229" s="29" t="s">
        <v>3918</v>
      </c>
      <c r="C3229" s="29" t="s">
        <v>3919</v>
      </c>
      <c r="D3229" s="29" t="s">
        <v>3920</v>
      </c>
      <c r="E3229" s="92">
        <v>261749</v>
      </c>
      <c r="F3229" s="89" t="s">
        <v>5060</v>
      </c>
      <c r="G3229" s="29" t="s">
        <v>8688</v>
      </c>
    </row>
    <row r="3230" spans="1:7">
      <c r="A3230" s="33">
        <v>45185</v>
      </c>
      <c r="B3230" s="29" t="s">
        <v>9697</v>
      </c>
      <c r="C3230" s="29" t="s">
        <v>9698</v>
      </c>
      <c r="D3230" s="29" t="s">
        <v>9699</v>
      </c>
      <c r="E3230" s="92">
        <v>261643</v>
      </c>
      <c r="F3230" s="89" t="s">
        <v>5059</v>
      </c>
      <c r="G3230" s="29" t="s">
        <v>8111</v>
      </c>
    </row>
    <row r="3231" spans="1:7">
      <c r="A3231" s="33">
        <v>45186</v>
      </c>
      <c r="B3231" s="29" t="s">
        <v>3922</v>
      </c>
      <c r="C3231" s="29">
        <v>26618</v>
      </c>
      <c r="D3231" s="29" t="s">
        <v>3924</v>
      </c>
      <c r="E3231" s="92">
        <v>261551</v>
      </c>
      <c r="F3231" s="89" t="s">
        <v>5057</v>
      </c>
      <c r="G3231" s="29" t="s">
        <v>9700</v>
      </c>
    </row>
    <row r="3232" spans="1:7">
      <c r="A3232" s="33">
        <v>45187</v>
      </c>
      <c r="B3232" s="29" t="s">
        <v>3926</v>
      </c>
      <c r="C3232" s="29" t="s">
        <v>3927</v>
      </c>
      <c r="D3232" s="29" t="s">
        <v>3928</v>
      </c>
      <c r="E3232" s="92">
        <v>260997</v>
      </c>
      <c r="F3232" s="89" t="s">
        <v>5056</v>
      </c>
      <c r="G3232" s="29" t="s">
        <v>8497</v>
      </c>
    </row>
    <row r="3233" spans="1:7">
      <c r="A3233" s="33">
        <v>45188</v>
      </c>
      <c r="B3233" s="29" t="s">
        <v>3930</v>
      </c>
      <c r="C3233" s="29" t="s">
        <v>3931</v>
      </c>
      <c r="D3233" s="29" t="s">
        <v>3932</v>
      </c>
      <c r="E3233" s="92">
        <v>260928</v>
      </c>
      <c r="F3233" s="89" t="s">
        <v>5055</v>
      </c>
      <c r="G3233" s="29" t="s">
        <v>6703</v>
      </c>
    </row>
    <row r="3234" spans="1:7">
      <c r="A3234" s="33">
        <v>45189</v>
      </c>
      <c r="B3234" s="29" t="s">
        <v>3934</v>
      </c>
      <c r="C3234" s="29" t="s">
        <v>3935</v>
      </c>
      <c r="D3234" s="29" t="s">
        <v>3936</v>
      </c>
      <c r="E3234" s="92">
        <v>260886</v>
      </c>
      <c r="F3234" s="89" t="s">
        <v>5054</v>
      </c>
      <c r="G3234" s="29" t="s">
        <v>4951</v>
      </c>
    </row>
    <row r="3235" spans="1:7">
      <c r="A3235" s="33">
        <v>45190</v>
      </c>
      <c r="B3235" s="29" t="s">
        <v>3938</v>
      </c>
      <c r="C3235" s="29" t="s">
        <v>3939</v>
      </c>
      <c r="D3235" s="29" t="s">
        <v>3940</v>
      </c>
      <c r="E3235" s="92">
        <v>260598</v>
      </c>
      <c r="F3235" s="89" t="s">
        <v>5053</v>
      </c>
      <c r="G3235" s="29" t="s">
        <v>6689</v>
      </c>
    </row>
    <row r="3236" spans="1:7">
      <c r="A3236" s="33">
        <v>45191</v>
      </c>
      <c r="B3236" s="29" t="s">
        <v>3942</v>
      </c>
      <c r="C3236" s="29" t="s">
        <v>3943</v>
      </c>
      <c r="D3236" s="29" t="s">
        <v>3944</v>
      </c>
      <c r="E3236" s="92">
        <v>260202</v>
      </c>
      <c r="F3236" s="89" t="s">
        <v>5052</v>
      </c>
      <c r="G3236" s="29" t="s">
        <v>8358</v>
      </c>
    </row>
    <row r="3237" spans="1:7">
      <c r="A3237" s="33">
        <v>45192</v>
      </c>
      <c r="B3237" s="29" t="s">
        <v>3946</v>
      </c>
      <c r="C3237" s="29" t="s">
        <v>3947</v>
      </c>
      <c r="D3237" s="29" t="s">
        <v>3948</v>
      </c>
      <c r="E3237" s="92">
        <v>260025</v>
      </c>
      <c r="F3237" s="89" t="s">
        <v>1478</v>
      </c>
      <c r="G3237" s="29" t="s">
        <v>8111</v>
      </c>
    </row>
    <row r="3238" spans="1:7">
      <c r="A3238" s="33">
        <v>45193</v>
      </c>
      <c r="B3238" s="29" t="s">
        <v>3950</v>
      </c>
      <c r="C3238" s="29" t="s">
        <v>3951</v>
      </c>
      <c r="D3238" s="29" t="s">
        <v>3952</v>
      </c>
      <c r="E3238" s="92">
        <v>258621</v>
      </c>
      <c r="F3238" s="89" t="s">
        <v>5050</v>
      </c>
      <c r="G3238" s="29" t="s">
        <v>9701</v>
      </c>
    </row>
    <row r="3239" spans="1:7">
      <c r="A3239" s="33">
        <v>45194</v>
      </c>
      <c r="B3239" s="29" t="s">
        <v>3954</v>
      </c>
      <c r="C3239" s="29" t="s">
        <v>3955</v>
      </c>
      <c r="D3239" s="29" t="s">
        <v>3956</v>
      </c>
      <c r="E3239" s="92">
        <v>258507</v>
      </c>
      <c r="F3239" s="89" t="s">
        <v>5047</v>
      </c>
      <c r="G3239" s="29" t="s">
        <v>8733</v>
      </c>
    </row>
    <row r="3240" spans="1:7">
      <c r="A3240" s="33">
        <v>45195</v>
      </c>
      <c r="B3240" s="29" t="s">
        <v>3958</v>
      </c>
      <c r="C3240" s="29" t="s">
        <v>3959</v>
      </c>
      <c r="D3240" s="29" t="s">
        <v>3960</v>
      </c>
      <c r="E3240" s="92">
        <v>257976</v>
      </c>
      <c r="F3240" s="89" t="s">
        <v>5046</v>
      </c>
      <c r="G3240" s="29" t="s">
        <v>9702</v>
      </c>
    </row>
    <row r="3241" spans="1:7">
      <c r="A3241" s="33">
        <v>45196</v>
      </c>
      <c r="B3241" s="29" t="s">
        <v>3962</v>
      </c>
      <c r="C3241" s="29" t="s">
        <v>3963</v>
      </c>
      <c r="D3241" s="29" t="s">
        <v>3964</v>
      </c>
      <c r="E3241" s="92">
        <v>257321</v>
      </c>
      <c r="F3241" s="89" t="s">
        <v>5045</v>
      </c>
      <c r="G3241" s="29" t="s">
        <v>4982</v>
      </c>
    </row>
    <row r="3242" spans="1:7">
      <c r="A3242" s="33">
        <v>45197</v>
      </c>
      <c r="B3242" s="29" t="s">
        <v>3966</v>
      </c>
      <c r="C3242" s="29" t="s">
        <v>3967</v>
      </c>
      <c r="D3242" s="29" t="s">
        <v>3968</v>
      </c>
      <c r="E3242" s="92">
        <v>257064</v>
      </c>
      <c r="F3242" s="89" t="s">
        <v>5044</v>
      </c>
      <c r="G3242" s="29" t="s">
        <v>8725</v>
      </c>
    </row>
    <row r="3243" spans="1:7">
      <c r="A3243" s="33">
        <v>45198</v>
      </c>
      <c r="B3243" s="29" t="s">
        <v>3970</v>
      </c>
      <c r="C3243" s="29" t="s">
        <v>3971</v>
      </c>
      <c r="D3243" s="29" t="s">
        <v>3972</v>
      </c>
      <c r="E3243" s="92">
        <v>256336</v>
      </c>
      <c r="F3243" s="89" t="s">
        <v>5041</v>
      </c>
      <c r="G3243" s="29" t="s">
        <v>8387</v>
      </c>
    </row>
    <row r="3244" spans="1:7">
      <c r="A3244" s="33">
        <v>45199</v>
      </c>
      <c r="B3244" s="29" t="s">
        <v>3974</v>
      </c>
      <c r="C3244" s="29" t="s">
        <v>3975</v>
      </c>
      <c r="D3244" s="29" t="s">
        <v>3976</v>
      </c>
      <c r="E3244" s="92">
        <v>256299</v>
      </c>
      <c r="F3244" s="89" t="s">
        <v>5040</v>
      </c>
      <c r="G3244" s="29" t="s">
        <v>8226</v>
      </c>
    </row>
    <row r="3245" spans="1:7">
      <c r="A3245" s="33">
        <v>45200</v>
      </c>
      <c r="B3245" s="29" t="s">
        <v>3978</v>
      </c>
      <c r="C3245" s="29" t="s">
        <v>3979</v>
      </c>
      <c r="D3245" s="29" t="s">
        <v>3980</v>
      </c>
      <c r="E3245" s="92">
        <v>255492</v>
      </c>
      <c r="F3245" s="89" t="s">
        <v>5039</v>
      </c>
      <c r="G3245" s="29" t="s">
        <v>9703</v>
      </c>
    </row>
    <row r="3246" spans="1:7">
      <c r="A3246" s="33">
        <v>45201</v>
      </c>
      <c r="B3246" s="29" t="s">
        <v>3982</v>
      </c>
      <c r="C3246" s="29" t="s">
        <v>3983</v>
      </c>
      <c r="D3246" s="29" t="s">
        <v>3984</v>
      </c>
      <c r="E3246" s="92">
        <v>255412</v>
      </c>
      <c r="F3246" s="89" t="s">
        <v>5037</v>
      </c>
      <c r="G3246" s="29" t="s">
        <v>8494</v>
      </c>
    </row>
    <row r="3247" spans="1:7">
      <c r="A3247" s="33">
        <v>45202</v>
      </c>
      <c r="B3247" s="29" t="s">
        <v>3986</v>
      </c>
      <c r="C3247" s="29" t="s">
        <v>3987</v>
      </c>
      <c r="D3247" s="29">
        <v>27216</v>
      </c>
      <c r="E3247" s="92">
        <v>254322</v>
      </c>
      <c r="F3247" s="89" t="s">
        <v>5037</v>
      </c>
      <c r="G3247" s="29" t="s">
        <v>8689</v>
      </c>
    </row>
    <row r="3248" spans="1:7">
      <c r="A3248" s="33">
        <v>45203</v>
      </c>
      <c r="B3248" s="29" t="s">
        <v>3990</v>
      </c>
      <c r="C3248" s="29" t="s">
        <v>3991</v>
      </c>
      <c r="D3248" s="29" t="s">
        <v>3992</v>
      </c>
      <c r="E3248" s="92">
        <v>254263</v>
      </c>
      <c r="F3248" s="89" t="s">
        <v>5035</v>
      </c>
      <c r="G3248" s="29" t="s">
        <v>6808</v>
      </c>
    </row>
    <row r="3249" spans="1:7">
      <c r="A3249" s="33">
        <v>45204</v>
      </c>
      <c r="B3249" s="29" t="s">
        <v>3994</v>
      </c>
      <c r="C3249" s="29" t="s">
        <v>3995</v>
      </c>
      <c r="D3249" s="29" t="s">
        <v>3451</v>
      </c>
      <c r="E3249" s="92">
        <v>253828</v>
      </c>
      <c r="F3249" s="89" t="s">
        <v>1474</v>
      </c>
      <c r="G3249" s="29" t="s">
        <v>4971</v>
      </c>
    </row>
    <row r="3250" spans="1:7">
      <c r="A3250" s="33">
        <v>45205</v>
      </c>
      <c r="B3250" s="29" t="s">
        <v>3997</v>
      </c>
      <c r="C3250" s="29" t="s">
        <v>3998</v>
      </c>
      <c r="D3250" s="29" t="s">
        <v>3999</v>
      </c>
      <c r="E3250" s="92">
        <v>253718</v>
      </c>
      <c r="F3250" s="89" t="s">
        <v>5034</v>
      </c>
      <c r="G3250" s="29" t="s">
        <v>6741</v>
      </c>
    </row>
    <row r="3251" spans="1:7">
      <c r="A3251" s="33">
        <v>45206</v>
      </c>
      <c r="B3251" s="29" t="s">
        <v>4001</v>
      </c>
      <c r="C3251" s="29" t="s">
        <v>4002</v>
      </c>
      <c r="D3251" s="29" t="s">
        <v>4003</v>
      </c>
      <c r="E3251" s="92">
        <v>253697</v>
      </c>
      <c r="F3251" s="89" t="s">
        <v>5032</v>
      </c>
      <c r="G3251" s="29" t="s">
        <v>9704</v>
      </c>
    </row>
    <row r="3252" spans="1:7">
      <c r="A3252" s="33">
        <v>45207</v>
      </c>
      <c r="B3252" s="29" t="s">
        <v>4005</v>
      </c>
      <c r="C3252" s="29" t="s">
        <v>4006</v>
      </c>
      <c r="D3252" s="29" t="s">
        <v>4007</v>
      </c>
      <c r="E3252" s="92">
        <v>253005</v>
      </c>
      <c r="F3252" s="89" t="s">
        <v>5031</v>
      </c>
      <c r="G3252" s="29" t="s">
        <v>9705</v>
      </c>
    </row>
    <row r="3253" spans="1:7">
      <c r="A3253" s="33">
        <v>45208</v>
      </c>
      <c r="B3253" s="29" t="s">
        <v>4009</v>
      </c>
      <c r="C3253" s="29" t="s">
        <v>4010</v>
      </c>
      <c r="D3253" s="29" t="s">
        <v>4011</v>
      </c>
      <c r="E3253" s="92">
        <v>252798</v>
      </c>
      <c r="F3253" s="89" t="s">
        <v>5030</v>
      </c>
      <c r="G3253" s="29" t="s">
        <v>8733</v>
      </c>
    </row>
    <row r="3254" spans="1:7">
      <c r="A3254" s="33">
        <v>45209</v>
      </c>
      <c r="B3254" s="29" t="s">
        <v>4013</v>
      </c>
      <c r="C3254" s="29" t="s">
        <v>4014</v>
      </c>
      <c r="D3254" s="29" t="s">
        <v>4015</v>
      </c>
      <c r="E3254" s="92">
        <v>250895</v>
      </c>
      <c r="F3254" s="89" t="s">
        <v>5029</v>
      </c>
      <c r="G3254" s="29" t="s">
        <v>9706</v>
      </c>
    </row>
    <row r="3255" spans="1:7">
      <c r="A3255" s="33">
        <v>45210</v>
      </c>
      <c r="B3255" s="29" t="s">
        <v>4017</v>
      </c>
      <c r="C3255" s="29" t="s">
        <v>4018</v>
      </c>
      <c r="D3255" s="29" t="s">
        <v>4019</v>
      </c>
      <c r="E3255" s="92">
        <v>249508</v>
      </c>
      <c r="F3255" s="89" t="s">
        <v>5028</v>
      </c>
      <c r="G3255" s="29" t="s">
        <v>8643</v>
      </c>
    </row>
    <row r="3256" spans="1:7">
      <c r="A3256" s="33">
        <v>45211</v>
      </c>
      <c r="B3256" s="29" t="s">
        <v>4021</v>
      </c>
      <c r="C3256" s="29" t="s">
        <v>4022</v>
      </c>
      <c r="D3256" s="29" t="s">
        <v>4023</v>
      </c>
      <c r="E3256" s="92">
        <v>249284</v>
      </c>
      <c r="F3256" s="89" t="s">
        <v>5027</v>
      </c>
      <c r="G3256" s="29" t="s">
        <v>8370</v>
      </c>
    </row>
    <row r="3257" spans="1:7">
      <c r="A3257" s="33">
        <v>45212</v>
      </c>
      <c r="B3257" s="29" t="s">
        <v>4025</v>
      </c>
      <c r="C3257" s="29" t="s">
        <v>4026</v>
      </c>
      <c r="D3257" s="29" t="s">
        <v>4027</v>
      </c>
      <c r="E3257" s="92">
        <v>249011</v>
      </c>
      <c r="F3257" s="89" t="s">
        <v>5026</v>
      </c>
      <c r="G3257" s="29" t="s">
        <v>4949</v>
      </c>
    </row>
    <row r="3258" spans="1:7">
      <c r="A3258" s="33">
        <v>45213</v>
      </c>
      <c r="B3258" s="29" t="s">
        <v>4029</v>
      </c>
      <c r="C3258" s="29">
        <v>26969</v>
      </c>
      <c r="D3258" s="29" t="s">
        <v>4031</v>
      </c>
      <c r="E3258" s="92">
        <v>249007</v>
      </c>
      <c r="F3258" s="89" t="s">
        <v>5025</v>
      </c>
      <c r="G3258" s="29" t="s">
        <v>4778</v>
      </c>
    </row>
    <row r="3259" spans="1:7">
      <c r="A3259" s="33">
        <v>45214</v>
      </c>
      <c r="B3259" s="29" t="s">
        <v>4033</v>
      </c>
      <c r="C3259" s="29" t="s">
        <v>4034</v>
      </c>
      <c r="D3259" s="29" t="s">
        <v>4035</v>
      </c>
      <c r="E3259" s="92">
        <v>248532</v>
      </c>
      <c r="F3259" s="89" t="s">
        <v>5023</v>
      </c>
      <c r="G3259" s="29" t="s">
        <v>9707</v>
      </c>
    </row>
    <row r="3260" spans="1:7">
      <c r="A3260" s="33">
        <v>45215</v>
      </c>
      <c r="B3260" s="29" t="s">
        <v>4037</v>
      </c>
      <c r="C3260" s="29" t="s">
        <v>4038</v>
      </c>
      <c r="D3260" s="29" t="s">
        <v>4039</v>
      </c>
      <c r="E3260" s="92">
        <v>247847</v>
      </c>
      <c r="F3260" s="89" t="s">
        <v>5022</v>
      </c>
      <c r="G3260" s="29" t="s">
        <v>8450</v>
      </c>
    </row>
    <row r="3261" spans="1:7">
      <c r="A3261" s="33">
        <v>45216</v>
      </c>
      <c r="B3261" s="29" t="s">
        <v>4041</v>
      </c>
      <c r="C3261" s="29" t="s">
        <v>4042</v>
      </c>
      <c r="D3261" s="29" t="s">
        <v>4043</v>
      </c>
      <c r="E3261" s="92">
        <v>247526</v>
      </c>
      <c r="F3261" s="89" t="s">
        <v>5021</v>
      </c>
      <c r="G3261" s="29" t="s">
        <v>8716</v>
      </c>
    </row>
    <row r="3262" spans="1:7">
      <c r="A3262" s="33">
        <v>45217</v>
      </c>
      <c r="B3262" s="29" t="s">
        <v>4045</v>
      </c>
      <c r="C3262" s="29" t="s">
        <v>4046</v>
      </c>
      <c r="D3262" s="29" t="s">
        <v>4047</v>
      </c>
      <c r="E3262" s="92">
        <v>247272</v>
      </c>
      <c r="F3262" s="89" t="s">
        <v>5020</v>
      </c>
      <c r="G3262" s="29" t="s">
        <v>4778</v>
      </c>
    </row>
    <row r="3263" spans="1:7">
      <c r="A3263" s="33">
        <v>45218</v>
      </c>
      <c r="B3263" s="29" t="s">
        <v>4049</v>
      </c>
      <c r="C3263" s="29" t="s">
        <v>4050</v>
      </c>
      <c r="D3263" s="29" t="s">
        <v>4051</v>
      </c>
      <c r="E3263" s="92">
        <v>247029</v>
      </c>
      <c r="F3263" s="89" t="s">
        <v>5018</v>
      </c>
      <c r="G3263" s="29" t="s">
        <v>9634</v>
      </c>
    </row>
    <row r="3264" spans="1:7">
      <c r="A3264" s="33">
        <v>45219</v>
      </c>
      <c r="B3264" s="29" t="s">
        <v>4053</v>
      </c>
      <c r="C3264" s="29" t="s">
        <v>4054</v>
      </c>
      <c r="D3264" s="29" t="s">
        <v>4055</v>
      </c>
      <c r="E3264" s="92">
        <v>246197</v>
      </c>
      <c r="F3264" s="89" t="s">
        <v>5017</v>
      </c>
      <c r="G3264" s="29" t="s">
        <v>4965</v>
      </c>
    </row>
    <row r="3265" spans="1:7">
      <c r="A3265" s="33">
        <v>45220</v>
      </c>
      <c r="B3265" s="29" t="s">
        <v>4057</v>
      </c>
      <c r="C3265" s="29" t="s">
        <v>4058</v>
      </c>
      <c r="D3265" s="29" t="s">
        <v>4059</v>
      </c>
      <c r="E3265" s="92">
        <v>246063</v>
      </c>
      <c r="F3265" s="89" t="s">
        <v>5016</v>
      </c>
      <c r="G3265" s="29" t="s">
        <v>8688</v>
      </c>
    </row>
    <row r="3266" spans="1:7">
      <c r="A3266" s="33">
        <v>45221</v>
      </c>
      <c r="B3266" s="29" t="s">
        <v>4061</v>
      </c>
      <c r="C3266" s="29" t="s">
        <v>4062</v>
      </c>
      <c r="D3266" s="29" t="s">
        <v>4063</v>
      </c>
      <c r="E3266" s="92">
        <v>245595</v>
      </c>
      <c r="F3266" s="89" t="s">
        <v>5015</v>
      </c>
      <c r="G3266" s="29" t="s">
        <v>8387</v>
      </c>
    </row>
    <row r="3267" spans="1:7">
      <c r="A3267" s="33">
        <v>45222</v>
      </c>
      <c r="B3267" s="29" t="s">
        <v>4065</v>
      </c>
      <c r="C3267" s="29" t="s">
        <v>4066</v>
      </c>
      <c r="D3267" s="29" t="s">
        <v>4067</v>
      </c>
      <c r="E3267" s="92">
        <v>245308</v>
      </c>
      <c r="F3267" s="89" t="s">
        <v>5014</v>
      </c>
      <c r="G3267" s="29" t="s">
        <v>9474</v>
      </c>
    </row>
    <row r="3268" spans="1:7">
      <c r="A3268" s="33">
        <v>45223</v>
      </c>
      <c r="B3268" s="29" t="s">
        <v>4069</v>
      </c>
      <c r="C3268" s="29" t="s">
        <v>4070</v>
      </c>
      <c r="D3268" s="29" t="s">
        <v>4071</v>
      </c>
      <c r="E3268" s="92">
        <v>245212</v>
      </c>
      <c r="F3268" s="89" t="s">
        <v>5012</v>
      </c>
      <c r="G3268" s="29" t="s">
        <v>8876</v>
      </c>
    </row>
    <row r="3269" spans="1:7">
      <c r="A3269" s="33">
        <v>45224</v>
      </c>
      <c r="B3269" s="29" t="s">
        <v>4073</v>
      </c>
      <c r="C3269" s="29" t="s">
        <v>4074</v>
      </c>
      <c r="D3269" s="29" t="s">
        <v>4075</v>
      </c>
      <c r="E3269" s="92">
        <v>245022</v>
      </c>
      <c r="F3269" s="89" t="s">
        <v>5011</v>
      </c>
      <c r="G3269" s="29" t="s">
        <v>9536</v>
      </c>
    </row>
    <row r="3270" spans="1:7">
      <c r="A3270" s="33">
        <v>45225</v>
      </c>
      <c r="B3270" s="29" t="s">
        <v>9708</v>
      </c>
      <c r="C3270" s="29" t="s">
        <v>9709</v>
      </c>
      <c r="D3270" s="29" t="s">
        <v>9710</v>
      </c>
      <c r="E3270" s="92">
        <v>244941</v>
      </c>
      <c r="F3270" s="89" t="s">
        <v>5010</v>
      </c>
      <c r="G3270" s="29" t="s">
        <v>8447</v>
      </c>
    </row>
    <row r="3271" spans="1:7">
      <c r="A3271" s="33">
        <v>45226</v>
      </c>
      <c r="B3271" s="29" t="s">
        <v>4077</v>
      </c>
      <c r="C3271" s="29" t="s">
        <v>4078</v>
      </c>
      <c r="D3271" s="29" t="s">
        <v>4079</v>
      </c>
      <c r="E3271" s="92">
        <v>244606</v>
      </c>
      <c r="F3271" s="89" t="s">
        <v>7140</v>
      </c>
      <c r="G3271" s="29" t="s">
        <v>8758</v>
      </c>
    </row>
    <row r="3272" spans="1:7">
      <c r="A3272" s="33">
        <v>45227</v>
      </c>
      <c r="B3272" s="29" t="s">
        <v>4081</v>
      </c>
      <c r="C3272" s="29" t="s">
        <v>4082</v>
      </c>
      <c r="D3272" s="29" t="s">
        <v>4083</v>
      </c>
      <c r="E3272" s="92">
        <v>244534</v>
      </c>
      <c r="F3272" s="89" t="s">
        <v>5006</v>
      </c>
      <c r="G3272" s="29" t="s">
        <v>7230</v>
      </c>
    </row>
    <row r="3273" spans="1:7">
      <c r="A3273" s="33">
        <v>45228</v>
      </c>
      <c r="B3273" s="29" t="s">
        <v>4085</v>
      </c>
      <c r="C3273" s="29" t="s">
        <v>4086</v>
      </c>
      <c r="D3273" s="29" t="s">
        <v>4087</v>
      </c>
      <c r="E3273" s="92">
        <v>244296</v>
      </c>
      <c r="F3273" s="89" t="s">
        <v>5005</v>
      </c>
      <c r="G3273" s="29" t="s">
        <v>9632</v>
      </c>
    </row>
    <row r="3274" spans="1:7">
      <c r="A3274" s="33">
        <v>45229</v>
      </c>
      <c r="B3274" s="29" t="s">
        <v>4089</v>
      </c>
      <c r="C3274" s="29" t="s">
        <v>4090</v>
      </c>
      <c r="D3274" s="29" t="s">
        <v>4091</v>
      </c>
      <c r="E3274" s="92">
        <v>244224</v>
      </c>
      <c r="F3274" s="89" t="s">
        <v>5001</v>
      </c>
      <c r="G3274" s="29" t="s">
        <v>8407</v>
      </c>
    </row>
    <row r="3275" spans="1:7">
      <c r="A3275" s="33">
        <v>45230</v>
      </c>
      <c r="B3275" s="29" t="s">
        <v>4093</v>
      </c>
      <c r="C3275" s="29" t="s">
        <v>4094</v>
      </c>
      <c r="D3275" s="29" t="s">
        <v>4095</v>
      </c>
      <c r="E3275" s="92">
        <v>243944</v>
      </c>
      <c r="F3275" s="89" t="s">
        <v>5000</v>
      </c>
      <c r="G3275" s="29" t="s">
        <v>8498</v>
      </c>
    </row>
    <row r="3276" spans="1:7">
      <c r="A3276" s="33">
        <v>45231</v>
      </c>
      <c r="B3276" s="29" t="s">
        <v>4097</v>
      </c>
      <c r="C3276" s="29" t="s">
        <v>4098</v>
      </c>
      <c r="D3276" s="29" t="s">
        <v>4099</v>
      </c>
      <c r="E3276" s="92">
        <v>243931</v>
      </c>
      <c r="F3276" s="89" t="s">
        <v>4999</v>
      </c>
      <c r="G3276" s="29" t="s">
        <v>8805</v>
      </c>
    </row>
    <row r="3277" spans="1:7">
      <c r="A3277" s="33">
        <v>45232</v>
      </c>
      <c r="B3277" s="29" t="s">
        <v>4101</v>
      </c>
      <c r="C3277" s="29" t="s">
        <v>4102</v>
      </c>
      <c r="D3277" s="29" t="s">
        <v>4103</v>
      </c>
      <c r="E3277" s="92">
        <v>243863</v>
      </c>
      <c r="F3277" s="89" t="s">
        <v>4997</v>
      </c>
      <c r="G3277" s="29" t="s">
        <v>8508</v>
      </c>
    </row>
    <row r="3278" spans="1:7">
      <c r="A3278" s="33">
        <v>45233</v>
      </c>
      <c r="B3278" s="29" t="s">
        <v>4105</v>
      </c>
      <c r="C3278" s="29" t="s">
        <v>4105</v>
      </c>
      <c r="D3278" s="29" t="s">
        <v>4106</v>
      </c>
      <c r="E3278" s="92">
        <v>243779</v>
      </c>
      <c r="F3278" s="89" t="s">
        <v>4996</v>
      </c>
      <c r="G3278" s="29" t="s">
        <v>8407</v>
      </c>
    </row>
    <row r="3279" spans="1:7">
      <c r="A3279" s="33">
        <v>45234</v>
      </c>
      <c r="B3279" s="29" t="s">
        <v>4108</v>
      </c>
      <c r="C3279" s="29" t="s">
        <v>4109</v>
      </c>
      <c r="D3279" s="29" t="s">
        <v>4110</v>
      </c>
      <c r="E3279" s="92">
        <v>243676</v>
      </c>
      <c r="F3279" s="89" t="s">
        <v>4995</v>
      </c>
      <c r="G3279" s="29" t="s">
        <v>4778</v>
      </c>
    </row>
    <row r="3280" spans="1:7">
      <c r="A3280" s="33">
        <v>45235</v>
      </c>
      <c r="B3280" s="29" t="s">
        <v>4112</v>
      </c>
      <c r="C3280" s="29" t="s">
        <v>4113</v>
      </c>
      <c r="D3280" s="29" t="s">
        <v>4114</v>
      </c>
      <c r="E3280" s="92">
        <v>243607</v>
      </c>
      <c r="F3280" s="89" t="s">
        <v>4993</v>
      </c>
      <c r="G3280" s="29" t="s">
        <v>8421</v>
      </c>
    </row>
    <row r="3281" spans="1:7">
      <c r="A3281" s="33">
        <v>45236</v>
      </c>
      <c r="B3281" s="29" t="s">
        <v>4116</v>
      </c>
      <c r="C3281" s="29" t="s">
        <v>4117</v>
      </c>
      <c r="D3281" s="29" t="s">
        <v>4118</v>
      </c>
      <c r="E3281" s="92">
        <v>243594</v>
      </c>
      <c r="F3281" s="89" t="s">
        <v>4991</v>
      </c>
      <c r="G3281" s="29" t="s">
        <v>4943</v>
      </c>
    </row>
    <row r="3282" spans="1:7">
      <c r="A3282" s="33">
        <v>45237</v>
      </c>
      <c r="B3282" s="29" t="s">
        <v>4120</v>
      </c>
      <c r="C3282" s="29" t="s">
        <v>4121</v>
      </c>
      <c r="D3282" s="29" t="s">
        <v>4122</v>
      </c>
      <c r="E3282" s="92">
        <v>242969</v>
      </c>
      <c r="F3282" s="89" t="s">
        <v>4990</v>
      </c>
      <c r="G3282" s="29" t="s">
        <v>6818</v>
      </c>
    </row>
    <row r="3283" spans="1:7">
      <c r="A3283" s="33">
        <v>45238</v>
      </c>
      <c r="B3283" s="29" t="s">
        <v>4124</v>
      </c>
      <c r="C3283" s="29" t="s">
        <v>4125</v>
      </c>
      <c r="D3283" s="29" t="s">
        <v>4126</v>
      </c>
      <c r="E3283" s="92">
        <v>242713</v>
      </c>
      <c r="F3283" s="89" t="s">
        <v>4988</v>
      </c>
      <c r="G3283" s="29" t="s">
        <v>8988</v>
      </c>
    </row>
    <row r="3284" spans="1:7">
      <c r="A3284" s="33">
        <v>45239</v>
      </c>
      <c r="B3284" s="29" t="s">
        <v>4128</v>
      </c>
      <c r="C3284" s="29" t="s">
        <v>4129</v>
      </c>
      <c r="D3284" s="29" t="s">
        <v>4130</v>
      </c>
      <c r="E3284" s="92">
        <v>242304</v>
      </c>
      <c r="F3284" s="89" t="s">
        <v>4986</v>
      </c>
      <c r="G3284" s="29" t="s">
        <v>9214</v>
      </c>
    </row>
    <row r="3285" spans="1:7">
      <c r="A3285" s="33">
        <v>45240</v>
      </c>
      <c r="B3285" s="29" t="s">
        <v>4132</v>
      </c>
      <c r="C3285" s="29" t="s">
        <v>4133</v>
      </c>
      <c r="D3285" s="29" t="s">
        <v>4134</v>
      </c>
      <c r="E3285" s="92">
        <v>242158</v>
      </c>
      <c r="F3285" s="89" t="s">
        <v>4985</v>
      </c>
      <c r="G3285" s="29" t="s">
        <v>8783</v>
      </c>
    </row>
    <row r="3286" spans="1:7">
      <c r="A3286" s="33">
        <v>45241</v>
      </c>
      <c r="B3286" s="29" t="s">
        <v>4136</v>
      </c>
      <c r="C3286" s="29" t="s">
        <v>4137</v>
      </c>
      <c r="D3286" s="29" t="s">
        <v>4138</v>
      </c>
      <c r="E3286" s="92">
        <v>241832</v>
      </c>
      <c r="F3286" s="89" t="s">
        <v>4984</v>
      </c>
      <c r="G3286" s="29" t="s">
        <v>6685</v>
      </c>
    </row>
    <row r="3287" spans="1:7">
      <c r="A3287" s="33">
        <v>45242</v>
      </c>
      <c r="B3287" s="29" t="s">
        <v>4140</v>
      </c>
      <c r="C3287" s="29" t="s">
        <v>4141</v>
      </c>
      <c r="D3287" s="29" t="s">
        <v>4142</v>
      </c>
      <c r="E3287" s="92">
        <v>241112</v>
      </c>
      <c r="F3287" s="89" t="s">
        <v>4983</v>
      </c>
      <c r="G3287" s="29" t="s">
        <v>8688</v>
      </c>
    </row>
    <row r="3288" spans="1:7">
      <c r="A3288" s="33">
        <v>45243</v>
      </c>
      <c r="B3288" s="29" t="s">
        <v>4144</v>
      </c>
      <c r="C3288" s="29" t="s">
        <v>4145</v>
      </c>
      <c r="D3288" s="29" t="s">
        <v>4146</v>
      </c>
      <c r="E3288" s="92">
        <v>240953</v>
      </c>
      <c r="F3288" s="89" t="s">
        <v>4981</v>
      </c>
      <c r="G3288" s="29" t="s">
        <v>8787</v>
      </c>
    </row>
    <row r="3289" spans="1:7">
      <c r="A3289" s="33">
        <v>45244</v>
      </c>
      <c r="B3289" s="29" t="s">
        <v>4148</v>
      </c>
      <c r="C3289" s="29" t="s">
        <v>4149</v>
      </c>
      <c r="D3289" s="29" t="s">
        <v>4150</v>
      </c>
      <c r="E3289" s="92">
        <v>240515</v>
      </c>
      <c r="F3289" s="89" t="s">
        <v>4979</v>
      </c>
      <c r="G3289" s="29" t="s">
        <v>8622</v>
      </c>
    </row>
    <row r="3290" spans="1:7">
      <c r="A3290" s="33">
        <v>45245</v>
      </c>
      <c r="B3290" s="29" t="s">
        <v>4152</v>
      </c>
      <c r="C3290" s="29" t="s">
        <v>4153</v>
      </c>
      <c r="D3290" s="29" t="s">
        <v>4154</v>
      </c>
      <c r="E3290" s="92">
        <v>240383</v>
      </c>
      <c r="F3290" s="89" t="s">
        <v>4974</v>
      </c>
      <c r="G3290" s="29" t="s">
        <v>9024</v>
      </c>
    </row>
    <row r="3291" spans="1:7">
      <c r="A3291" s="33">
        <v>45246</v>
      </c>
      <c r="B3291" s="29" t="s">
        <v>4156</v>
      </c>
      <c r="C3291" s="29" t="s">
        <v>4157</v>
      </c>
      <c r="D3291" s="29" t="s">
        <v>4158</v>
      </c>
      <c r="E3291" s="92">
        <v>240358</v>
      </c>
      <c r="F3291" s="89" t="s">
        <v>4972</v>
      </c>
      <c r="G3291" s="29" t="s">
        <v>9075</v>
      </c>
    </row>
    <row r="3292" spans="1:7">
      <c r="A3292" s="33">
        <v>45247</v>
      </c>
      <c r="B3292" s="29" t="s">
        <v>4160</v>
      </c>
      <c r="C3292" s="29" t="s">
        <v>4161</v>
      </c>
      <c r="D3292" s="29" t="s">
        <v>4162</v>
      </c>
      <c r="E3292" s="92">
        <v>240348</v>
      </c>
      <c r="F3292" s="89" t="s">
        <v>4970</v>
      </c>
      <c r="G3292" s="29" t="s">
        <v>8805</v>
      </c>
    </row>
    <row r="3293" spans="1:7">
      <c r="A3293" s="33">
        <v>45248</v>
      </c>
      <c r="B3293" s="29" t="s">
        <v>4164</v>
      </c>
      <c r="C3293" s="29" t="s">
        <v>4165</v>
      </c>
      <c r="D3293" s="29" t="s">
        <v>4166</v>
      </c>
      <c r="E3293" s="92">
        <v>240296</v>
      </c>
      <c r="F3293" s="89" t="s">
        <v>4968</v>
      </c>
      <c r="G3293" s="29" t="s">
        <v>4971</v>
      </c>
    </row>
    <row r="3294" spans="1:7">
      <c r="A3294" s="33">
        <v>45249</v>
      </c>
      <c r="B3294" s="29" t="s">
        <v>4168</v>
      </c>
      <c r="C3294" s="29" t="s">
        <v>4169</v>
      </c>
      <c r="D3294" s="29" t="s">
        <v>4170</v>
      </c>
      <c r="E3294" s="92">
        <v>240283</v>
      </c>
      <c r="F3294" s="89" t="s">
        <v>4966</v>
      </c>
      <c r="G3294" s="29" t="s">
        <v>8991</v>
      </c>
    </row>
    <row r="3295" spans="1:7">
      <c r="A3295" s="33">
        <v>45250</v>
      </c>
      <c r="B3295" s="29" t="s">
        <v>4172</v>
      </c>
      <c r="C3295" s="29" t="s">
        <v>4173</v>
      </c>
      <c r="D3295" s="29" t="s">
        <v>4174</v>
      </c>
      <c r="E3295" s="92">
        <v>240107</v>
      </c>
      <c r="F3295" s="89" t="s">
        <v>4964</v>
      </c>
      <c r="G3295" s="29" t="s">
        <v>9431</v>
      </c>
    </row>
    <row r="3296" spans="1:7">
      <c r="A3296" s="33">
        <v>45251</v>
      </c>
      <c r="B3296" s="29" t="s">
        <v>4176</v>
      </c>
      <c r="C3296" s="29" t="s">
        <v>4177</v>
      </c>
      <c r="D3296" s="29" t="s">
        <v>4178</v>
      </c>
      <c r="E3296" s="92">
        <v>239847</v>
      </c>
      <c r="F3296" s="89" t="s">
        <v>4962</v>
      </c>
      <c r="G3296" s="29" t="s">
        <v>8582</v>
      </c>
    </row>
    <row r="3297" spans="1:7">
      <c r="A3297" s="33">
        <v>45252</v>
      </c>
      <c r="B3297" s="29" t="s">
        <v>4179</v>
      </c>
      <c r="C3297" s="29" t="s">
        <v>4180</v>
      </c>
      <c r="D3297" s="29" t="s">
        <v>4181</v>
      </c>
      <c r="E3297" s="92">
        <v>239142</v>
      </c>
      <c r="F3297" s="89" t="s">
        <v>4960</v>
      </c>
      <c r="G3297" s="29" t="s">
        <v>4778</v>
      </c>
    </row>
    <row r="3298" spans="1:7">
      <c r="A3298" s="33">
        <v>45253</v>
      </c>
      <c r="B3298" s="29" t="s">
        <v>4183</v>
      </c>
      <c r="C3298" s="29" t="s">
        <v>4184</v>
      </c>
      <c r="D3298" s="29" t="s">
        <v>4185</v>
      </c>
      <c r="E3298" s="92">
        <v>239018</v>
      </c>
      <c r="F3298" s="89" t="s">
        <v>4956</v>
      </c>
      <c r="G3298" s="29" t="s">
        <v>8678</v>
      </c>
    </row>
    <row r="3299" spans="1:7">
      <c r="A3299" s="33">
        <v>45254</v>
      </c>
      <c r="B3299" s="29" t="s">
        <v>4187</v>
      </c>
      <c r="C3299" s="29" t="s">
        <v>4188</v>
      </c>
      <c r="D3299" s="29" t="s">
        <v>4189</v>
      </c>
      <c r="E3299" s="92">
        <v>238892</v>
      </c>
      <c r="F3299" s="89" t="s">
        <v>4954</v>
      </c>
      <c r="G3299" s="29" t="s">
        <v>8400</v>
      </c>
    </row>
    <row r="3300" spans="1:7">
      <c r="A3300" s="33">
        <v>45255</v>
      </c>
      <c r="B3300" s="29" t="s">
        <v>4191</v>
      </c>
      <c r="C3300" s="29" t="s">
        <v>4192</v>
      </c>
      <c r="D3300" s="29" t="s">
        <v>4193</v>
      </c>
      <c r="E3300" s="92">
        <v>238872</v>
      </c>
      <c r="F3300" s="89" t="s">
        <v>4952</v>
      </c>
      <c r="G3300" s="29" t="s">
        <v>9711</v>
      </c>
    </row>
    <row r="3301" spans="1:7">
      <c r="A3301" s="33">
        <v>45256</v>
      </c>
      <c r="B3301" s="29" t="s">
        <v>4195</v>
      </c>
      <c r="C3301" s="29" t="s">
        <v>4196</v>
      </c>
      <c r="D3301" s="29" t="s">
        <v>4197</v>
      </c>
      <c r="E3301" s="92">
        <v>238735</v>
      </c>
      <c r="F3301" s="89" t="s">
        <v>4948</v>
      </c>
      <c r="G3301" s="29" t="s">
        <v>8415</v>
      </c>
    </row>
    <row r="3302" spans="1:7">
      <c r="A3302" s="33">
        <v>45257</v>
      </c>
      <c r="B3302" s="29" t="s">
        <v>4199</v>
      </c>
      <c r="C3302" s="29" t="s">
        <v>4200</v>
      </c>
      <c r="D3302" s="29" t="s">
        <v>4201</v>
      </c>
      <c r="E3302" s="92">
        <v>238477</v>
      </c>
      <c r="F3302" s="89" t="s">
        <v>4946</v>
      </c>
      <c r="G3302" s="29" t="s">
        <v>8493</v>
      </c>
    </row>
    <row r="3303" spans="1:7">
      <c r="A3303" s="33">
        <v>45258</v>
      </c>
      <c r="B3303" s="29" t="s">
        <v>4203</v>
      </c>
      <c r="C3303" s="29" t="s">
        <v>4204</v>
      </c>
      <c r="D3303" s="29" t="s">
        <v>4205</v>
      </c>
      <c r="E3303" s="92">
        <v>238259</v>
      </c>
      <c r="F3303" s="89" t="s">
        <v>4944</v>
      </c>
      <c r="G3303" s="29" t="s">
        <v>8756</v>
      </c>
    </row>
    <row r="3304" spans="1:7">
      <c r="A3304" s="33">
        <v>45259</v>
      </c>
      <c r="B3304" s="29" t="s">
        <v>4207</v>
      </c>
      <c r="C3304" s="29" t="s">
        <v>4208</v>
      </c>
      <c r="D3304" s="29" t="s">
        <v>4209</v>
      </c>
      <c r="E3304" s="92">
        <v>238229</v>
      </c>
      <c r="F3304" s="89" t="s">
        <v>4942</v>
      </c>
      <c r="G3304" s="29" t="s">
        <v>8586</v>
      </c>
    </row>
    <row r="3305" spans="1:7">
      <c r="A3305" s="33">
        <v>45260</v>
      </c>
      <c r="B3305" s="29" t="s">
        <v>4211</v>
      </c>
      <c r="C3305" s="29" t="s">
        <v>4212</v>
      </c>
      <c r="D3305" s="29" t="s">
        <v>4213</v>
      </c>
      <c r="E3305" s="92">
        <v>238168</v>
      </c>
      <c r="F3305" s="89" t="s">
        <v>4941</v>
      </c>
      <c r="G3305" s="29" t="s">
        <v>8638</v>
      </c>
    </row>
    <row r="3306" spans="1:7">
      <c r="A3306" s="33">
        <v>45261</v>
      </c>
      <c r="B3306" s="29" t="s">
        <v>4215</v>
      </c>
      <c r="C3306" s="29" t="s">
        <v>4216</v>
      </c>
      <c r="D3306" s="29" t="s">
        <v>4217</v>
      </c>
      <c r="E3306" s="92">
        <v>237605</v>
      </c>
      <c r="F3306" s="89" t="s">
        <v>4940</v>
      </c>
      <c r="G3306" s="29" t="s">
        <v>8476</v>
      </c>
    </row>
    <row r="3307" spans="1:7">
      <c r="A3307" s="33">
        <v>45262</v>
      </c>
      <c r="B3307" s="29" t="s">
        <v>4219</v>
      </c>
      <c r="C3307" s="29" t="s">
        <v>4220</v>
      </c>
      <c r="D3307" s="29" t="s">
        <v>4221</v>
      </c>
      <c r="E3307" s="92">
        <v>237549</v>
      </c>
      <c r="F3307" s="89" t="s">
        <v>4939</v>
      </c>
      <c r="G3307" s="29" t="s">
        <v>8411</v>
      </c>
    </row>
    <row r="3308" spans="1:7">
      <c r="A3308" s="33">
        <v>45263</v>
      </c>
      <c r="B3308" s="29" t="s">
        <v>4223</v>
      </c>
      <c r="C3308" s="29" t="s">
        <v>4224</v>
      </c>
      <c r="D3308" s="29" t="s">
        <v>4225</v>
      </c>
      <c r="E3308" s="92">
        <v>237408</v>
      </c>
      <c r="F3308" s="89" t="s">
        <v>4938</v>
      </c>
      <c r="G3308" s="29" t="s">
        <v>8498</v>
      </c>
    </row>
    <row r="3309" spans="1:7">
      <c r="A3309" s="33">
        <v>45264</v>
      </c>
      <c r="B3309" s="29" t="s">
        <v>4227</v>
      </c>
      <c r="C3309" s="29" t="s">
        <v>4228</v>
      </c>
      <c r="D3309" s="29" t="s">
        <v>4227</v>
      </c>
      <c r="E3309" s="92">
        <v>237334</v>
      </c>
      <c r="F3309" s="89" t="s">
        <v>4937</v>
      </c>
      <c r="G3309" s="29" t="s">
        <v>9712</v>
      </c>
    </row>
    <row r="3310" spans="1:7">
      <c r="A3310" s="33">
        <v>45265</v>
      </c>
      <c r="B3310" s="29" t="s">
        <v>4230</v>
      </c>
      <c r="C3310" s="29" t="s">
        <v>4231</v>
      </c>
      <c r="D3310" s="29" t="s">
        <v>4232</v>
      </c>
      <c r="E3310" s="92">
        <v>237293</v>
      </c>
      <c r="F3310" s="89" t="s">
        <v>4935</v>
      </c>
      <c r="G3310" s="29" t="s">
        <v>9438</v>
      </c>
    </row>
    <row r="3311" spans="1:7">
      <c r="A3311" s="33">
        <v>45266</v>
      </c>
      <c r="B3311" s="29" t="s">
        <v>4234</v>
      </c>
      <c r="C3311" s="29" t="s">
        <v>4235</v>
      </c>
      <c r="D3311" s="29" t="s">
        <v>4236</v>
      </c>
      <c r="E3311" s="92">
        <v>237283</v>
      </c>
      <c r="F3311" s="89" t="s">
        <v>4934</v>
      </c>
      <c r="G3311" s="29" t="s">
        <v>8839</v>
      </c>
    </row>
    <row r="3312" spans="1:7">
      <c r="A3312" s="33">
        <v>45267</v>
      </c>
      <c r="B3312" s="29" t="s">
        <v>4238</v>
      </c>
      <c r="C3312" s="29" t="s">
        <v>4239</v>
      </c>
      <c r="D3312" s="29" t="s">
        <v>4240</v>
      </c>
      <c r="E3312" s="92">
        <v>237116</v>
      </c>
      <c r="F3312" s="89" t="s">
        <v>4933</v>
      </c>
      <c r="G3312" s="29" t="s">
        <v>9588</v>
      </c>
    </row>
    <row r="3313" spans="1:7">
      <c r="A3313" s="33">
        <v>45268</v>
      </c>
      <c r="B3313" s="29" t="s">
        <v>4242</v>
      </c>
      <c r="C3313" s="29" t="s">
        <v>4243</v>
      </c>
      <c r="D3313" s="29" t="s">
        <v>4244</v>
      </c>
      <c r="E3313" s="92">
        <v>237096</v>
      </c>
      <c r="F3313" s="89" t="s">
        <v>4932</v>
      </c>
      <c r="G3313" s="29" t="s">
        <v>8832</v>
      </c>
    </row>
    <row r="3314" spans="1:7">
      <c r="A3314" s="33">
        <v>45269</v>
      </c>
      <c r="B3314" s="29" t="s">
        <v>4246</v>
      </c>
      <c r="C3314" s="29" t="s">
        <v>4247</v>
      </c>
      <c r="D3314" s="29" t="s">
        <v>4248</v>
      </c>
      <c r="E3314" s="92">
        <v>236929</v>
      </c>
      <c r="F3314" s="89" t="s">
        <v>4931</v>
      </c>
      <c r="G3314" s="29" t="s">
        <v>8602</v>
      </c>
    </row>
    <row r="3315" spans="1:7">
      <c r="A3315" s="33">
        <v>45270</v>
      </c>
      <c r="B3315" s="29" t="s">
        <v>4250</v>
      </c>
      <c r="C3315" s="29" t="s">
        <v>4251</v>
      </c>
      <c r="D3315" s="29" t="s">
        <v>4252</v>
      </c>
      <c r="E3315" s="92">
        <v>236823</v>
      </c>
      <c r="F3315" s="89" t="s">
        <v>4930</v>
      </c>
      <c r="G3315" s="29" t="s">
        <v>6699</v>
      </c>
    </row>
    <row r="3316" spans="1:7">
      <c r="A3316" s="33">
        <v>45271</v>
      </c>
      <c r="B3316" s="29" t="s">
        <v>4254</v>
      </c>
      <c r="C3316" s="29" t="s">
        <v>4255</v>
      </c>
      <c r="D3316" s="29" t="s">
        <v>4256</v>
      </c>
      <c r="E3316" s="92">
        <v>236802</v>
      </c>
      <c r="F3316" s="89" t="s">
        <v>4928</v>
      </c>
      <c r="G3316" s="29" t="s">
        <v>9446</v>
      </c>
    </row>
    <row r="3317" spans="1:7">
      <c r="A3317" s="33">
        <v>45272</v>
      </c>
      <c r="B3317" s="29" t="s">
        <v>4258</v>
      </c>
      <c r="C3317" s="29" t="s">
        <v>4259</v>
      </c>
      <c r="D3317" s="29" t="s">
        <v>4260</v>
      </c>
      <c r="E3317" s="92">
        <v>236687</v>
      </c>
      <c r="F3317" s="89" t="s">
        <v>4927</v>
      </c>
      <c r="G3317" s="29" t="s">
        <v>9426</v>
      </c>
    </row>
    <row r="3318" spans="1:7">
      <c r="A3318" s="33">
        <v>45273</v>
      </c>
      <c r="B3318" s="29" t="s">
        <v>4262</v>
      </c>
      <c r="C3318" s="29" t="s">
        <v>4263</v>
      </c>
      <c r="D3318" s="29" t="s">
        <v>4264</v>
      </c>
      <c r="E3318" s="92">
        <v>236552</v>
      </c>
      <c r="F3318" s="89" t="s">
        <v>4926</v>
      </c>
      <c r="G3318" s="29" t="s">
        <v>9639</v>
      </c>
    </row>
    <row r="3319" spans="1:7">
      <c r="A3319" s="33">
        <v>45274</v>
      </c>
      <c r="B3319" s="29" t="s">
        <v>9713</v>
      </c>
      <c r="C3319" s="29" t="s">
        <v>9714</v>
      </c>
      <c r="D3319" s="29" t="s">
        <v>9715</v>
      </c>
      <c r="E3319" s="92">
        <v>236462</v>
      </c>
      <c r="F3319" s="89" t="s">
        <v>4925</v>
      </c>
      <c r="G3319" s="29" t="s">
        <v>9218</v>
      </c>
    </row>
    <row r="3320" spans="1:7">
      <c r="A3320" s="33">
        <v>45275</v>
      </c>
      <c r="B3320" s="29" t="s">
        <v>9716</v>
      </c>
      <c r="C3320" s="29" t="s">
        <v>4778</v>
      </c>
      <c r="D3320" s="29" t="s">
        <v>9717</v>
      </c>
      <c r="E3320" s="92">
        <v>236426</v>
      </c>
      <c r="F3320" s="89" t="s">
        <v>4924</v>
      </c>
      <c r="G3320" s="29" t="s">
        <v>8765</v>
      </c>
    </row>
    <row r="3321" spans="1:7">
      <c r="A3321" s="33">
        <v>45276</v>
      </c>
      <c r="B3321" s="29" t="s">
        <v>4266</v>
      </c>
      <c r="C3321" s="29" t="s">
        <v>4267</v>
      </c>
      <c r="D3321" s="29" t="s">
        <v>4268</v>
      </c>
      <c r="E3321" s="92">
        <v>236377</v>
      </c>
      <c r="F3321" s="89" t="s">
        <v>4923</v>
      </c>
      <c r="G3321" s="29" t="s">
        <v>9634</v>
      </c>
    </row>
    <row r="3322" spans="1:7">
      <c r="A3322" s="33">
        <v>45277</v>
      </c>
      <c r="B3322" s="29" t="s">
        <v>4270</v>
      </c>
      <c r="C3322" s="29" t="s">
        <v>4271</v>
      </c>
      <c r="D3322" s="29" t="s">
        <v>4272</v>
      </c>
      <c r="E3322" s="92">
        <v>236326</v>
      </c>
      <c r="F3322" s="89" t="s">
        <v>4922</v>
      </c>
      <c r="G3322" s="29" t="s">
        <v>6790</v>
      </c>
    </row>
    <row r="3323" spans="1:7">
      <c r="A3323" s="33">
        <v>45278</v>
      </c>
      <c r="B3323" s="29" t="s">
        <v>4274</v>
      </c>
      <c r="C3323" s="29" t="s">
        <v>4275</v>
      </c>
      <c r="D3323" s="29" t="s">
        <v>4276</v>
      </c>
      <c r="E3323" s="92">
        <v>236153</v>
      </c>
      <c r="F3323" s="89" t="s">
        <v>4921</v>
      </c>
      <c r="G3323" s="29" t="s">
        <v>8582</v>
      </c>
    </row>
    <row r="3324" spans="1:7">
      <c r="A3324" s="33">
        <v>45279</v>
      </c>
      <c r="B3324" s="29" t="s">
        <v>4278</v>
      </c>
      <c r="C3324" s="29" t="s">
        <v>4279</v>
      </c>
      <c r="D3324" s="29" t="s">
        <v>4280</v>
      </c>
      <c r="E3324" s="92">
        <v>236153</v>
      </c>
      <c r="F3324" s="89" t="s">
        <v>4920</v>
      </c>
      <c r="G3324" s="29" t="s">
        <v>9016</v>
      </c>
    </row>
    <row r="3325" spans="1:7">
      <c r="A3325" s="33">
        <v>45280</v>
      </c>
      <c r="B3325" s="29" t="s">
        <v>4282</v>
      </c>
      <c r="C3325" s="29" t="s">
        <v>4283</v>
      </c>
      <c r="D3325" s="29" t="s">
        <v>4284</v>
      </c>
      <c r="E3325" s="92">
        <v>236145</v>
      </c>
      <c r="F3325" s="89" t="s">
        <v>4919</v>
      </c>
      <c r="G3325" s="29" t="s">
        <v>9251</v>
      </c>
    </row>
    <row r="3326" spans="1:7">
      <c r="A3326" s="33">
        <v>45281</v>
      </c>
      <c r="B3326" s="29" t="s">
        <v>4286</v>
      </c>
      <c r="C3326" s="29" t="s">
        <v>4287</v>
      </c>
      <c r="D3326" s="29" t="s">
        <v>4288</v>
      </c>
      <c r="E3326" s="92">
        <v>236121</v>
      </c>
      <c r="F3326" s="89" t="s">
        <v>4916</v>
      </c>
      <c r="G3326" s="29" t="s">
        <v>8480</v>
      </c>
    </row>
    <row r="3327" spans="1:7">
      <c r="A3327" s="33">
        <v>45282</v>
      </c>
      <c r="B3327" s="29" t="s">
        <v>4290</v>
      </c>
      <c r="C3327" s="29" t="s">
        <v>4291</v>
      </c>
      <c r="D3327" s="29" t="s">
        <v>4292</v>
      </c>
      <c r="E3327" s="92">
        <v>236072</v>
      </c>
      <c r="F3327" s="89" t="s">
        <v>4915</v>
      </c>
      <c r="G3327" s="29" t="s">
        <v>8508</v>
      </c>
    </row>
    <row r="3328" spans="1:7">
      <c r="A3328" s="33">
        <v>45283</v>
      </c>
      <c r="B3328" s="29" t="s">
        <v>4294</v>
      </c>
      <c r="C3328" s="29" t="s">
        <v>4295</v>
      </c>
      <c r="D3328" s="29" t="s">
        <v>4296</v>
      </c>
      <c r="E3328" s="92">
        <v>235977</v>
      </c>
      <c r="F3328" s="89" t="s">
        <v>4913</v>
      </c>
      <c r="G3328" s="29" t="s">
        <v>6741</v>
      </c>
    </row>
    <row r="3329" spans="1:7">
      <c r="A3329" s="33">
        <v>45284</v>
      </c>
      <c r="B3329" s="29" t="s">
        <v>4298</v>
      </c>
      <c r="C3329" s="29" t="s">
        <v>4299</v>
      </c>
      <c r="D3329" s="29" t="s">
        <v>4300</v>
      </c>
      <c r="E3329" s="92">
        <v>235427</v>
      </c>
      <c r="F3329" s="89" t="s">
        <v>4910</v>
      </c>
      <c r="G3329" s="29" t="s">
        <v>6818</v>
      </c>
    </row>
    <row r="3330" spans="1:7">
      <c r="A3330" s="33">
        <v>45285</v>
      </c>
      <c r="B3330" s="29" t="s">
        <v>4302</v>
      </c>
      <c r="C3330" s="29" t="s">
        <v>4303</v>
      </c>
      <c r="D3330" s="29" t="s">
        <v>4304</v>
      </c>
      <c r="E3330" s="92">
        <v>235344</v>
      </c>
      <c r="F3330" s="89" t="s">
        <v>4909</v>
      </c>
      <c r="G3330" s="29" t="s">
        <v>6682</v>
      </c>
    </row>
    <row r="3331" spans="1:7">
      <c r="A3331" s="33">
        <v>45286</v>
      </c>
      <c r="B3331" s="29" t="s">
        <v>4306</v>
      </c>
      <c r="C3331" s="29" t="s">
        <v>4307</v>
      </c>
      <c r="D3331" s="29" t="s">
        <v>4308</v>
      </c>
      <c r="E3331" s="92">
        <v>235269</v>
      </c>
      <c r="F3331" s="89" t="s">
        <v>4908</v>
      </c>
      <c r="G3331" s="35">
        <v>30000000000</v>
      </c>
    </row>
    <row r="3332" spans="1:7">
      <c r="A3332" s="33">
        <v>45287</v>
      </c>
      <c r="B3332" s="29" t="s">
        <v>4310</v>
      </c>
      <c r="C3332" s="29" t="s">
        <v>4311</v>
      </c>
      <c r="D3332" s="29" t="s">
        <v>4312</v>
      </c>
      <c r="E3332" s="92">
        <v>235229</v>
      </c>
      <c r="F3332" s="89" t="s">
        <v>4907</v>
      </c>
      <c r="G3332" s="29" t="s">
        <v>9536</v>
      </c>
    </row>
    <row r="3333" spans="1:7">
      <c r="A3333" s="33">
        <v>45288</v>
      </c>
      <c r="B3333" s="29" t="s">
        <v>9718</v>
      </c>
      <c r="C3333" s="29" t="s">
        <v>4778</v>
      </c>
      <c r="D3333" s="29" t="s">
        <v>9719</v>
      </c>
      <c r="E3333" s="92">
        <v>235144</v>
      </c>
      <c r="F3333" s="89" t="s">
        <v>4906</v>
      </c>
      <c r="G3333" s="29" t="s">
        <v>8808</v>
      </c>
    </row>
    <row r="3334" spans="1:7">
      <c r="A3334" s="33">
        <v>45289</v>
      </c>
      <c r="B3334" s="29" t="s">
        <v>4314</v>
      </c>
      <c r="C3334" s="29" t="s">
        <v>4315</v>
      </c>
      <c r="D3334" s="29" t="s">
        <v>4316</v>
      </c>
      <c r="E3334" s="92">
        <v>235019</v>
      </c>
      <c r="F3334" s="89" t="s">
        <v>9720</v>
      </c>
      <c r="G3334" s="29" t="s">
        <v>9075</v>
      </c>
    </row>
    <row r="3335" spans="1:7">
      <c r="A3335" s="33">
        <v>45290</v>
      </c>
      <c r="B3335" s="29" t="s">
        <v>4318</v>
      </c>
      <c r="C3335" s="29" t="s">
        <v>4319</v>
      </c>
      <c r="D3335" s="29" t="s">
        <v>4320</v>
      </c>
      <c r="E3335" s="92">
        <v>234825</v>
      </c>
      <c r="F3335" s="89" t="s">
        <v>4905</v>
      </c>
      <c r="G3335" s="29" t="s">
        <v>8662</v>
      </c>
    </row>
    <row r="3336" spans="1:7">
      <c r="A3336" s="33">
        <v>45291</v>
      </c>
      <c r="B3336" s="29" t="s">
        <v>4322</v>
      </c>
      <c r="C3336" s="29" t="s">
        <v>4323</v>
      </c>
      <c r="D3336" s="29" t="s">
        <v>4324</v>
      </c>
      <c r="E3336" s="92">
        <v>234529</v>
      </c>
      <c r="F3336" s="89" t="s">
        <v>4903</v>
      </c>
      <c r="G3336" s="29" t="s">
        <v>8758</v>
      </c>
    </row>
    <row r="3337" spans="1:7">
      <c r="A3337" s="33">
        <v>45292</v>
      </c>
      <c r="B3337" s="29" t="s">
        <v>4326</v>
      </c>
      <c r="C3337" s="29" t="s">
        <v>4327</v>
      </c>
      <c r="D3337" s="29" t="s">
        <v>4328</v>
      </c>
      <c r="E3337" s="92">
        <v>234176</v>
      </c>
      <c r="F3337" s="89" t="s">
        <v>4900</v>
      </c>
      <c r="G3337" s="29" t="s">
        <v>6787</v>
      </c>
    </row>
    <row r="3338" spans="1:7">
      <c r="A3338" s="33">
        <v>45293</v>
      </c>
      <c r="B3338" s="29" t="s">
        <v>4330</v>
      </c>
      <c r="C3338" s="29" t="s">
        <v>4331</v>
      </c>
      <c r="D3338" s="29" t="s">
        <v>4332</v>
      </c>
      <c r="E3338" s="92">
        <v>234018</v>
      </c>
      <c r="F3338" s="89" t="s">
        <v>4899</v>
      </c>
      <c r="G3338" s="29" t="s">
        <v>8961</v>
      </c>
    </row>
    <row r="3339" spans="1:7">
      <c r="A3339" s="33">
        <v>45294</v>
      </c>
      <c r="B3339" s="29" t="s">
        <v>4334</v>
      </c>
      <c r="C3339" s="29" t="s">
        <v>4335</v>
      </c>
      <c r="D3339" s="29" t="s">
        <v>4336</v>
      </c>
      <c r="E3339" s="92">
        <v>233915</v>
      </c>
      <c r="F3339" s="89" t="s">
        <v>4897</v>
      </c>
      <c r="G3339" s="29" t="s">
        <v>9362</v>
      </c>
    </row>
    <row r="3340" spans="1:7">
      <c r="A3340" s="33">
        <v>45295</v>
      </c>
      <c r="B3340" s="29" t="s">
        <v>4338</v>
      </c>
      <c r="C3340" s="29" t="s">
        <v>4339</v>
      </c>
      <c r="D3340" s="29" t="s">
        <v>4340</v>
      </c>
      <c r="E3340" s="92">
        <v>233843</v>
      </c>
      <c r="F3340" s="89" t="s">
        <v>4896</v>
      </c>
      <c r="G3340" s="29" t="s">
        <v>8793</v>
      </c>
    </row>
    <row r="3341" spans="1:7">
      <c r="A3341" s="33">
        <v>45296</v>
      </c>
      <c r="B3341" s="29" t="s">
        <v>4342</v>
      </c>
      <c r="C3341" s="29" t="s">
        <v>4343</v>
      </c>
      <c r="D3341" s="29" t="s">
        <v>4344</v>
      </c>
      <c r="E3341" s="92">
        <v>233543</v>
      </c>
      <c r="F3341" s="89" t="s">
        <v>4894</v>
      </c>
      <c r="G3341" s="29" t="s">
        <v>8826</v>
      </c>
    </row>
    <row r="3342" spans="1:7">
      <c r="A3342" s="33">
        <v>45297</v>
      </c>
      <c r="B3342" s="29" t="s">
        <v>4346</v>
      </c>
      <c r="C3342" s="29" t="s">
        <v>4347</v>
      </c>
      <c r="D3342" s="29" t="s">
        <v>4348</v>
      </c>
      <c r="E3342" s="92">
        <v>233513</v>
      </c>
      <c r="F3342" s="89" t="s">
        <v>4893</v>
      </c>
      <c r="G3342" s="29" t="s">
        <v>8768</v>
      </c>
    </row>
    <row r="3343" spans="1:7">
      <c r="A3343" s="33">
        <v>45298</v>
      </c>
      <c r="B3343" s="29" t="s">
        <v>4350</v>
      </c>
      <c r="C3343" s="29" t="s">
        <v>4351</v>
      </c>
      <c r="D3343" s="29" t="s">
        <v>4352</v>
      </c>
      <c r="E3343" s="92">
        <v>233406</v>
      </c>
      <c r="F3343" s="89" t="s">
        <v>4892</v>
      </c>
      <c r="G3343" s="29" t="s">
        <v>8512</v>
      </c>
    </row>
    <row r="3344" spans="1:7">
      <c r="A3344" s="33">
        <v>45299</v>
      </c>
      <c r="B3344" s="29" t="s">
        <v>4354</v>
      </c>
      <c r="C3344" s="29">
        <v>47218</v>
      </c>
      <c r="D3344" s="29" t="s">
        <v>4356</v>
      </c>
      <c r="E3344" s="92">
        <v>233345</v>
      </c>
      <c r="F3344" s="89" t="s">
        <v>4891</v>
      </c>
      <c r="G3344" s="29" t="s">
        <v>8794</v>
      </c>
    </row>
    <row r="3345" spans="1:7">
      <c r="A3345" s="33">
        <v>45300</v>
      </c>
      <c r="B3345" s="29" t="s">
        <v>4358</v>
      </c>
      <c r="C3345" s="29" t="s">
        <v>4359</v>
      </c>
      <c r="D3345" s="29" t="s">
        <v>4360</v>
      </c>
      <c r="E3345" s="92">
        <v>233128</v>
      </c>
      <c r="F3345" s="89" t="s">
        <v>4890</v>
      </c>
      <c r="G3345" s="29" t="s">
        <v>9232</v>
      </c>
    </row>
    <row r="3346" spans="1:7">
      <c r="A3346" s="33">
        <v>45301</v>
      </c>
      <c r="B3346" s="29" t="s">
        <v>4362</v>
      </c>
      <c r="C3346" s="29" t="s">
        <v>4363</v>
      </c>
      <c r="D3346" s="29" t="s">
        <v>4364</v>
      </c>
      <c r="E3346" s="92">
        <v>232975</v>
      </c>
      <c r="F3346" s="89" t="s">
        <v>4889</v>
      </c>
      <c r="G3346" s="29" t="s">
        <v>4778</v>
      </c>
    </row>
    <row r="3347" spans="1:7">
      <c r="A3347" s="33">
        <v>45302</v>
      </c>
      <c r="B3347" s="29" t="s">
        <v>4366</v>
      </c>
      <c r="C3347" s="29" t="s">
        <v>4367</v>
      </c>
      <c r="D3347" s="29" t="s">
        <v>4368</v>
      </c>
      <c r="E3347" s="92">
        <v>232879</v>
      </c>
      <c r="F3347" s="89" t="s">
        <v>4888</v>
      </c>
      <c r="G3347" s="29" t="s">
        <v>9721</v>
      </c>
    </row>
    <row r="3348" spans="1:7">
      <c r="A3348" s="33">
        <v>45303</v>
      </c>
      <c r="B3348" s="29" t="s">
        <v>4370</v>
      </c>
      <c r="C3348" s="29" t="s">
        <v>4371</v>
      </c>
      <c r="D3348" s="29" t="s">
        <v>4372</v>
      </c>
      <c r="E3348" s="92">
        <v>232757</v>
      </c>
      <c r="F3348" s="89" t="s">
        <v>4887</v>
      </c>
      <c r="G3348" s="29" t="s">
        <v>8862</v>
      </c>
    </row>
    <row r="3349" spans="1:7">
      <c r="A3349" s="33">
        <v>45304</v>
      </c>
      <c r="B3349" s="29" t="s">
        <v>4374</v>
      </c>
      <c r="C3349" s="29" t="s">
        <v>4375</v>
      </c>
      <c r="D3349" s="29" t="s">
        <v>4376</v>
      </c>
      <c r="E3349" s="92">
        <v>232569</v>
      </c>
      <c r="F3349" s="89" t="s">
        <v>4885</v>
      </c>
      <c r="G3349" s="29" t="s">
        <v>8501</v>
      </c>
    </row>
    <row r="3350" spans="1:7">
      <c r="A3350" s="33">
        <v>45305</v>
      </c>
      <c r="B3350" s="29" t="s">
        <v>4378</v>
      </c>
      <c r="C3350" s="29" t="s">
        <v>4379</v>
      </c>
      <c r="D3350" s="29" t="s">
        <v>4380</v>
      </c>
      <c r="E3350" s="92">
        <v>232402</v>
      </c>
      <c r="F3350" s="89" t="s">
        <v>4883</v>
      </c>
      <c r="G3350" s="29" t="s">
        <v>8612</v>
      </c>
    </row>
    <row r="3351" spans="1:7">
      <c r="A3351" s="33">
        <v>45306</v>
      </c>
      <c r="B3351" s="29" t="s">
        <v>4382</v>
      </c>
      <c r="C3351" s="29" t="s">
        <v>4383</v>
      </c>
      <c r="D3351" s="29" t="s">
        <v>4384</v>
      </c>
      <c r="E3351" s="92">
        <v>232079</v>
      </c>
      <c r="F3351" s="89" t="s">
        <v>4882</v>
      </c>
      <c r="G3351" s="29" t="s">
        <v>8471</v>
      </c>
    </row>
    <row r="3352" spans="1:7">
      <c r="A3352" s="33">
        <v>45307</v>
      </c>
      <c r="B3352" s="29" t="s">
        <v>4386</v>
      </c>
      <c r="C3352" s="29" t="s">
        <v>4387</v>
      </c>
      <c r="D3352" s="29">
        <v>42086</v>
      </c>
      <c r="E3352" s="92">
        <v>231947</v>
      </c>
      <c r="F3352" s="89" t="s">
        <v>4880</v>
      </c>
      <c r="G3352" s="29" t="s">
        <v>8829</v>
      </c>
    </row>
    <row r="3353" spans="1:7">
      <c r="A3353" s="33">
        <v>45308</v>
      </c>
      <c r="B3353" s="29" t="s">
        <v>4390</v>
      </c>
      <c r="C3353" s="29" t="s">
        <v>4391</v>
      </c>
      <c r="D3353" s="29" t="s">
        <v>4392</v>
      </c>
      <c r="E3353" s="92">
        <v>231493</v>
      </c>
      <c r="F3353" s="89" t="s">
        <v>4879</v>
      </c>
      <c r="G3353" s="29" t="s">
        <v>9431</v>
      </c>
    </row>
    <row r="3354" spans="1:7">
      <c r="A3354" s="33">
        <v>45309</v>
      </c>
      <c r="B3354" s="29" t="s">
        <v>4394</v>
      </c>
      <c r="C3354" s="29" t="s">
        <v>4395</v>
      </c>
      <c r="D3354" s="29" t="s">
        <v>4396</v>
      </c>
      <c r="E3354" s="92">
        <v>231396</v>
      </c>
      <c r="F3354" s="89" t="s">
        <v>4878</v>
      </c>
      <c r="G3354" s="29" t="s">
        <v>8582</v>
      </c>
    </row>
    <row r="3355" spans="1:7">
      <c r="A3355" s="33">
        <v>45310</v>
      </c>
      <c r="B3355" s="29" t="s">
        <v>4398</v>
      </c>
      <c r="C3355" s="29" t="s">
        <v>4399</v>
      </c>
      <c r="D3355" s="29" t="s">
        <v>4400</v>
      </c>
      <c r="E3355" s="92">
        <v>231268</v>
      </c>
      <c r="F3355" s="89" t="s">
        <v>4876</v>
      </c>
      <c r="G3355" s="29" t="s">
        <v>8831</v>
      </c>
    </row>
    <row r="3356" spans="1:7">
      <c r="A3356" s="33">
        <v>45311</v>
      </c>
      <c r="B3356" s="29" t="s">
        <v>4402</v>
      </c>
      <c r="C3356" s="29" t="s">
        <v>4403</v>
      </c>
      <c r="D3356" s="29" t="s">
        <v>4404</v>
      </c>
      <c r="E3356" s="92">
        <v>231212</v>
      </c>
      <c r="F3356" s="89" t="s">
        <v>4874</v>
      </c>
      <c r="G3356" s="29" t="s">
        <v>6650</v>
      </c>
    </row>
    <row r="3357" spans="1:7">
      <c r="A3357" s="33">
        <v>45312</v>
      </c>
      <c r="B3357" s="29" t="s">
        <v>4406</v>
      </c>
      <c r="C3357" s="29" t="s">
        <v>4407</v>
      </c>
      <c r="D3357" s="29" t="s">
        <v>4408</v>
      </c>
      <c r="E3357" s="92">
        <v>230644</v>
      </c>
      <c r="F3357" s="89" t="s">
        <v>4873</v>
      </c>
      <c r="G3357" s="29" t="s">
        <v>8377</v>
      </c>
    </row>
    <row r="3358" spans="1:7">
      <c r="A3358" s="33">
        <v>45313</v>
      </c>
      <c r="B3358" s="29" t="s">
        <v>4410</v>
      </c>
      <c r="C3358" s="29" t="s">
        <v>4411</v>
      </c>
      <c r="D3358" s="29" t="s">
        <v>4412</v>
      </c>
      <c r="E3358" s="92">
        <v>230618</v>
      </c>
      <c r="F3358" s="89" t="s">
        <v>4871</v>
      </c>
      <c r="G3358" s="29" t="s">
        <v>8823</v>
      </c>
    </row>
    <row r="3359" spans="1:7">
      <c r="A3359" s="33">
        <v>45314</v>
      </c>
      <c r="B3359" s="29" t="s">
        <v>4414</v>
      </c>
      <c r="C3359" s="29" t="s">
        <v>4415</v>
      </c>
      <c r="D3359" s="29" t="s">
        <v>4416</v>
      </c>
      <c r="E3359" s="92">
        <v>230512</v>
      </c>
      <c r="F3359" s="89" t="s">
        <v>4870</v>
      </c>
      <c r="G3359" s="29" t="s">
        <v>8477</v>
      </c>
    </row>
    <row r="3360" spans="1:7">
      <c r="A3360" s="33">
        <v>45315</v>
      </c>
      <c r="B3360" s="29" t="s">
        <v>4418</v>
      </c>
      <c r="C3360" s="29" t="s">
        <v>4419</v>
      </c>
      <c r="D3360" s="29" t="s">
        <v>4420</v>
      </c>
      <c r="E3360" s="92">
        <v>230304</v>
      </c>
      <c r="F3360" s="89" t="s">
        <v>4869</v>
      </c>
      <c r="G3360" s="29" t="s">
        <v>8805</v>
      </c>
    </row>
    <row r="3361" spans="1:7">
      <c r="A3361" s="33">
        <v>45316</v>
      </c>
      <c r="B3361" s="29" t="s">
        <v>4422</v>
      </c>
      <c r="C3361" s="29" t="s">
        <v>4423</v>
      </c>
      <c r="D3361" s="29" t="s">
        <v>4424</v>
      </c>
      <c r="E3361" s="92">
        <v>230298</v>
      </c>
      <c r="F3361" s="89" t="s">
        <v>4868</v>
      </c>
      <c r="G3361" s="29" t="s">
        <v>6794</v>
      </c>
    </row>
    <row r="3362" spans="1:7">
      <c r="A3362" s="33">
        <v>45317</v>
      </c>
      <c r="B3362" s="29" t="s">
        <v>4426</v>
      </c>
      <c r="C3362" s="29" t="s">
        <v>4427</v>
      </c>
      <c r="D3362" s="29" t="s">
        <v>4428</v>
      </c>
      <c r="E3362" s="92">
        <v>230283</v>
      </c>
      <c r="F3362" s="89" t="s">
        <v>4867</v>
      </c>
      <c r="G3362" s="29" t="s">
        <v>9218</v>
      </c>
    </row>
    <row r="3363" spans="1:7">
      <c r="A3363" s="33">
        <v>45318</v>
      </c>
      <c r="B3363" s="29" t="s">
        <v>4430</v>
      </c>
      <c r="C3363" s="29" t="s">
        <v>4431</v>
      </c>
      <c r="D3363" s="29" t="s">
        <v>4432</v>
      </c>
      <c r="E3363" s="92">
        <v>230056</v>
      </c>
      <c r="F3363" s="89" t="s">
        <v>4866</v>
      </c>
      <c r="G3363" s="29" t="s">
        <v>8689</v>
      </c>
    </row>
    <row r="3364" spans="1:7">
      <c r="A3364" s="33">
        <v>45319</v>
      </c>
      <c r="B3364" s="29" t="s">
        <v>4434</v>
      </c>
      <c r="C3364" s="29" t="s">
        <v>4435</v>
      </c>
      <c r="D3364" s="29" t="s">
        <v>4436</v>
      </c>
      <c r="E3364" s="92">
        <v>229982</v>
      </c>
      <c r="F3364" s="89" t="s">
        <v>4865</v>
      </c>
      <c r="G3364" s="29" t="s">
        <v>6719</v>
      </c>
    </row>
    <row r="3365" spans="1:7">
      <c r="A3365" s="33">
        <v>45320</v>
      </c>
      <c r="B3365" s="29" t="s">
        <v>4438</v>
      </c>
      <c r="C3365" s="29" t="s">
        <v>4439</v>
      </c>
      <c r="D3365" s="29" t="s">
        <v>4440</v>
      </c>
      <c r="E3365" s="92">
        <v>229782</v>
      </c>
      <c r="F3365" s="89" t="s">
        <v>4864</v>
      </c>
      <c r="G3365" s="29" t="s">
        <v>8586</v>
      </c>
    </row>
    <row r="3366" spans="1:7">
      <c r="A3366" s="33">
        <v>45321</v>
      </c>
      <c r="B3366" s="29" t="s">
        <v>9722</v>
      </c>
      <c r="C3366" s="29" t="s">
        <v>4778</v>
      </c>
      <c r="D3366" s="29" t="s">
        <v>9723</v>
      </c>
      <c r="E3366" s="92">
        <v>229705</v>
      </c>
      <c r="F3366" s="89" t="s">
        <v>4863</v>
      </c>
      <c r="G3366" s="29" t="s">
        <v>6775</v>
      </c>
    </row>
    <row r="3367" spans="1:7">
      <c r="A3367" s="33">
        <v>45322</v>
      </c>
      <c r="B3367" s="29" t="s">
        <v>4442</v>
      </c>
      <c r="C3367" s="29" t="s">
        <v>4443</v>
      </c>
      <c r="D3367" s="29" t="s">
        <v>4444</v>
      </c>
      <c r="E3367" s="92">
        <v>229286</v>
      </c>
      <c r="F3367" s="89" t="s">
        <v>4862</v>
      </c>
      <c r="G3367" s="29" t="s">
        <v>8466</v>
      </c>
    </row>
    <row r="3368" spans="1:7">
      <c r="A3368" s="33">
        <v>45323</v>
      </c>
      <c r="B3368" s="29" t="s">
        <v>4446</v>
      </c>
      <c r="C3368" s="29" t="s">
        <v>4447</v>
      </c>
      <c r="D3368" s="29" t="s">
        <v>4448</v>
      </c>
      <c r="E3368" s="92">
        <v>229284</v>
      </c>
      <c r="F3368" s="89" t="s">
        <v>4861</v>
      </c>
      <c r="G3368" s="29" t="s">
        <v>8812</v>
      </c>
    </row>
    <row r="3369" spans="1:7">
      <c r="A3369" s="33">
        <v>45324</v>
      </c>
      <c r="B3369" s="29" t="s">
        <v>4450</v>
      </c>
      <c r="C3369" s="29" t="s">
        <v>4451</v>
      </c>
      <c r="D3369" s="29" t="s">
        <v>4452</v>
      </c>
      <c r="E3369" s="92">
        <v>229091</v>
      </c>
      <c r="F3369" s="89" t="s">
        <v>4860</v>
      </c>
      <c r="G3369" s="29" t="s">
        <v>8814</v>
      </c>
    </row>
    <row r="3370" spans="1:7">
      <c r="A3370" s="33">
        <v>45325</v>
      </c>
      <c r="B3370" s="29" t="s">
        <v>4454</v>
      </c>
      <c r="C3370" s="29" t="s">
        <v>4455</v>
      </c>
      <c r="D3370" s="29" t="s">
        <v>4456</v>
      </c>
      <c r="E3370" s="92">
        <v>229048</v>
      </c>
      <c r="F3370" s="89" t="s">
        <v>4859</v>
      </c>
      <c r="G3370" s="29" t="s">
        <v>9632</v>
      </c>
    </row>
    <row r="3371" spans="1:7">
      <c r="A3371" s="33">
        <v>45326</v>
      </c>
      <c r="B3371" s="29" t="s">
        <v>4458</v>
      </c>
      <c r="C3371" s="29" t="s">
        <v>4459</v>
      </c>
      <c r="D3371" s="29" t="s">
        <v>4460</v>
      </c>
      <c r="E3371" s="92">
        <v>228803</v>
      </c>
      <c r="F3371" s="89" t="s">
        <v>4858</v>
      </c>
      <c r="G3371" s="29" t="s">
        <v>4957</v>
      </c>
    </row>
    <row r="3372" spans="1:7">
      <c r="A3372" s="33">
        <v>45327</v>
      </c>
      <c r="B3372" s="29" t="s">
        <v>4462</v>
      </c>
      <c r="C3372" s="29" t="s">
        <v>4463</v>
      </c>
      <c r="D3372" s="29" t="s">
        <v>4464</v>
      </c>
      <c r="E3372" s="92">
        <v>228761</v>
      </c>
      <c r="F3372" s="89" t="s">
        <v>4856</v>
      </c>
      <c r="G3372" s="29" t="s">
        <v>8441</v>
      </c>
    </row>
    <row r="3373" spans="1:7">
      <c r="A3373" s="33">
        <v>45328</v>
      </c>
      <c r="B3373" s="29" t="s">
        <v>4466</v>
      </c>
      <c r="C3373" s="29" t="s">
        <v>4467</v>
      </c>
      <c r="D3373" s="29" t="s">
        <v>4468</v>
      </c>
      <c r="E3373" s="92">
        <v>228573</v>
      </c>
      <c r="F3373" s="89" t="s">
        <v>4855</v>
      </c>
      <c r="G3373" s="29" t="s">
        <v>6763</v>
      </c>
    </row>
    <row r="3374" spans="1:7">
      <c r="A3374" s="33">
        <v>45329</v>
      </c>
      <c r="B3374" s="29" t="s">
        <v>4470</v>
      </c>
      <c r="C3374" s="29" t="s">
        <v>4471</v>
      </c>
      <c r="D3374" s="29" t="s">
        <v>4472</v>
      </c>
      <c r="E3374" s="92">
        <v>228489</v>
      </c>
      <c r="F3374" s="89" t="s">
        <v>4854</v>
      </c>
      <c r="G3374" s="29" t="s">
        <v>6682</v>
      </c>
    </row>
    <row r="3375" spans="1:7">
      <c r="A3375" s="33">
        <v>45330</v>
      </c>
      <c r="B3375" s="29" t="s">
        <v>9724</v>
      </c>
      <c r="C3375" s="29" t="s">
        <v>4778</v>
      </c>
      <c r="D3375" s="29" t="s">
        <v>9724</v>
      </c>
      <c r="E3375" s="92">
        <v>228169</v>
      </c>
      <c r="F3375" s="89" t="s">
        <v>4852</v>
      </c>
      <c r="G3375" s="29" t="s">
        <v>8781</v>
      </c>
    </row>
    <row r="3376" spans="1:7">
      <c r="A3376" s="33">
        <v>45331</v>
      </c>
      <c r="B3376" s="29" t="s">
        <v>4474</v>
      </c>
      <c r="C3376" s="29" t="s">
        <v>4475</v>
      </c>
      <c r="D3376" s="29" t="s">
        <v>4476</v>
      </c>
      <c r="E3376" s="92">
        <v>228121</v>
      </c>
      <c r="F3376" s="89" t="s">
        <v>4851</v>
      </c>
      <c r="G3376" s="29" t="s">
        <v>8961</v>
      </c>
    </row>
    <row r="3377" spans="1:7">
      <c r="A3377" s="33">
        <v>45332</v>
      </c>
      <c r="B3377" s="29" t="s">
        <v>9725</v>
      </c>
      <c r="C3377" s="29" t="s">
        <v>9726</v>
      </c>
      <c r="D3377" s="29" t="s">
        <v>9727</v>
      </c>
      <c r="E3377" s="92">
        <v>227754</v>
      </c>
      <c r="F3377" s="89" t="s">
        <v>4850</v>
      </c>
      <c r="G3377" s="29" t="s">
        <v>8758</v>
      </c>
    </row>
    <row r="3378" spans="1:7">
      <c r="A3378" s="33">
        <v>45333</v>
      </c>
      <c r="B3378" s="29" t="s">
        <v>4478</v>
      </c>
      <c r="C3378" s="29" t="s">
        <v>4479</v>
      </c>
      <c r="D3378" s="29" t="s">
        <v>4480</v>
      </c>
      <c r="E3378" s="92">
        <v>227268</v>
      </c>
      <c r="F3378" s="89" t="s">
        <v>4849</v>
      </c>
      <c r="G3378" s="29" t="s">
        <v>8512</v>
      </c>
    </row>
    <row r="3379" spans="1:7">
      <c r="A3379" s="33">
        <v>45334</v>
      </c>
      <c r="B3379" s="29" t="s">
        <v>9728</v>
      </c>
      <c r="C3379" s="29" t="s">
        <v>4778</v>
      </c>
      <c r="D3379" s="29" t="s">
        <v>9729</v>
      </c>
      <c r="E3379" s="92">
        <v>227183</v>
      </c>
      <c r="F3379" s="89" t="s">
        <v>4848</v>
      </c>
      <c r="G3379" s="29" t="s">
        <v>8844</v>
      </c>
    </row>
    <row r="3380" spans="1:7">
      <c r="A3380" s="33">
        <v>45335</v>
      </c>
      <c r="B3380" s="29" t="s">
        <v>4482</v>
      </c>
      <c r="C3380" s="29" t="s">
        <v>4483</v>
      </c>
      <c r="D3380" s="29" t="s">
        <v>4484</v>
      </c>
      <c r="E3380" s="92">
        <v>227085</v>
      </c>
      <c r="F3380" s="89" t="s">
        <v>4846</v>
      </c>
      <c r="G3380" s="29" t="s">
        <v>9581</v>
      </c>
    </row>
    <row r="3381" spans="1:7">
      <c r="A3381" s="33">
        <v>45336</v>
      </c>
      <c r="B3381" s="29" t="s">
        <v>4486</v>
      </c>
      <c r="C3381" s="29" t="s">
        <v>4487</v>
      </c>
      <c r="D3381" s="29" t="s">
        <v>4488</v>
      </c>
      <c r="E3381" s="92">
        <v>226972</v>
      </c>
      <c r="F3381" s="89" t="s">
        <v>4845</v>
      </c>
      <c r="G3381" s="29" t="s">
        <v>8973</v>
      </c>
    </row>
    <row r="3382" spans="1:7">
      <c r="A3382" s="33">
        <v>45337</v>
      </c>
      <c r="B3382" s="29" t="s">
        <v>4490</v>
      </c>
      <c r="C3382" s="29" t="s">
        <v>4491</v>
      </c>
      <c r="D3382" s="29" t="s">
        <v>4492</v>
      </c>
      <c r="E3382" s="92">
        <v>226897</v>
      </c>
      <c r="F3382" s="89" t="s">
        <v>4843</v>
      </c>
      <c r="G3382" s="29" t="s">
        <v>8902</v>
      </c>
    </row>
    <row r="3383" spans="1:7">
      <c r="A3383" s="33">
        <v>45338</v>
      </c>
      <c r="B3383" s="29" t="s">
        <v>4494</v>
      </c>
      <c r="C3383" s="29" t="s">
        <v>4495</v>
      </c>
      <c r="D3383" s="29" t="s">
        <v>4496</v>
      </c>
      <c r="E3383" s="92">
        <v>226853</v>
      </c>
      <c r="F3383" s="89" t="s">
        <v>4842</v>
      </c>
      <c r="G3383" s="29" t="s">
        <v>8559</v>
      </c>
    </row>
    <row r="3384" spans="1:7">
      <c r="A3384" s="33">
        <v>45339</v>
      </c>
      <c r="B3384" s="29" t="s">
        <v>4498</v>
      </c>
      <c r="C3384" s="29" t="s">
        <v>4499</v>
      </c>
      <c r="D3384" s="29" t="s">
        <v>4500</v>
      </c>
      <c r="E3384" s="92">
        <v>226684</v>
      </c>
      <c r="F3384" s="89" t="s">
        <v>4841</v>
      </c>
      <c r="G3384" s="35">
        <v>20000000000</v>
      </c>
    </row>
    <row r="3385" spans="1:7">
      <c r="A3385" s="33">
        <v>45340</v>
      </c>
      <c r="B3385" s="29" t="s">
        <v>4502</v>
      </c>
      <c r="C3385" s="29" t="s">
        <v>4503</v>
      </c>
      <c r="D3385" s="29" t="s">
        <v>4504</v>
      </c>
      <c r="E3385" s="92">
        <v>226425</v>
      </c>
      <c r="F3385" s="89" t="s">
        <v>4840</v>
      </c>
      <c r="G3385" s="29" t="s">
        <v>8443</v>
      </c>
    </row>
    <row r="3386" spans="1:7">
      <c r="A3386" s="33">
        <v>45341</v>
      </c>
      <c r="B3386" s="29" t="s">
        <v>4506</v>
      </c>
      <c r="C3386" s="29" t="s">
        <v>4507</v>
      </c>
      <c r="D3386" s="29" t="s">
        <v>4508</v>
      </c>
      <c r="E3386" s="92">
        <v>225874</v>
      </c>
      <c r="F3386" s="89" t="s">
        <v>4839</v>
      </c>
      <c r="G3386" s="29" t="s">
        <v>8812</v>
      </c>
    </row>
    <row r="3387" spans="1:7">
      <c r="A3387" s="33">
        <v>45342</v>
      </c>
      <c r="B3387" s="29" t="s">
        <v>4510</v>
      </c>
      <c r="C3387" s="29" t="s">
        <v>4511</v>
      </c>
      <c r="D3387" s="29" t="s">
        <v>4512</v>
      </c>
      <c r="E3387" s="92">
        <v>225861</v>
      </c>
      <c r="F3387" s="89" t="s">
        <v>9730</v>
      </c>
      <c r="G3387" s="29" t="s">
        <v>8476</v>
      </c>
    </row>
    <row r="3388" spans="1:7">
      <c r="A3388" s="33">
        <v>41899</v>
      </c>
      <c r="B3388" s="34">
        <v>465864</v>
      </c>
      <c r="C3388" s="34">
        <v>468174</v>
      </c>
      <c r="D3388" s="34">
        <v>452422</v>
      </c>
      <c r="E3388" s="92">
        <v>225855</v>
      </c>
      <c r="F3388" s="89" t="s">
        <v>4838</v>
      </c>
      <c r="G3388" s="29">
        <v>21056800</v>
      </c>
    </row>
    <row r="3389" spans="1:7">
      <c r="A3389" s="33">
        <v>41900</v>
      </c>
      <c r="B3389" s="29" t="s">
        <v>9731</v>
      </c>
      <c r="C3389" s="29" t="s">
        <v>9731</v>
      </c>
      <c r="D3389" s="34">
        <v>413104</v>
      </c>
      <c r="E3389" s="92">
        <v>225831</v>
      </c>
      <c r="F3389" s="89" t="s">
        <v>4836</v>
      </c>
      <c r="G3389" s="29">
        <v>34483200</v>
      </c>
    </row>
    <row r="3390" spans="1:7">
      <c r="A3390" s="33">
        <v>41901</v>
      </c>
      <c r="B3390" s="34">
        <v>424103</v>
      </c>
      <c r="C3390" s="34">
        <v>427835</v>
      </c>
      <c r="D3390" s="34">
        <v>384532</v>
      </c>
      <c r="E3390" s="92">
        <v>225808</v>
      </c>
      <c r="F3390" s="89" t="s">
        <v>4835</v>
      </c>
      <c r="G3390" s="29">
        <v>37919700</v>
      </c>
    </row>
    <row r="3391" spans="1:7">
      <c r="A3391" s="33">
        <v>41902</v>
      </c>
      <c r="B3391" s="34">
        <v>394673</v>
      </c>
      <c r="C3391" s="34">
        <v>423296</v>
      </c>
      <c r="D3391" s="34">
        <v>389883</v>
      </c>
      <c r="E3391" s="92">
        <v>225803</v>
      </c>
      <c r="F3391" s="89" t="s">
        <v>4834</v>
      </c>
      <c r="G3391" s="29">
        <v>36863600</v>
      </c>
    </row>
    <row r="3392" spans="1:7">
      <c r="A3392" s="33">
        <v>41903</v>
      </c>
      <c r="B3392" s="34">
        <v>408085</v>
      </c>
      <c r="C3392" s="34">
        <v>412426</v>
      </c>
      <c r="D3392" s="34">
        <v>393181</v>
      </c>
      <c r="E3392" s="92">
        <v>225619</v>
      </c>
      <c r="F3392" s="89" t="s">
        <v>4833</v>
      </c>
      <c r="G3392" s="29">
        <v>26580100</v>
      </c>
    </row>
    <row r="3393" spans="1:7">
      <c r="A3393" s="33">
        <v>41904</v>
      </c>
      <c r="B3393" s="29" t="s">
        <v>9732</v>
      </c>
      <c r="C3393" s="34">
        <v>406916</v>
      </c>
      <c r="D3393" s="29" t="s">
        <v>9733</v>
      </c>
      <c r="E3393" s="92">
        <v>224952</v>
      </c>
      <c r="F3393" s="89" t="s">
        <v>4832</v>
      </c>
      <c r="G3393" s="29">
        <v>24127600</v>
      </c>
    </row>
    <row r="3394" spans="1:7">
      <c r="A3394" s="33">
        <v>41905</v>
      </c>
      <c r="B3394" s="34">
        <v>402092</v>
      </c>
      <c r="C3394" s="34">
        <v>441557</v>
      </c>
      <c r="D3394" s="34">
        <v>396197</v>
      </c>
      <c r="E3394" s="92">
        <v>224769</v>
      </c>
      <c r="F3394" s="89" t="s">
        <v>4831</v>
      </c>
      <c r="G3394" s="29">
        <v>45099500</v>
      </c>
    </row>
    <row r="3395" spans="1:7">
      <c r="A3395" s="33">
        <v>41906</v>
      </c>
      <c r="B3395" s="34">
        <v>435751</v>
      </c>
      <c r="C3395" s="34">
        <v>436112</v>
      </c>
      <c r="D3395" s="34">
        <v>421132</v>
      </c>
      <c r="E3395" s="92">
        <v>224626</v>
      </c>
      <c r="F3395" s="89" t="s">
        <v>4830</v>
      </c>
      <c r="G3395" s="29">
        <v>30627700</v>
      </c>
    </row>
    <row r="3396" spans="1:7">
      <c r="A3396" s="33">
        <v>41907</v>
      </c>
      <c r="B3396" s="34">
        <v>423156</v>
      </c>
      <c r="C3396" s="29" t="s">
        <v>9734</v>
      </c>
      <c r="D3396" s="34">
        <v>409468</v>
      </c>
      <c r="E3396" s="92">
        <v>224587</v>
      </c>
      <c r="F3396" s="89" t="s">
        <v>4828</v>
      </c>
      <c r="G3396" s="29">
        <v>26814400</v>
      </c>
    </row>
    <row r="3397" spans="1:7">
      <c r="A3397" s="33">
        <v>41908</v>
      </c>
      <c r="B3397" s="34">
        <v>411429</v>
      </c>
      <c r="C3397" s="34">
        <v>414938</v>
      </c>
      <c r="D3397" s="34">
        <v>400009</v>
      </c>
      <c r="E3397" s="92">
        <v>224324</v>
      </c>
      <c r="F3397" s="89" t="s">
        <v>4826</v>
      </c>
      <c r="G3397" s="29">
        <v>21460800</v>
      </c>
    </row>
    <row r="3398" spans="1:7">
      <c r="A3398" s="33">
        <v>41909</v>
      </c>
      <c r="B3398" s="34">
        <v>403556</v>
      </c>
      <c r="C3398" s="34">
        <v>406623</v>
      </c>
      <c r="D3398" s="34">
        <v>397372</v>
      </c>
      <c r="E3398" s="92">
        <v>223833</v>
      </c>
      <c r="F3398" s="89" t="s">
        <v>4825</v>
      </c>
      <c r="G3398" s="29">
        <v>15029300</v>
      </c>
    </row>
    <row r="3399" spans="1:7">
      <c r="A3399" s="33">
        <v>41910</v>
      </c>
      <c r="B3399" s="34">
        <v>399471</v>
      </c>
      <c r="C3399" s="29" t="s">
        <v>4778</v>
      </c>
      <c r="D3399" s="34">
        <v>374332</v>
      </c>
      <c r="E3399" s="92">
        <v>223412</v>
      </c>
      <c r="F3399" s="89" t="s">
        <v>4824</v>
      </c>
      <c r="G3399" s="29">
        <v>23613300</v>
      </c>
    </row>
    <row r="3400" spans="1:7">
      <c r="A3400" s="33">
        <v>42053</v>
      </c>
      <c r="B3400" s="29" t="s">
        <v>9735</v>
      </c>
      <c r="C3400" s="34">
        <v>244251</v>
      </c>
      <c r="D3400" s="29" t="s">
        <v>9736</v>
      </c>
      <c r="E3400" s="92">
        <v>223356</v>
      </c>
      <c r="F3400" s="89" t="s">
        <v>4823</v>
      </c>
      <c r="G3400" s="29" t="s">
        <v>4778</v>
      </c>
    </row>
    <row r="3401" spans="1:7">
      <c r="A3401" s="33">
        <v>42054</v>
      </c>
      <c r="B3401" s="29" t="s">
        <v>9737</v>
      </c>
      <c r="C3401" s="34">
        <v>242672</v>
      </c>
      <c r="D3401" s="34">
        <v>235592</v>
      </c>
      <c r="E3401" s="92">
        <v>222926</v>
      </c>
      <c r="F3401" s="89" t="s">
        <v>4820</v>
      </c>
      <c r="G3401" s="29">
        <v>18270500</v>
      </c>
    </row>
    <row r="3402" spans="1:7">
      <c r="A3402" s="33">
        <v>42055</v>
      </c>
      <c r="B3402" s="34">
        <v>240251</v>
      </c>
      <c r="C3402" s="34">
        <v>247101</v>
      </c>
      <c r="D3402" s="34">
        <v>239299</v>
      </c>
      <c r="E3402" s="92">
        <v>222882</v>
      </c>
      <c r="F3402" s="89" t="s">
        <v>9738</v>
      </c>
      <c r="G3402" s="29">
        <v>23876700</v>
      </c>
    </row>
    <row r="3403" spans="1:7">
      <c r="A3403" s="33">
        <v>42056</v>
      </c>
      <c r="B3403" s="34">
        <v>243752</v>
      </c>
      <c r="C3403" s="29" t="s">
        <v>9739</v>
      </c>
      <c r="D3403" s="34">
        <v>243184</v>
      </c>
      <c r="E3403" s="92">
        <v>222881</v>
      </c>
      <c r="F3403" s="89" t="s">
        <v>4819</v>
      </c>
      <c r="G3403" s="29">
        <v>12284200</v>
      </c>
    </row>
    <row r="3404" spans="1:7">
      <c r="A3404" s="33">
        <v>42057</v>
      </c>
      <c r="B3404" s="34">
        <v>244544</v>
      </c>
      <c r="C3404" s="34">
        <v>246392</v>
      </c>
      <c r="D3404" s="34">
        <v>233851</v>
      </c>
      <c r="E3404" s="92">
        <v>222266</v>
      </c>
      <c r="F3404" s="89" t="s">
        <v>4818</v>
      </c>
      <c r="G3404" s="29">
        <v>19527000</v>
      </c>
    </row>
    <row r="3405" spans="1:7">
      <c r="A3405" s="33">
        <v>42058</v>
      </c>
      <c r="B3405" s="34">
        <v>235995</v>
      </c>
      <c r="C3405" s="34">
        <v>240109</v>
      </c>
      <c r="D3405" s="34">
        <v>232421</v>
      </c>
      <c r="E3405" s="92">
        <v>221764</v>
      </c>
      <c r="F3405" s="89" t="s">
        <v>4817</v>
      </c>
      <c r="G3405" s="29">
        <v>16400000</v>
      </c>
    </row>
    <row r="3406" spans="1:7">
      <c r="A3406" s="33">
        <v>42059</v>
      </c>
      <c r="B3406" s="34">
        <v>238998</v>
      </c>
      <c r="C3406" s="34">
        <v>239901</v>
      </c>
      <c r="D3406" s="34">
        <v>236402</v>
      </c>
      <c r="E3406" s="92">
        <v>221609</v>
      </c>
      <c r="F3406" s="89" t="s">
        <v>4816</v>
      </c>
      <c r="G3406" s="29">
        <v>14200400</v>
      </c>
    </row>
    <row r="3407" spans="1:7">
      <c r="A3407" s="33">
        <v>42060</v>
      </c>
      <c r="B3407" s="29" t="s">
        <v>9740</v>
      </c>
      <c r="C3407" s="29" t="s">
        <v>9741</v>
      </c>
      <c r="D3407" s="29" t="s">
        <v>9742</v>
      </c>
      <c r="E3407" s="92">
        <v>219839</v>
      </c>
      <c r="F3407" s="89" t="s">
        <v>4815</v>
      </c>
      <c r="G3407" s="29">
        <v>11496200</v>
      </c>
    </row>
    <row r="3408" spans="1:7">
      <c r="A3408" s="33">
        <v>42061</v>
      </c>
      <c r="B3408" s="34">
        <v>237337</v>
      </c>
      <c r="C3408" s="29" t="s">
        <v>9743</v>
      </c>
      <c r="D3408" s="34">
        <v>234257</v>
      </c>
      <c r="E3408" s="92">
        <v>219159</v>
      </c>
      <c r="F3408" s="89" t="s">
        <v>4814</v>
      </c>
      <c r="G3408" s="29">
        <v>13619400</v>
      </c>
    </row>
    <row r="3409" spans="1:7">
      <c r="A3409" s="33">
        <v>42062</v>
      </c>
      <c r="B3409" s="34">
        <v>236436</v>
      </c>
      <c r="C3409" s="34">
        <v>256653</v>
      </c>
      <c r="D3409" s="34">
        <v>236436</v>
      </c>
      <c r="E3409" s="92">
        <v>217464</v>
      </c>
      <c r="F3409" s="89" t="s">
        <v>4813</v>
      </c>
      <c r="G3409" s="29">
        <v>44013900</v>
      </c>
    </row>
    <row r="3410" spans="1:7">
      <c r="A3410" s="33">
        <v>42063</v>
      </c>
      <c r="B3410" s="29" t="s">
        <v>9744</v>
      </c>
      <c r="C3410" s="34">
        <v>254692</v>
      </c>
      <c r="D3410" s="34">
        <v>249479</v>
      </c>
      <c r="E3410" s="92">
        <v>217111</v>
      </c>
      <c r="F3410" s="89" t="s">
        <v>4811</v>
      </c>
      <c r="G3410" s="29">
        <v>13949300</v>
      </c>
    </row>
    <row r="3411" spans="1:7">
      <c r="A3411" s="33">
        <v>42064</v>
      </c>
      <c r="B3411" s="34">
        <v>254283</v>
      </c>
      <c r="C3411" s="29" t="s">
        <v>9745</v>
      </c>
      <c r="D3411" s="34">
        <v>245933</v>
      </c>
      <c r="E3411" s="92">
        <v>214861</v>
      </c>
      <c r="F3411" s="89" t="s">
        <v>4809</v>
      </c>
      <c r="G3411" s="29">
        <v>25213700</v>
      </c>
    </row>
    <row r="3412" spans="1:7">
      <c r="A3412" s="33">
        <v>42065</v>
      </c>
      <c r="B3412" s="34">
        <v>260357</v>
      </c>
      <c r="C3412" s="34">
        <v>276301</v>
      </c>
      <c r="D3412" s="34">
        <v>258313</v>
      </c>
      <c r="E3412" s="92">
        <v>211315</v>
      </c>
      <c r="F3412" s="89" t="s">
        <v>4808</v>
      </c>
      <c r="G3412" s="29">
        <v>40465700</v>
      </c>
    </row>
    <row r="3413" spans="1:7">
      <c r="A3413" s="33">
        <v>42066</v>
      </c>
      <c r="B3413" s="34">
        <v>275046</v>
      </c>
      <c r="C3413" s="34">
        <v>285796</v>
      </c>
      <c r="D3413" s="34">
        <v>268161</v>
      </c>
      <c r="E3413" s="92">
        <v>211079</v>
      </c>
      <c r="F3413" s="89" t="s">
        <v>4807</v>
      </c>
      <c r="G3413" s="29">
        <v>50461300</v>
      </c>
    </row>
    <row r="3414" spans="1:7">
      <c r="A3414" s="33">
        <v>42067</v>
      </c>
      <c r="B3414" s="29" t="s">
        <v>9746</v>
      </c>
      <c r="C3414" s="34">
        <v>284225</v>
      </c>
      <c r="D3414" s="34">
        <v>268126</v>
      </c>
      <c r="E3414" s="92">
        <v>210495</v>
      </c>
      <c r="F3414" s="89" t="s">
        <v>4806</v>
      </c>
      <c r="G3414" s="29">
        <v>41383000</v>
      </c>
    </row>
    <row r="3415" spans="1:7">
      <c r="A3415" s="33">
        <v>42068</v>
      </c>
      <c r="B3415" s="34">
        <v>272739</v>
      </c>
      <c r="C3415" s="34">
        <v>281667</v>
      </c>
      <c r="D3415" s="34">
        <v>264769</v>
      </c>
      <c r="E3415" s="92">
        <v>210339</v>
      </c>
      <c r="F3415" s="89" t="s">
        <v>9747</v>
      </c>
      <c r="G3415" s="29">
        <v>41302400</v>
      </c>
    </row>
    <row r="3416" spans="1:7">
      <c r="A3416" s="33">
        <v>42069</v>
      </c>
      <c r="B3416" s="29" t="s">
        <v>9748</v>
      </c>
      <c r="C3416" s="34">
        <v>277608</v>
      </c>
      <c r="D3416" s="34">
        <v>270015</v>
      </c>
      <c r="E3416" s="92">
        <v>209844</v>
      </c>
      <c r="F3416" s="89" t="s">
        <v>7199</v>
      </c>
      <c r="G3416" s="29">
        <v>28918900</v>
      </c>
    </row>
    <row r="3417" spans="1:7">
      <c r="A3417" s="33">
        <v>42070</v>
      </c>
      <c r="B3417" s="34">
        <v>272294</v>
      </c>
      <c r="C3417" s="34">
        <v>277854</v>
      </c>
      <c r="D3417" s="34">
        <v>270133</v>
      </c>
      <c r="E3417" s="92">
        <v>208097</v>
      </c>
      <c r="F3417" s="89" t="s">
        <v>4805</v>
      </c>
      <c r="G3417" s="29">
        <v>17825900</v>
      </c>
    </row>
    <row r="3418" spans="1:7">
      <c r="A3418" s="33">
        <v>42071</v>
      </c>
      <c r="B3418" s="34">
        <v>276433</v>
      </c>
      <c r="C3418" s="34">
        <v>277858</v>
      </c>
      <c r="D3418" s="34">
        <v>272565</v>
      </c>
      <c r="E3418" s="92">
        <v>178103</v>
      </c>
      <c r="F3418" s="89" t="s">
        <v>4804</v>
      </c>
      <c r="G3418" s="29">
        <v>22067900</v>
      </c>
    </row>
    <row r="3419" spans="1:7">
      <c r="A3419" s="33">
        <v>42072</v>
      </c>
      <c r="B3419" s="34">
        <v>274812</v>
      </c>
      <c r="C3419" s="34">
        <v>292701</v>
      </c>
      <c r="D3419" s="34">
        <v>273893</v>
      </c>
      <c r="E3419" s="92">
        <v>58245</v>
      </c>
      <c r="F3419" s="89" t="s">
        <v>4803</v>
      </c>
      <c r="G3419" s="29" t="s">
        <v>4778</v>
      </c>
    </row>
    <row r="3420" spans="1:7">
      <c r="A3420" s="33">
        <v>42073</v>
      </c>
      <c r="B3420" s="34">
        <v>289862</v>
      </c>
      <c r="C3420" s="34">
        <v>300044</v>
      </c>
      <c r="D3420" s="34">
        <v>289743</v>
      </c>
      <c r="E3420" s="92">
        <v>51663</v>
      </c>
      <c r="F3420" s="89" t="s">
        <v>4802</v>
      </c>
      <c r="G3420" s="29">
        <v>67770800</v>
      </c>
    </row>
    <row r="3421" spans="1:7">
      <c r="A3421" s="33">
        <v>42074</v>
      </c>
      <c r="B3421" s="34">
        <v>291525</v>
      </c>
      <c r="C3421" s="34">
        <v>297391</v>
      </c>
      <c r="D3421" s="34">
        <v>290508</v>
      </c>
      <c r="E3421" s="92">
        <v>47128</v>
      </c>
      <c r="F3421" s="89" t="s">
        <v>4800</v>
      </c>
      <c r="G3421" s="29">
        <v>33963900</v>
      </c>
    </row>
    <row r="3422" spans="1:7">
      <c r="A3422" s="33">
        <v>42075</v>
      </c>
      <c r="B3422" s="34">
        <v>296127</v>
      </c>
      <c r="C3422" s="34">
        <v>297088</v>
      </c>
      <c r="D3422" s="34">
        <v>292413</v>
      </c>
      <c r="E3422" s="92">
        <v>47047</v>
      </c>
      <c r="F3422" s="89" t="s">
        <v>4799</v>
      </c>
      <c r="G3422" s="29">
        <v>32585200</v>
      </c>
    </row>
    <row r="3423" spans="1:7">
      <c r="A3423" s="33">
        <v>42076</v>
      </c>
      <c r="B3423" s="34">
        <v>294118</v>
      </c>
      <c r="C3423" s="34">
        <v>294498</v>
      </c>
      <c r="D3423" s="34">
        <v>285337</v>
      </c>
      <c r="E3423" s="92">
        <v>43569</v>
      </c>
      <c r="F3423" s="89" t="s">
        <v>4798</v>
      </c>
      <c r="G3423" s="29">
        <v>31421500</v>
      </c>
    </row>
    <row r="3424" spans="1:7">
      <c r="A3424" s="33">
        <v>45090</v>
      </c>
      <c r="B3424" s="29" t="s">
        <v>3576</v>
      </c>
      <c r="C3424" s="29" t="s">
        <v>3577</v>
      </c>
      <c r="D3424" s="29" t="s">
        <v>3578</v>
      </c>
      <c r="E3424" s="92">
        <v>41078</v>
      </c>
      <c r="F3424" s="89" t="s">
        <v>4797</v>
      </c>
      <c r="G3424" s="29" t="s">
        <v>8725</v>
      </c>
    </row>
    <row r="3425" spans="1:7">
      <c r="A3425" s="33">
        <v>45091</v>
      </c>
      <c r="B3425" s="29" t="s">
        <v>3580</v>
      </c>
      <c r="C3425" s="29" t="s">
        <v>3581</v>
      </c>
      <c r="D3425" s="29" t="s">
        <v>3582</v>
      </c>
      <c r="E3425" s="92">
        <v>36954</v>
      </c>
      <c r="F3425" s="89" t="s">
        <v>4795</v>
      </c>
      <c r="G3425" s="29" t="s">
        <v>6707</v>
      </c>
    </row>
    <row r="3426" spans="1:7">
      <c r="A3426" s="33">
        <v>45092</v>
      </c>
      <c r="B3426" s="29" t="s">
        <v>3584</v>
      </c>
      <c r="C3426" s="29" t="s">
        <v>3585</v>
      </c>
      <c r="D3426" s="29" t="s">
        <v>3586</v>
      </c>
      <c r="E3426" s="92">
        <v>33746</v>
      </c>
      <c r="F3426" s="89" t="s">
        <v>4794</v>
      </c>
      <c r="G3426" s="29" t="s">
        <v>4778</v>
      </c>
    </row>
    <row r="3427" spans="1:7">
      <c r="A3427" s="33">
        <v>45093</v>
      </c>
      <c r="B3427" s="29" t="s">
        <v>3588</v>
      </c>
      <c r="C3427" s="29" t="s">
        <v>3589</v>
      </c>
      <c r="D3427" s="29" t="s">
        <v>3590</v>
      </c>
      <c r="E3427" s="92">
        <v>30112</v>
      </c>
      <c r="F3427" s="89" t="s">
        <v>4793</v>
      </c>
      <c r="G3427" s="29" t="s">
        <v>8598</v>
      </c>
    </row>
    <row r="3428" spans="1:7">
      <c r="A3428" s="33">
        <v>45094</v>
      </c>
      <c r="B3428" s="29" t="s">
        <v>3592</v>
      </c>
      <c r="C3428" s="29" t="s">
        <v>3593</v>
      </c>
      <c r="D3428" s="29" t="s">
        <v>3594</v>
      </c>
      <c r="E3428" s="92">
        <v>26346</v>
      </c>
      <c r="F3428" s="89" t="s">
        <v>4792</v>
      </c>
      <c r="G3428" s="29" t="s">
        <v>6808</v>
      </c>
    </row>
    <row r="3429" spans="1:7">
      <c r="A3429" s="33">
        <v>45095</v>
      </c>
      <c r="B3429" s="29" t="s">
        <v>3596</v>
      </c>
      <c r="C3429" s="29" t="s">
        <v>3597</v>
      </c>
      <c r="D3429" s="29" t="s">
        <v>3598</v>
      </c>
      <c r="E3429" s="92">
        <v>23336</v>
      </c>
      <c r="F3429" s="89" t="s">
        <v>4791</v>
      </c>
      <c r="G3429" s="29" t="s">
        <v>9749</v>
      </c>
    </row>
    <row r="3430" spans="1:7">
      <c r="A3430" s="33">
        <v>45096</v>
      </c>
      <c r="B3430" s="29" t="s">
        <v>3600</v>
      </c>
      <c r="C3430" s="29" t="s">
        <v>3601</v>
      </c>
      <c r="D3430" s="29" t="s">
        <v>3602</v>
      </c>
      <c r="E3430" s="92">
        <v>18803</v>
      </c>
      <c r="F3430" s="89" t="s">
        <v>4789</v>
      </c>
      <c r="G3430" s="29" t="s">
        <v>6804</v>
      </c>
    </row>
    <row r="3431" spans="1:7">
      <c r="A3431" s="33">
        <v>45097</v>
      </c>
      <c r="B3431" s="29" t="s">
        <v>3604</v>
      </c>
      <c r="C3431" s="29" t="s">
        <v>3605</v>
      </c>
      <c r="D3431" s="29" t="s">
        <v>3606</v>
      </c>
      <c r="E3431" s="92">
        <v>18370</v>
      </c>
      <c r="F3431" s="89" t="s">
        <v>4788</v>
      </c>
      <c r="G3431" s="29" t="s">
        <v>6729</v>
      </c>
    </row>
    <row r="3432" spans="1:7">
      <c r="A3432" s="33">
        <v>45098</v>
      </c>
      <c r="B3432" s="29" t="s">
        <v>3608</v>
      </c>
      <c r="C3432" s="29" t="s">
        <v>3609</v>
      </c>
      <c r="D3432" s="29" t="s">
        <v>3610</v>
      </c>
      <c r="E3432" s="92">
        <v>17527</v>
      </c>
      <c r="F3432" s="89" t="s">
        <v>4787</v>
      </c>
      <c r="G3432" s="29" t="s">
        <v>9528</v>
      </c>
    </row>
    <row r="3433" spans="1:7">
      <c r="A3433" s="33">
        <v>45099</v>
      </c>
      <c r="B3433" s="29" t="s">
        <v>3612</v>
      </c>
      <c r="C3433" s="29">
        <v>30496</v>
      </c>
      <c r="D3433" s="29" t="s">
        <v>3614</v>
      </c>
      <c r="E3433" s="92">
        <v>16564</v>
      </c>
      <c r="F3433" s="89" t="s">
        <v>4786</v>
      </c>
      <c r="G3433" s="29" t="s">
        <v>8586</v>
      </c>
    </row>
    <row r="3434" spans="1:7">
      <c r="A3434" s="33">
        <v>45100</v>
      </c>
      <c r="B3434" s="29" t="s">
        <v>9750</v>
      </c>
      <c r="C3434" s="29" t="s">
        <v>9751</v>
      </c>
      <c r="D3434" s="29" t="s">
        <v>9752</v>
      </c>
      <c r="E3434" s="92">
        <v>15201</v>
      </c>
      <c r="F3434" s="89" t="s">
        <v>4785</v>
      </c>
      <c r="G3434" s="29" t="s">
        <v>8829</v>
      </c>
    </row>
    <row r="3435" spans="1:7">
      <c r="A3435" s="33">
        <v>45101</v>
      </c>
      <c r="B3435" s="29" t="s">
        <v>3616</v>
      </c>
      <c r="C3435" s="29" t="s">
        <v>3617</v>
      </c>
      <c r="D3435" s="29" t="s">
        <v>3618</v>
      </c>
      <c r="E3435" s="92">
        <v>13781</v>
      </c>
      <c r="F3435" s="89" t="s">
        <v>4783</v>
      </c>
      <c r="G3435" s="29" t="s">
        <v>6757</v>
      </c>
    </row>
    <row r="3436" spans="1:7">
      <c r="A3436" s="33">
        <v>45102</v>
      </c>
      <c r="B3436" s="29" t="s">
        <v>3620</v>
      </c>
      <c r="C3436" s="29" t="s">
        <v>3621</v>
      </c>
      <c r="D3436" s="29" t="s">
        <v>3622</v>
      </c>
      <c r="E3436" s="92">
        <v>13772</v>
      </c>
      <c r="F3436" s="89" t="s">
        <v>4782</v>
      </c>
      <c r="G3436" s="29" t="s">
        <v>4943</v>
      </c>
    </row>
    <row r="3437" spans="1:7">
      <c r="A3437" s="33">
        <v>45103</v>
      </c>
      <c r="B3437" s="29" t="s">
        <v>3624</v>
      </c>
      <c r="C3437" s="29" t="s">
        <v>3625</v>
      </c>
      <c r="D3437" s="29" t="s">
        <v>3626</v>
      </c>
      <c r="E3437" s="92">
        <v>10951</v>
      </c>
      <c r="F3437" s="89" t="s">
        <v>4780</v>
      </c>
      <c r="G3437" s="29" t="s">
        <v>6726</v>
      </c>
    </row>
    <row r="3438" spans="1:7">
      <c r="A3438" s="33">
        <v>45104</v>
      </c>
      <c r="B3438" s="29" t="s">
        <v>3628</v>
      </c>
      <c r="C3438" s="29" t="s">
        <v>3629</v>
      </c>
      <c r="D3438" s="29" t="s">
        <v>3630</v>
      </c>
      <c r="E3438" s="92">
        <v>10142</v>
      </c>
      <c r="F3438" s="89" t="s">
        <v>4779</v>
      </c>
      <c r="G3438" s="29" t="s">
        <v>8758</v>
      </c>
    </row>
    <row r="3439" spans="1:7">
      <c r="A3439" s="33">
        <v>45105</v>
      </c>
      <c r="B3439" s="29" t="s">
        <v>3632</v>
      </c>
      <c r="C3439" s="29" t="s">
        <v>3633</v>
      </c>
      <c r="D3439" s="29" t="s">
        <v>3634</v>
      </c>
      <c r="E3439" s="92">
        <v>10005</v>
      </c>
      <c r="F3439" s="89" t="s">
        <v>4777</v>
      </c>
      <c r="G3439" s="29" t="s">
        <v>6696</v>
      </c>
    </row>
    <row r="3440" spans="1:7">
      <c r="A3440" s="33">
        <v>45106</v>
      </c>
      <c r="B3440" s="29" t="s">
        <v>3636</v>
      </c>
      <c r="C3440" s="29" t="s">
        <v>3637</v>
      </c>
      <c r="D3440" s="29" t="s">
        <v>3638</v>
      </c>
      <c r="E3440" s="92">
        <v>8866</v>
      </c>
      <c r="F3440" s="89" t="s">
        <v>4776</v>
      </c>
      <c r="G3440" s="29" t="s">
        <v>8427</v>
      </c>
    </row>
    <row r="3441" spans="1:7">
      <c r="A3441" s="33">
        <v>45107</v>
      </c>
      <c r="B3441" s="29" t="s">
        <v>3640</v>
      </c>
      <c r="C3441" s="29" t="s">
        <v>3641</v>
      </c>
      <c r="D3441" s="29" t="s">
        <v>3642</v>
      </c>
      <c r="E3441" s="92">
        <v>7754</v>
      </c>
      <c r="F3441" s="89" t="s">
        <v>4775</v>
      </c>
      <c r="G3441" s="29" t="s">
        <v>8828</v>
      </c>
    </row>
    <row r="3442" spans="1:7">
      <c r="A3442" s="33">
        <v>45108</v>
      </c>
      <c r="B3442" s="29" t="s">
        <v>3644</v>
      </c>
      <c r="C3442" s="29" t="s">
        <v>3645</v>
      </c>
      <c r="D3442" s="29" t="s">
        <v>3646</v>
      </c>
      <c r="E3442" s="92">
        <v>6495</v>
      </c>
      <c r="F3442" s="89" t="s">
        <v>4774</v>
      </c>
      <c r="G3442" s="29" t="s">
        <v>9753</v>
      </c>
    </row>
    <row r="3443" spans="1:7">
      <c r="A3443" s="33">
        <v>45109</v>
      </c>
      <c r="B3443" s="29" t="s">
        <v>9754</v>
      </c>
      <c r="C3443" s="29" t="s">
        <v>9755</v>
      </c>
      <c r="D3443" s="29" t="s">
        <v>9756</v>
      </c>
      <c r="E3443" s="92">
        <v>6404</v>
      </c>
      <c r="F3443" s="89" t="s">
        <v>4773</v>
      </c>
      <c r="G3443" s="29" t="s">
        <v>6837</v>
      </c>
    </row>
    <row r="3444" spans="1:7">
      <c r="A3444" s="33">
        <v>45110</v>
      </c>
      <c r="B3444" s="29" t="s">
        <v>3648</v>
      </c>
      <c r="C3444" s="29" t="s">
        <v>3649</v>
      </c>
      <c r="D3444" s="29" t="s">
        <v>3650</v>
      </c>
      <c r="E3444" s="92">
        <v>1240</v>
      </c>
      <c r="F3444" s="89" t="s">
        <v>9757</v>
      </c>
      <c r="G3444" s="29" t="s">
        <v>8432</v>
      </c>
    </row>
    <row r="3445" spans="1:7">
      <c r="A3445" s="33">
        <v>45111</v>
      </c>
      <c r="B3445" s="29" t="s">
        <v>3652</v>
      </c>
      <c r="C3445" s="29" t="s">
        <v>3653</v>
      </c>
      <c r="D3445" s="29" t="s">
        <v>3654</v>
      </c>
      <c r="E3445" s="92">
        <v>1150</v>
      </c>
      <c r="F3445" s="89" t="s">
        <v>4772</v>
      </c>
      <c r="G3445" s="29" t="s">
        <v>6804</v>
      </c>
    </row>
  </sheetData>
  <autoFilter ref="E1:E3445" xr:uid="{CAB2B3D4-97D3-4741-B1C1-D0F0F846302B}">
    <sortState xmlns:xlrd2="http://schemas.microsoft.com/office/spreadsheetml/2017/richdata2" ref="E2:E3445">
      <sortCondition descending="1" ref="E1:E344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d826a-3345-4355-a0ce-4b1e9da452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5E0E3CE05ACB4488EBC78C979D43CC" ma:contentTypeVersion="14" ma:contentTypeDescription="Crear nuevo documento." ma:contentTypeScope="" ma:versionID="641377f0291714cae89242a7e4c22894">
  <xsd:schema xmlns:xsd="http://www.w3.org/2001/XMLSchema" xmlns:xs="http://www.w3.org/2001/XMLSchema" xmlns:p="http://schemas.microsoft.com/office/2006/metadata/properties" xmlns:ns2="da8a9726-4a52-4ef0-9295-f02d4a1c2f3e" xmlns:ns3="2a0d826a-3345-4355-a0ce-4b1e9da45283" targetNamespace="http://schemas.microsoft.com/office/2006/metadata/properties" ma:root="true" ma:fieldsID="485e2f54601ed3b0a73bf629c52966a8" ns2:_="" ns3:_="">
    <xsd:import namespace="da8a9726-4a52-4ef0-9295-f02d4a1c2f3e"/>
    <xsd:import namespace="2a0d826a-3345-4355-a0ce-4b1e9da452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8a9726-4a52-4ef0-9295-f02d4a1c2f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d826a-3345-4355-a0ce-4b1e9da452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DCA14A-D95A-435E-BF24-9EDA9171DE4F}"/>
</file>

<file path=customXml/itemProps2.xml><?xml version="1.0" encoding="utf-8"?>
<ds:datastoreItem xmlns:ds="http://schemas.openxmlformats.org/officeDocument/2006/customXml" ds:itemID="{7C0888C6-D487-4CF9-8B6E-428C638634A0}"/>
</file>

<file path=customXml/itemProps3.xml><?xml version="1.0" encoding="utf-8"?>
<ds:datastoreItem xmlns:ds="http://schemas.openxmlformats.org/officeDocument/2006/customXml" ds:itemID="{592411B6-950D-4DFA-98DE-14F6A34A2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Francisco Rojas Martin</dc:creator>
  <cp:keywords/>
  <dc:description/>
  <cp:lastModifiedBy>Miguel Angel Manrique</cp:lastModifiedBy>
  <cp:revision/>
  <dcterms:created xsi:type="dcterms:W3CDTF">2024-02-11T19:14:58Z</dcterms:created>
  <dcterms:modified xsi:type="dcterms:W3CDTF">2026-03-25T04:31:15Z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0x010100065E0E3CE05ACB4488EBC78C979D43CC</vt:lpwstr>
  </property>
</Properties>
</file>